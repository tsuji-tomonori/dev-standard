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comments/comment4.xml" ContentType="application/vnd.openxmlformats-officedocument.spreadsheetml.comments+xml"/>
  <Override PartName="/xl/worksheets/sheet10.xml" ContentType="application/vnd.openxmlformats-officedocument.spreadsheetml.worksheet+xml"/>
  <Override PartName="/xl/comments/comment5.xml" ContentType="application/vnd.openxmlformats-officedocument.spreadsheetml.comments+xml"/>
  <Override PartName="/xl/worksheets/sheet11.xml" ContentType="application/vnd.openxmlformats-officedocument.spreadsheetml.worksheet+xml"/>
  <Override PartName="/xl/comments/comment6.xml" ContentType="application/vnd.openxmlformats-officedocument.spreadsheetml.comments+xml"/>
  <Override PartName="/xl/worksheets/sheet12.xml" ContentType="application/vnd.openxmlformats-officedocument.spreadsheetml.worksheet+xml"/>
  <Override PartName="/xl/comments/comment7.xml" ContentType="application/vnd.openxmlformats-officedocument.spreadsheetml.comments+xml"/>
  <Override PartName="/xl/worksheets/sheet13.xml" ContentType="application/vnd.openxmlformats-officedocument.spreadsheetml.worksheet+xml"/>
  <Override PartName="/xl/comments/comment8.xml" ContentType="application/vnd.openxmlformats-officedocument.spreadsheetml.comments+xml"/>
  <Override PartName="/xl/worksheets/sheet14.xml" ContentType="application/vnd.openxmlformats-officedocument.spreadsheetml.worksheet+xml"/>
  <Override PartName="/xl/comments/comment9.xml" ContentType="application/vnd.openxmlformats-officedocument.spreadsheetml.comments+xml"/>
  <Override PartName="/xl/worksheets/sheet15.xml" ContentType="application/vnd.openxmlformats-officedocument.spreadsheetml.worksheet+xml"/>
  <Override PartName="/xl/comments/comment10.xml" ContentType="application/vnd.openxmlformats-officedocument.spreadsheetml.comments+xml"/>
  <Override PartName="/xl/worksheets/sheet16.xml" ContentType="application/vnd.openxmlformats-officedocument.spreadsheetml.worksheet+xml"/>
  <Override PartName="/xl/comments/comment11.xml" ContentType="application/vnd.openxmlformats-officedocument.spreadsheetml.comments+xml"/>
  <Override PartName="/xl/worksheets/sheet17.xml" ContentType="application/vnd.openxmlformats-officedocument.spreadsheetml.worksheet+xml"/>
  <Override PartName="/xl/comments/comment12.xml" ContentType="application/vnd.openxmlformats-officedocument.spreadsheetml.comments+xml"/>
  <Override PartName="/xl/worksheets/sheet18.xml" ContentType="application/vnd.openxmlformats-officedocument.spreadsheetml.worksheet+xml"/>
  <Override PartName="/xl/comments/comment13.xml" ContentType="application/vnd.openxmlformats-officedocument.spreadsheetml.comments+xml"/>
  <Override PartName="/xl/worksheets/sheet19.xml" ContentType="application/vnd.openxmlformats-officedocument.spreadsheetml.worksheet+xml"/>
  <Override PartName="/xl/comments/comment14.xml" ContentType="application/vnd.openxmlformats-officedocument.spreadsheetml.comments+xml"/>
  <Override PartName="/xl/worksheets/sheet20.xml" ContentType="application/vnd.openxmlformats-officedocument.spreadsheetml.worksheet+xml"/>
  <Override PartName="/xl/comments/comment15.xml" ContentType="application/vnd.openxmlformats-officedocument.spreadsheetml.comments+xml"/>
  <Override PartName="/xl/worksheets/sheet21.xml" ContentType="application/vnd.openxmlformats-officedocument.spreadsheetml.worksheet+xml"/>
  <Override PartName="/xl/comments/comment16.xml" ContentType="application/vnd.openxmlformats-officedocument.spreadsheetml.comments+xml"/>
  <Override PartName="/xl/worksheets/sheet22.xml" ContentType="application/vnd.openxmlformats-officedocument.spreadsheetml.worksheet+xml"/>
  <Override PartName="/xl/comments/comment17.xml" ContentType="application/vnd.openxmlformats-officedocument.spreadsheetml.comments+xml"/>
  <Override PartName="/xl/worksheets/sheet23.xml" ContentType="application/vnd.openxmlformats-officedocument.spreadsheetml.worksheet+xml"/>
  <Override PartName="/xl/comments/comment18.xml" ContentType="application/vnd.openxmlformats-officedocument.spreadsheetml.comments+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サマリ" sheetId="1" state="visible" r:id="rId1"/>
    <sheet xmlns:r="http://schemas.openxmlformats.org/officeDocument/2006/relationships" name="利用ガイド" sheetId="2" state="visible" r:id="rId2"/>
    <sheet xmlns:r="http://schemas.openxmlformats.org/officeDocument/2006/relationships" name="出典マスター" sheetId="3" state="visible" r:id="rId3"/>
    <sheet xmlns:r="http://schemas.openxmlformats.org/officeDocument/2006/relationships" name="KA対応表" sheetId="4" state="visible" r:id="rId4"/>
    <sheet xmlns:r="http://schemas.openxmlformats.org/officeDocument/2006/relationships" name="追加項目管理" sheetId="5" state="visible" r:id="rId5"/>
    <sheet xmlns:r="http://schemas.openxmlformats.org/officeDocument/2006/relationships" name="01_要件定義" sheetId="6" state="visible" r:id="rId6"/>
    <sheet xmlns:r="http://schemas.openxmlformats.org/officeDocument/2006/relationships" name="02_アーキテクチャ" sheetId="7" state="visible" r:id="rId7"/>
    <sheet xmlns:r="http://schemas.openxmlformats.org/officeDocument/2006/relationships" name="03_詳細設計" sheetId="8" state="visible" r:id="rId8"/>
    <sheet xmlns:r="http://schemas.openxmlformats.org/officeDocument/2006/relationships" name="04_実装" sheetId="9" state="visible" r:id="rId9"/>
    <sheet xmlns:r="http://schemas.openxmlformats.org/officeDocument/2006/relationships" name="05_テスト" sheetId="10" state="visible" r:id="rId10"/>
    <sheet xmlns:r="http://schemas.openxmlformats.org/officeDocument/2006/relationships" name="06_運用" sheetId="11" state="visible" r:id="rId11"/>
    <sheet xmlns:r="http://schemas.openxmlformats.org/officeDocument/2006/relationships" name="07_保守" sheetId="12" state="visible" r:id="rId12"/>
    <sheet xmlns:r="http://schemas.openxmlformats.org/officeDocument/2006/relationships" name="08_構成管理" sheetId="13" state="visible" r:id="rId13"/>
    <sheet xmlns:r="http://schemas.openxmlformats.org/officeDocument/2006/relationships" name="09_マネジメント" sheetId="14" state="visible" r:id="rId14"/>
    <sheet xmlns:r="http://schemas.openxmlformats.org/officeDocument/2006/relationships" name="10_プロセス" sheetId="15" state="visible" r:id="rId15"/>
    <sheet xmlns:r="http://schemas.openxmlformats.org/officeDocument/2006/relationships" name="12_品質保証" sheetId="16" state="visible" r:id="rId16"/>
    <sheet xmlns:r="http://schemas.openxmlformats.org/officeDocument/2006/relationships" name="13_セキュリティ" sheetId="17" state="visible" r:id="rId17"/>
    <sheet xmlns:r="http://schemas.openxmlformats.org/officeDocument/2006/relationships" name="14_クラウド" sheetId="18" state="visible" r:id="rId18"/>
    <sheet xmlns:r="http://schemas.openxmlformats.org/officeDocument/2006/relationships" name="15_AWS" sheetId="19" state="visible" r:id="rId19"/>
    <sheet xmlns:r="http://schemas.openxmlformats.org/officeDocument/2006/relationships" name="16_GoogleCloud" sheetId="20" state="visible" r:id="rId20"/>
    <sheet xmlns:r="http://schemas.openxmlformats.org/officeDocument/2006/relationships" name="17_Azure" sheetId="21" state="visible" r:id="rId21"/>
    <sheet xmlns:r="http://schemas.openxmlformats.org/officeDocument/2006/relationships" name="18_OCI" sheetId="22" state="visible" r:id="rId22"/>
    <sheet xmlns:r="http://schemas.openxmlformats.org/officeDocument/2006/relationships" name="19_AI" sheetId="23" state="visible" r:id="rId23"/>
    <sheet xmlns:r="http://schemas.openxmlformats.org/officeDocument/2006/relationships" name="抜け漏れ分析" sheetId="24" state="visible" r:id="rId24"/>
  </sheets>
  <definedNames>
    <definedName name="_xlnm._FilterDatabase" localSheetId="2" hidden="1">'出典マスター'!$A$3:$J$26</definedName>
    <definedName name="_xlnm._FilterDatabase" localSheetId="3" hidden="1">'KA対応表'!$A$3:$G$21</definedName>
    <definedName name="_xlnm._FilterDatabase" localSheetId="4" hidden="1">'追加項目管理'!$A$3:$K$68</definedName>
    <definedName name="_xlnm._FilterDatabase" localSheetId="5" hidden="1">'01_要件定義'!$A$1:$W$89</definedName>
    <definedName name="_xlnm.Print_Titles" localSheetId="5">'01_要件定義'!$1:$1</definedName>
    <definedName name="_xlnm._FilterDatabase" localSheetId="6" hidden="1">'02_アーキテクチャ'!$A$1:$W$83</definedName>
    <definedName name="_xlnm.Print_Titles" localSheetId="6">'02_アーキテクチャ'!$1:$1</definedName>
    <definedName name="_xlnm._FilterDatabase" localSheetId="7" hidden="1">'03_詳細設計'!$A$1:$W$98</definedName>
    <definedName name="_xlnm.Print_Titles" localSheetId="7">'03_詳細設計'!$1:$1</definedName>
    <definedName name="_xlnm._FilterDatabase" localSheetId="8" hidden="1">'04_実装'!$A$1:$W$86</definedName>
    <definedName name="_xlnm.Print_Titles" localSheetId="8">'04_実装'!$1:$1</definedName>
    <definedName name="_xlnm._FilterDatabase" localSheetId="9" hidden="1">'05_テスト'!$A$1:$W$91</definedName>
    <definedName name="_xlnm.Print_Titles" localSheetId="9">'05_テスト'!$1:$1</definedName>
    <definedName name="_xlnm._FilterDatabase" localSheetId="10" hidden="1">'06_運用'!$A$1:$W$106</definedName>
    <definedName name="_xlnm.Print_Titles" localSheetId="10">'06_運用'!$1:$1</definedName>
    <definedName name="_xlnm._FilterDatabase" localSheetId="11" hidden="1">'07_保守'!$A$1:$W$87</definedName>
    <definedName name="_xlnm.Print_Titles" localSheetId="11">'07_保守'!$1:$1</definedName>
    <definedName name="_xlnm._FilterDatabase" localSheetId="12" hidden="1">'08_構成管理'!$A$1:$W$97</definedName>
    <definedName name="_xlnm.Print_Titles" localSheetId="12">'08_構成管理'!$1:$1</definedName>
    <definedName name="_xlnm._FilterDatabase" localSheetId="13" hidden="1">'09_マネジメント'!$A$1:$W$94</definedName>
    <definedName name="_xlnm.Print_Titles" localSheetId="13">'09_マネジメント'!$1:$1</definedName>
    <definedName name="_xlnm._FilterDatabase" localSheetId="14" hidden="1">'10_プロセス'!$A$1:$W$96</definedName>
    <definedName name="_xlnm.Print_Titles" localSheetId="14">'10_プロセス'!$1:$1</definedName>
    <definedName name="_xlnm._FilterDatabase" localSheetId="15" hidden="1">'12_品質保証'!$A$1:$W$92</definedName>
    <definedName name="_xlnm.Print_Titles" localSheetId="15">'12_品質保証'!$1:$1</definedName>
    <definedName name="_xlnm._FilterDatabase" localSheetId="16" hidden="1">'13_セキュリティ'!$A$1:$W$105</definedName>
    <definedName name="_xlnm.Print_Titles" localSheetId="16">'13_セキュリティ'!$1:$1</definedName>
    <definedName name="_xlnm._FilterDatabase" localSheetId="17" hidden="1">'14_クラウド'!$A$1:$W$67</definedName>
    <definedName name="_xlnm.Print_Titles" localSheetId="17">'14_クラウド'!$1:$1</definedName>
    <definedName name="_xlnm._FilterDatabase" localSheetId="18" hidden="1">'15_AWS'!$A$1:$W$130</definedName>
    <definedName name="_xlnm.Print_Titles" localSheetId="18">'15_AWS'!$1:$1</definedName>
    <definedName name="_xlnm._FilterDatabase" localSheetId="19" hidden="1">'16_GoogleCloud'!$A$1:$W$123</definedName>
    <definedName name="_xlnm.Print_Titles" localSheetId="19">'16_GoogleCloud'!$1:$1</definedName>
    <definedName name="_xlnm._FilterDatabase" localSheetId="20" hidden="1">'17_Azure'!$A$1:$W$152</definedName>
    <definedName name="_xlnm.Print_Titles" localSheetId="20">'17_Azure'!$1:$1</definedName>
    <definedName name="_xlnm._FilterDatabase" localSheetId="21" hidden="1">'18_OCI'!$A$1:$W$81</definedName>
    <definedName name="_xlnm.Print_Titles" localSheetId="21">'18_OCI'!$1:$1</definedName>
    <definedName name="_xlnm._FilterDatabase" localSheetId="22" hidden="1">'19_AI'!$A$1:$W$81</definedName>
    <definedName name="_xlnm.Print_Titles" localSheetId="22">'19_AI'!$1:$1</definedName>
    <definedName name="_xlnm._FilterDatabase" localSheetId="23" hidden="1">'抜け漏れ分析'!$A$1:$H$48</definedName>
  </definedNames>
  <calcPr calcId="124519" calcMode="auto" fullCalcOnLoad="1" forceFullCalc="1"/>
</workbook>
</file>

<file path=xl/styles.xml><?xml version="1.0" encoding="utf-8"?>
<styleSheet xmlns="http://schemas.openxmlformats.org/spreadsheetml/2006/main">
  <numFmts count="1">
    <numFmt numFmtId="164" formatCode="yyyy-mm-dd"/>
  </numFmts>
  <fonts count="9">
    <font>
      <name val="Calibri"/>
      <family val="2"/>
      <color theme="1"/>
      <sz val="11"/>
      <scheme val="minor"/>
    </font>
    <font>
      <b val="1"/>
      <color rgb="00FFFFFF"/>
      <sz val="11"/>
    </font>
    <font>
      <b val="1"/>
      <color rgb="00FFFFFF"/>
    </font>
    <font>
      <color rgb="00000000"/>
    </font>
    <font>
      <b val="1"/>
      <sz val="16"/>
    </font>
    <font>
      <b val="1"/>
    </font>
    <font>
      <b val="1"/>
      <color rgb="00FFFFFF"/>
      <sz val="16"/>
    </font>
    <font>
      <b val="1"/>
      <color rgb="0017365D"/>
    </font>
    <font>
      <name val="Calibri"/>
      <family val="2"/>
      <color theme="10"/>
      <sz val="12"/>
      <scheme val="minor"/>
    </font>
  </fonts>
  <fills count="11">
    <fill>
      <patternFill/>
    </fill>
    <fill>
      <patternFill patternType="gray125"/>
    </fill>
    <fill>
      <patternFill patternType="solid">
        <fgColor rgb="001F3864"/>
      </patternFill>
    </fill>
    <fill>
      <patternFill patternType="solid">
        <fgColor rgb="00C00000"/>
      </patternFill>
    </fill>
    <fill>
      <patternFill patternType="solid">
        <fgColor rgb="00ED7D31"/>
      </patternFill>
    </fill>
    <fill>
      <patternFill patternType="solid">
        <fgColor rgb="00FFD966"/>
      </patternFill>
    </fill>
    <fill>
      <patternFill patternType="solid">
        <fgColor rgb="00D9D9D9"/>
      </patternFill>
    </fill>
    <fill>
      <patternFill patternType="solid">
        <fgColor rgb="00DDEBF7"/>
      </patternFill>
    </fill>
    <fill>
      <patternFill patternType="solid">
        <fgColor rgb="0017365D"/>
      </patternFill>
    </fill>
    <fill>
      <patternFill patternType="solid">
        <fgColor rgb="004472C4"/>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7C9E2"/>
      </left>
      <right style="thin">
        <color rgb="00B7C9E2"/>
      </right>
      <top style="thin">
        <color rgb="00B7C9E2"/>
      </top>
      <bottom style="thin">
        <color rgb="00B7C9E2"/>
      </bottom>
    </border>
  </borders>
  <cellStyleXfs count="2">
    <xf numFmtId="0" fontId="0" fillId="0" borderId="0"/>
    <xf numFmtId="0" fontId="8" fillId="0" borderId="0"/>
  </cellStyleXfs>
  <cellXfs count="22">
    <xf numFmtId="0" fontId="0" fillId="0" borderId="0" pivotButton="0" quotePrefix="0" xfId="0"/>
    <xf numFmtId="0" fontId="4" fillId="0" borderId="0" pivotButton="0" quotePrefix="0" xfId="0"/>
    <xf numFmtId="0" fontId="0" fillId="0" borderId="0" applyAlignment="1" pivotButton="0" quotePrefix="0" xfId="0">
      <alignment vertical="top" wrapText="1"/>
    </xf>
    <xf numFmtId="0" fontId="1" fillId="2" borderId="1" applyAlignment="1" pivotButton="0" quotePrefix="0" xfId="0">
      <alignment horizontal="center" vertical="top" wrapText="1"/>
    </xf>
    <xf numFmtId="0" fontId="0" fillId="0" borderId="1" applyAlignment="1" pivotButton="0" quotePrefix="0" xfId="0">
      <alignment vertical="top" wrapText="1"/>
    </xf>
    <xf numFmtId="0" fontId="0" fillId="0" borderId="1" applyAlignment="1" pivotButton="0" quotePrefix="0" xfId="0">
      <alignment horizontal="center" vertical="top" wrapText="1"/>
    </xf>
    <xf numFmtId="0" fontId="5" fillId="0" borderId="0" pivotButton="0" quotePrefix="0" xfId="0"/>
    <xf numFmtId="0" fontId="5" fillId="0" borderId="1" applyAlignment="1" pivotButton="0" quotePrefix="0" xfId="0">
      <alignment horizontal="center" vertical="top"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3" fillId="5" borderId="1" applyAlignment="1" pivotButton="0" quotePrefix="0" xfId="0">
      <alignment horizontal="center" vertical="top" wrapText="1"/>
    </xf>
    <xf numFmtId="0" fontId="3" fillId="6" borderId="1" applyAlignment="1" pivotButton="0" quotePrefix="0" xfId="0">
      <alignment horizontal="center" vertical="top" wrapText="1"/>
    </xf>
    <xf numFmtId="0" fontId="0" fillId="7" borderId="1" applyAlignment="1" pivotButton="0" quotePrefix="0" xfId="0">
      <alignment horizontal="center" vertical="top" wrapText="1"/>
    </xf>
    <xf numFmtId="0" fontId="0" fillId="7" borderId="1" applyAlignment="1" pivotButton="0" quotePrefix="0" xfId="0">
      <alignment vertical="top" wrapText="1"/>
    </xf>
    <xf numFmtId="0" fontId="6" fillId="8" borderId="0" applyAlignment="1" pivotButton="0" quotePrefix="0" xfId="0">
      <alignment vertical="center"/>
    </xf>
    <xf numFmtId="0" fontId="7" fillId="0" borderId="0" pivotButton="0" quotePrefix="0" xfId="0"/>
    <xf numFmtId="0" fontId="2" fillId="9" borderId="2" applyAlignment="1" pivotButton="0" quotePrefix="0" xfId="0">
      <alignment horizontal="center" vertical="center" wrapText="1"/>
    </xf>
    <xf numFmtId="0" fontId="0" fillId="0" borderId="2" applyAlignment="1" pivotButton="0" quotePrefix="0" xfId="0">
      <alignment vertical="top" wrapText="1"/>
    </xf>
    <xf numFmtId="0" fontId="0" fillId="10" borderId="0" applyAlignment="1" pivotButton="0" quotePrefix="0" xfId="0">
      <alignment vertical="top" wrapText="1"/>
    </xf>
    <xf numFmtId="0" fontId="8" fillId="0" borderId="2" applyAlignment="1" pivotButton="0" quotePrefix="0" xfId="1">
      <alignment vertical="top" wrapText="1"/>
    </xf>
    <xf numFmtId="164" fontId="0" fillId="0" borderId="2" applyAlignment="1" pivotButton="0" quotePrefix="0" xfId="0">
      <alignment vertical="top" wrapText="1"/>
    </xf>
    <xf numFmtId="0" fontId="1" fillId="2" borderId="1" applyAlignment="1" pivotButton="0" quotePrefix="0" xfId="0">
      <alignment horizontal="center" vertical="center" wrapText="1"/>
    </xf>
  </cellXfs>
  <cellStyles count="2">
    <cellStyle name="Normal" xfId="0" builtinId="0" hidden="0"/>
    <cellStyle name="Hyperlink" xfId="1" builtinId="8" hidden="0"/>
  </cellStyles>
  <dxfs count="3">
    <dxf>
      <fill>
        <patternFill patternType="solid">
          <fgColor rgb="00FFC7CE"/>
        </patternFill>
      </fill>
    </dxf>
    <dxf>
      <fill>
        <patternFill patternType="solid">
          <fgColor rgb="00C6EFCE"/>
        </patternFill>
      </fill>
    </dxf>
    <dxf>
      <fill>
        <patternFill patternType="solid">
          <fgColor rgb="00D9E1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comments/comment1.xml><?xml version="1.0" encoding="utf-8"?>
<comments xmlns="http://schemas.openxmlformats.org/spreadsheetml/2006/main">
  <authors>
    <author>SWEBOKレビューハーネス</author>
  </authors>
  <commentList>
    <comment ref="E2" authorId="0" shapeId="0">
      <text>
        <t>【意図】IDのない要求はトレース・変更管理・テスト対応付けの起点を持てず、変更漏れや検証漏れが下流で静かに発生する。SWEBOKが要求管理の前提とする「個々の要求の構成管理」を成立させるための最低条件。
【対象ドキュメント】swebok-v4.pdf ch01 Software Requirements &gt; 4.5 Additional Attributes of Requirements(tag)/ 実務補完(ISO/IEC/IEEE 29148)</t>
      </text>
    </comment>
    <comment ref="E3" authorId="0" shapeId="0">
      <text>
        <t>【意図】SWEBOKは要求文書の意思決定を読者分析(audience analysis)に基づかせることを最重要推奨とする。目的・スコープ・読者が曖昧な文書は、スコープ外要望の混入や読者に届かない記述粒度を招く。
【対象ドキュメント】swebok-v4.pdf ch01 Software Requirements &gt; 4. Requirements Specification(audience analysis)</t>
      </text>
    </comment>
    <comment ref="E4" authorId="0" shapeId="0">
      <text>
        <t>【意図】SWEBOKが挙げる二大問題の一つ「曖昧性(複数解釈の余地)」の多くは用語の未定義に起因する。ドメイン用語の解釈違いは設計・テストまで波及して指数的な手戻りを生む。
【対象ドキュメント】swebok-v4.pdf ch01 Software Requirements &gt; 3.1 Basic Requirements Analysis(unambiguous)/ 実務補完(ISO 29148)</t>
      </text>
    </comment>
    <comment ref="E5" authorId="0" shapeId="0">
      <text>
        <t>【意図】拘束力語の使い分けが不定だと、努力目標を必須要求と誤解して過剰実装したり、必須要求を任意と誤解して欠落させたりする。要求が「binding(拘束的)」であるかの判定基盤になる。
【対象ドキュメント】swebok-v4.pdf ch01 Software Requirements &gt; 3.1 Basic Requirements Analysis(binding)/ 実務補完(ISO 29148, RFC 2119)</t>
      </text>
    </comment>
    <comment ref="E6" authorId="0" shapeId="0">
      <text>
        <t>【意図】SWEBOKは要求の後方トレース先として上位文書・標準・規制を挙げる。参照文書の版が不明だと外部一貫性の検証基準が動き、どの版と整合させたのかが変更時に再現できない。
【対象ドキュメント】swebok-v4.pdf ch01 Software Requirements &gt; 7.3 Requirements Tracing / 2.1 Requirements Sources(非人間源泉)</t>
      </text>
    </comment>
    <comment ref="E7" authorId="0" shapeId="0">
      <text>
        <t>【意図】増分仕様か包括仕様かが宣言されていないと、読者が「書かれていない要求は廃止されたのか前版有効なのか」を判断できず、廃止済み要求の実装や有効要求の欠落を招く。
【対象ドキュメント】swebok-v4.pdf ch01 Software Requirements &gt; 4.6 Incremental and Comprehensive Requirements Specification</t>
      </text>
    </comment>
    <comment ref="E8" authorId="0" shapeId="0">
      <text>
        <t>【意図】SWEBOKの言う「不完全性」問題の管理装置。TBDが本文に散在したまま放置されると、未決のまま設計・実装が進み、後工程での判明時に指数的な手戻りコストになる。
【対象ドキュメント】swebok-v4.pdf ch01 Software Requirements &gt; 3.1 Basic Requirements Analysis(complete)/ 実務補完(ISO 29148)</t>
      </text>
    </comment>
    <comment ref="E9" authorId="0" shapeId="0">
      <text>
        <t>【意図】要求文書は他の成果物と同様に構成管理の対象であるべきというSWEBOKの原則の最小形。履歴がないと、レビューや承認がどの版に対して行われたかを事後に特定できない。
【対象ドキュメント】swebok-v4.pdf ch01 Software Requirements &gt; 4. Requirements Specification(構成管理)/ 6.2 Requirements Change Control</t>
      </text>
    </comment>
    <comment ref="E10" authorId="0" shapeId="0">
      <text>
        <t>【意図】SWEBOKが実プロジェクトの二大要求問題の一つに挙げる「曖昧性」への直接の防御。曖昧語は複数解釈のうち誤った1つで実装される欠陥の温床であり、受入時の紛争原因にもなる。
【対象ドキュメント】swebok-v4.pdf ch01 Software Requirements &gt; 3.1 Basic Requirements Analysis(unambiguous)</t>
      </text>
    </comment>
    <comment ref="E11" authorId="0" shapeId="0">
      <text>
        <t>【意図】テスト不能な要求は合否を客観的に示せず、実装完了の判定が主観論争になる。SWEBOKは「準拠・非準拠を明確に実証できる(testable/quantified)」ことを要求の望ましい性質として明示する。
【対象ドキュメント】swebok-v4.pdf ch01 Software Requirements &gt; 3.1 Basic Requirements Analysis(testable)</t>
      </text>
    </comment>
    <comment ref="E12" authorId="0" shapeId="0">
      <text>
        <t>【意図】複数事項を束ねた要求は一部実装・一部未実装の状態を表現できず、トレースや優先順位付けの単位が壊れる。SWEBOKは「atomic(単一の決定を表す)」を望ましい性質に挙げる。
【対象ドキュメント】swebok-v4.pdf ch01 Software Requirements &gt; 3.1 Basic Requirements Analysis(atomic)</t>
      </text>
    </comment>
    <comment ref="E13" authorId="0" shapeId="0">
      <text>
        <t>【意図】手段として語られた要望をそのまま要求化すると、真の問題を解かない次善解を実装するリスクがある(SWEBOKが5-whysで警告する点)。設計の自由度も不必要に奪われる。
【対象ドキュメント】swebok-v4.pdf ch01 Software Requirements &gt; 3.1 Basic Requirements Analysis(represent true stakeholder needs / 5-whys)</t>
      </text>
    </comment>
    <comment ref="E14" authorId="0" shapeId="0">
      <text>
        <t>【意図】開発内部用語で書かれた要求はステークホルダーが検証できず、SWEBOKが要求分類の利点として挙げる「業務専門家が自分に関係する要求だけをレビューできる」構図が崩れて妥当性確認が形骸化する。
【対象ドキュメント】swebok-v4.pdf ch01 Software Requirements &gt; 3.1 Basic Requirements Analysis(use stakeholder vocabulary)</t>
      </text>
    </comment>
    <comment ref="E15" authorId="0" shapeId="0">
      <text>
        <t>【意図】根拠のない要求は保守期に「なぜこの機能があるのか」を復元できず、変更影響の判断を誤らせる。SWEBOKは要求文書の長期的役割を「意図の伝達」と位置づけ、rationaleを推奨属性に挙げる。
【対象ドキュメント】swebok-v4.pdf ch01 Software Requirements &gt; 4.5 Additional Attributes of Requirements(rationale)</t>
      </text>
    </comment>
    <comment ref="E16" authorId="0" shapeId="0">
      <text>
        <t>【意図】源泉が不明な要求は対立発生時に交渉相手を特定できず、契約上の顧客トレーサビリティも取れない。SWEBOKはsourceを推奨属性とし、後方トレースの起点とする。
【対象ドキュメント】swebok-v4.pdf ch01 Software Requirements &gt; 4.5 Additional Attributes of Requirements(source)/ 7.3 Requirements Tracing</t>
      </text>
    </comment>
    <comment ref="E17" authorId="0" shapeId="0">
      <text>
        <t>【意図】主体欠落の要求文はSWEBOKの構造化自然言語(actor-action形式)が防ごうとする典型的曖昧性であり、「誰が実施するのか」の解釈違いによる実装漏れ・二重実装を生む。
【対象ドキュメント】swebok-v4.pdf ch01 Software Requirements &gt; 4.2 Structured Natural Language Requirements Specification(actor-action)</t>
      </text>
    </comment>
    <comment ref="E18" authorId="0" shapeId="0">
      <text>
        <t>【意図】無条件の禁止要求(〜してはならない)は有限のテストで実証できず、テスト可能性の性質を満たさない。範囲・条件を付けないと検証計画が立てられず受入基準が空洞化する。
【対象ドキュメント】swebok-v4.pdf ch01 Software Requirements &gt; 3.1 Basic Requirements Analysis(testable)の適用</t>
      </text>
    </comment>
    <comment ref="E19" authorId="0" shapeId="0">
      <text>
        <t>【意図】矛盾した要求は両方を同時に満たす実装が存在せず、発見が遅いほど設計・コードの作り直しが大きい。SWEBOKは要求集合の望ましい性質としてinternally consistentを明示する。
【対象ドキュメント】swebok-v4.pdf ch01 Software Requirements &gt; 3.1 Basic Requirements Analysis(internally consistent)</t>
      </text>
    </comment>
    <comment ref="E20" authorId="0" shapeId="0">
      <text>
        <t>【意図】上位文書や連携先仕様との矛盾は結合テストや受入で初めて露見し、責任分界の紛争になりやすい。SWEBOKはexternally consistent(源泉資料と矛盾しない)を要求集合の性質として挙げる。
【対象ドキュメント】swebok-v4.pdf ch01 Software Requirements &gt; 3.1 Basic Requirements Analysis(externally consistent)</t>
      </text>
    </comment>
    <comment ref="E21" authorId="0" shapeId="0">
      <text>
        <t>【意図】SWEBOKが実プロジェクトの二大問題の筆頭に挙げる「不完全性」への防御。スコープ内で要求が欠けている領域は、実装段階で仕様が即興で決められ手戻りと品質劣化を生む。
【対象ドキュメント】swebok-v4.pdf ch01 Software Requirements &gt; 3.1 Basic Requirements Analysis(complete)</t>
      </text>
    </comment>
    <comment ref="E22" authorId="0" shapeId="0">
      <text>
        <t>【意図】重複要求は片方だけ変更される不整合の温床で、規模計測や優先順位付けも歪める。SWEBOKはconcise(余分な内容がない)を要求集合の性質として挙げる。
【対象ドキュメント】swebok-v4.pdf ch01 Software Requirements &gt; 3.1 Basic Requirements Analysis(concise)</t>
      </text>
    </comment>
    <comment ref="E23" authorId="0" shapeId="0">
      <text>
        <t>【意図】実現不能な要求を含んだまま合意すると、開発後半で達成不能が判明しスコープ交渉が最悪のタイミングで発生する。SWEBOKはfeasible(制約内で実行可能な解が作れる)を要求集合の性質として挙げる。
【対象ドキュメント】swebok-v4.pdf ch01 Software Requirements &gt; 3.1 Basic Requirements Analysis(feasible)</t>
      </text>
    </comment>
    <comment ref="E24" authorId="0" shapeId="0">
      <text>
        <t>【意図】同一概念の名称揺れは読者ごとに別概念と解釈される曖昧性を生み、データモデル設計での実体の重複・分裂につながる。
【対象ドキュメント】swebok-v4.pdf ch01 Software Requirements &gt; 3.1 Basic Requirements Analysis(unambiguous)/ 実務補完(ISO 29148)</t>
      </text>
    </comment>
    <comment ref="E25" authorId="0" shapeId="0">
      <text>
        <t>【意図】SWEBOKは完全性の定義に「境界条件・例外条件・セキュリティニーズへの対処」を含める。正常系のみの仕様は異常系の振る舞いを実装者の即興判断に委ね、障害時挙動の不統一を招く。
【対象ドキュメント】swebok-v4.pdf ch01 Software Requirements &gt; 3.1 Basic Requirements Analysis(complete: boundary/exception conditions)</t>
      </text>
    </comment>
    <comment ref="E26" authorId="0" shapeId="0">
      <text>
        <t>【意図】対立の独断解決は後の受入段階での紛争と再交渉を生む。SWEBOKは合意による解決と顧客へのトレーサビリティを求めており、その証跡を確認する。
【対象ドキュメント】swebok-v4.pdf ch01 Software Requirements &gt; 3.4 Addressing Conflict in Requirements(要求間対立の識別と解決)</t>
      </text>
    </comment>
    <comment ref="E27" authorId="0" shapeId="0">
      <text>
        <t>【意図】SWEBOKは分類の効用として「源泉・獲得技法・分析技法・仕様化技法・検証権限が分類ごとに異なる」ことを挙げる。混在すると業務専門家が技術記述に阻まれてレビューを放棄し、検証が漏れる。
【対象ドキュメント】swebok-v4.pdf ch01 Software Requirements &gt; 1.2 Categories of Software Requirements / 1.8 Why Categorize Requirements This Way?</t>
      </text>
    </comment>
    <comment ref="E28" authorId="0" shapeId="0">
      <text>
        <t>【意図】技術制約(特定技術の義務付け/禁止)とQoS制約(達成すべき性能水準)は課す主体も検証方法も異なる。SWEBOKのv4で明確化された区分であり、混同すると水準のない技術指定や検証不能な性能要求が残る。
【対象ドキュメント】swebok-v4.pdf ch01 Software Requirements &gt; 1.6 Technology Constraints / 1.7 Quality of Service Constraints</t>
      </text>
    </comment>
    <comment ref="E29" authorId="0" shapeId="0">
      <text>
        <t>【意図】SWEBOKは製品要求(形状・機能)とプロジェクト要求(コスト・納期・体制)を明確に区別し、後者はプロジェクト憲章等で管理すべきとする。混在するとSRSの変更管理にプロジェクト管理事項が巻き込まれ、承認権限が混乱する。
【対象ドキュメント】swebok-v4.pdf ch01 Software Requirements &gt; 1.3 Software Product Requirements and Software Project Requirements</t>
      </text>
    </comment>
    <comment ref="E30" authorId="0" shapeId="0">
      <text>
        <t>【意図】SWEBOKのPerfect Technology Filter(無限に速くコストゼロの計算機でも必要な要求だけが機能要求)の適用確認。分類を誤ると業務専門家に技術判断を、技術者に業務判断を求める逆転が起き、検証権限の分担が崩れる。
【対象ドキュメント】swebok-v4.pdf ch01 Software Requirements &gt; 1.8 Why Categorize Requirements This Way?(Perfect Technology Filter)</t>
      </text>
    </comment>
    <comment ref="E31" authorId="0" shapeId="0">
      <text>
        <t>【意図】システム要求からソフトウェアへの割当てが曖昧だと、ハード・運用・人手で満たすべき事項がソフト要求に紛れ、あるいはソフトが担うべき事項が宙に浮く。SWEBOKはシステム要求とソフトウェア要求の区別を明示する。
【対象ドキュメント】swebok-v4.pdf ch01 Software Requirements &gt; 1.9 System Requirements and Software Requirements</t>
      </text>
    </comment>
    <comment ref="E32" authorId="0" shapeId="0">
      <text>
        <t>【意図】SWEBOKの派生要求(derived requirement)概念に対応。内部判断由来の要求を外部要求と混同すると、変更交渉の相手を誤り、外部合意なしに変えられるはずの要求を不可侵と誤認して柔軟性を失う。
【対象ドキュメント】swebok-v4.pdf ch01 Software Requirements &gt; 1.10 Derived Requirements</t>
      </text>
    </comment>
    <comment ref="E33" authorId="0" shapeId="0">
      <text>
        <t>【意図】SWEBOKはステークホルダー分析により「代表されやすい層への偏り」を防ぐことを推奨する。主要クラス(特に運用・サポート・規制)の見落としは、要求の不完全性として後工程で高コストに露見する。
【対象ドキュメント】swebok-v4.pdf ch01 Software Requirements &gt; 2.1 Requirements Sources(stakeholder classes / stakeholder analysis)</t>
      </text>
    </comment>
    <comment ref="E34" authorId="0" shapeId="0">
      <text>
        <t>【意図】一覧に載っていても聴取していなければ意味がない。SWEBOKは獲得を受け身の活動ではないとし、聴取していないクラスの要求は暗黙のまま残って「不完全性」問題の直接原因になる。
【対象ドキュメント】swebok-v4.pdf ch01 Software Requirements &gt; 2. Requirements Elicitation / 2.2 Common Requirements Elicitation Techniques</t>
      </text>
    </comment>
    <comment ref="E35" authorId="0" shapeId="0">
      <text>
        <t>【意図】SWEBOKは要求源泉が人に限らないことを明示し、既存版の仕様・欠陥DB・連携システム・業務コンテキストを列挙する。これらの未調査は既知の欠陥の再発や連携仕様の齟齬という形で顕在化する。
【対象ドキュメント】swebok-v4.pdf ch01 Software Requirements &gt; 2.1 Requirements Sources(non-person sources)/ 2.2(previous versions, defect tracking database等)</t>
      </text>
    </comment>
    <comment ref="E36" authorId="0" shapeId="0">
      <text>
        <t>【意図】SWEBOKは「技法はステークホルダークラスによって向き不向きがある」とする。技法の無自覚な選択は、言語化が苦手なユーザーから暗黙知を引き出せない等、獲得の質の低下として現れる。
【対象ドキュメント】swebok-v4.pdf ch01 Software Requirements &gt; 2.2 Common Requirements Elicitation Techniques</t>
      </text>
    </comment>
    <comment ref="E37" authorId="0" shapeId="0">
      <text>
        <t>【意図】SWEBOKの5-whys技法に対応。手段のまま要求化すると真の問題を解かない次善解を実装するリスクがあり、「それをしないと問題が解決しないか」まで遡った記録がその防波堤になる。
【対象ドキュメント】swebok-v4.pdf ch01 Software Requirements &gt; 3.1 Basic Requirements Analysis(5-whys / true problem)</t>
      </text>
    </comment>
    <comment ref="E38" authorId="0" shapeId="0">
      <text>
        <t>【意図】SWEBOKはステークホルダー分析の目的を「代表されやすい層への要求の偏りを減らすこと」と明示する。偏った要求集合は、声の小さい層(運用者・間接ユーザー等)の要求欠落として稼働後に露見する。
【対象ドキュメント】swebok-v4.pdf ch01 Software Requirements &gt; 2.1 Requirements Sources(stakeholder analysis による偏り防止)</t>
      </text>
    </comment>
    <comment ref="E39" authorId="0" shapeId="0">
      <text>
        <t>【意図】数値のないQoS制約はテスト可能性を持たず、達成判定が主観論争になる。SWEBOKはQoS制約を「達成すべき性能水準の指定」と定義し、定量化(quantified)を要求の性質とする。
【対象ドキュメント】swebok-v4.pdf ch01 Software Requirements &gt; 1.7 Quality of Service Constraints / 3.1(testable/quantified)</t>
      </text>
    </comment>
    <comment ref="E40" authorId="0" shapeId="0">
      <text>
        <t>【意図】測定条件のない数値は再現不能で、開発側と発注側が異なる条件で測って合否が食い違う受入紛争の典型原因になる。テスト可能性は「第三者が同じ測定を再現できる」ことまで含めて成立する。
【対象ドキュメント】swebok-v4.pdf ch01 Software Requirements &gt; 3.1 Basic Requirements Analysis(testable)の適用 / 実務補完(ISO 29148)</t>
      </text>
    </comment>
    <comment ref="E41" authorId="0" shapeId="0">
      <text>
        <t>【意図】SWEBOKはQoS制約の種類の網羅的なリストとしてISO/IEC 25010を明示的に参照する。特性単位で検討しないと、検討漏れの特性(互換性・保守性等)が「聞かれなかったから書かれていない」不完全性として残る。
【対象ドキュメント】swebok-v4.pdf ch01 Software Requirements &gt; 1.7 Quality of Service Constraints(ISO/IEC 25010参照)</t>
      </text>
    </comment>
    <comment ref="E42" authorId="0" shapeId="0">
      <text>
        <t>【意図】SWEBOKは「安全性とセキュリティは特に見落とされやすい要求領域」と明示的に警告する。セキュリティ要求の欠落は稼働後に脆弱性・法令違反として顕在化し、後付け対策のコストが極めて高い。
【対象ドキュメント】swebok-v4.pdf ch01 Software Requirements &gt; 1.7 Quality of Service Constraints(safety/security の見落とし警告、Security KA参照)</t>
      </text>
    </comment>
    <comment ref="E43" authorId="0" shapeId="0">
      <text>
        <t>【意図】SWEBOKの「QoS制約の経済学」に対応。要求水準は往々にして恣意的であり、失敗点・完璧点と費用対効果を検討しないと、価値のない過剰水準に費用を投じるか、失敗点未満の水準で合意する事故が起きる。
【対象ドキュメント】swebok-v4.pdf ch01 Software Requirements &gt; 3.2 Economics of Quality of Service Constraints(fail point / perfection point / most cost-effective level)</t>
      </text>
    </comment>
    <comment ref="E44" authorId="0" shapeId="0">
      <text>
        <t>【意図】技術制約は設計の自由度を直接奪うため、課した主体と理由が不明だと、状況が変わっても誰も解除判断ができず不要な制約が固定化する。SWEBOKの派生要求の考え方とも連動し、交渉相手の特定に必要。
【対象ドキュメント】swebok-v4.pdf ch01 Software Requirements &gt; 1.6 Technology Constraints / 4.5(source, rationale)</t>
      </text>
    </comment>
    <comment ref="E45" authorId="0" shapeId="0">
      <text>
        <t>【意図】適用範囲不明のQoS制約は「全機能に一律適用」と読まれて過剰設計になるか、肝心の機能に適用されず性能問題として露見する。テスト計画も範囲が決まらなければ書けない。
【対象ドキュメント】swebok-v4.pdf ch01 Software Requirements &gt; 1.7 Quality of Service Constraints の適用 / 実務補完(ISO 29148)</t>
      </text>
    </comment>
    <comment ref="E46" authorId="0" shapeId="0">
      <text>
        <t>【意図】SWEBOKはQoS制約の例に容量・スケーラビリティを挙げる。規模前提のない設計は、成長時にアーキテクチャレベルの作り直しを強いる。完璧点(これ以上は価値がない水準)の判断材料でもある。
【対象ドキュメント】swebok-v4.pdf ch01 Software Requirements &gt; 1.7 Quality of Service Constraints(capacity, scalability)/ 3.2 Economics</t>
      </text>
    </comment>
    <comment ref="E47" authorId="0" shapeId="0">
      <text>
        <t>【意図】個別には妥当な数値でも組合せとして同時達成不能な非機能要求を合意すると、設計段階で必ずどれかが犠牲になり、その犠牲の選択が無断で行われる。
【対象ドキュメント】swebok-v4.pdf ch01 Software Requirements &gt; 1.5 / 3.2 QoS制約間の相互関係・トレードオフ</t>
      </text>
    </comment>
    <comment ref="E48" authorId="0" shapeId="0">
      <text>
        <t>【意図】SWEBOKは仕様化技法を複数提示し、プロジェクトの性質に応じた選択を求める。複雑な条件ロジックをベタ書き自然言語で書くと、自然言語固有の曖昧性がそのまま欠陥になり、網羅性の検査もできない。
【対象ドキュメント】swebok-v4.pdf ch01 Software Requirements &gt; 4. Requirements Specification(技法選択の判断要因)/ 4.2(decision tables)</t>
      </text>
    </comment>
    <comment ref="E49" authorId="0" shapeId="0">
      <text>
        <t>【意図】SWEBOKのactor-action形式(トリガ・主体・動作・条件)に対応。定型に従わない要求文は主体や条件が欠落しやすく、構造化はSWEBOKが目的とする「精度と簡潔さの向上」の直接手段。
【対象ドキュメント】swebok-v4.pdf ch01 Software Requirements &gt; 4.2 Structured Natural Language Requirements Specification(actor-action format)</t>
      </text>
    </comment>
    <comment ref="E50" authorId="0" shapeId="0">
      <text>
        <t>【意図】属性(優先度・状態等)のない要求は、スコープ交渉や進捗判定の材料にならない。SWEBOKは付加属性が要求の解釈と管理を助けるとし、優先度・安定性・変更履歴等を推奨する。
【対象ドキュメント】swebok-v4.pdf ch01 Software Requirements &gt; 4.5 Additional Attributes of Requirements</t>
      </text>
    </comment>
    <comment ref="E51" authorId="0" shapeId="0">
      <text>
        <t>【意図】SWEBOKはモデルベース仕様を自然言語の曖昧性回避手段と位置づけるが、凡例や本文参照のない図は読者ごとに解釈が分かれ、曖昧性回避というモデル化の目的自体を裏切る。
【対象ドキュメント】swebok-v4.pdf ch01 Software Requirements &gt; 4.4 Model-Based Requirements Specification</t>
      </text>
    </comment>
    <comment ref="E52" authorId="0" shapeId="0">
      <text>
        <t>【意図】モデルと自然言語が矛盾すると、実装者がどちらを正とするかで挙動が分かれる。これは要求集合の内部一貫性の欠如であり、複数記法を併用する仕様で最も起きやすい欠陥。
【対象ドキュメント】swebok-v4.pdf ch01 Software Requirements &gt; 4.4 Model-Based Requirements Specification / 3.1(internally consistent)</t>
      </text>
    </comment>
    <comment ref="E53" authorId="0" shapeId="0">
      <text>
        <t>【意図】SWEBOKは機能要求を「施行すべきポリシー」と「遂行すべきプロセス」の2種と定義する。ビジネスルールが手順記述に埋没すると、ルール変更時に影響箇所を特定できず修正漏れが起きる。
【対象ドキュメント】swebok-v4.pdf ch01 Software Requirements &gt; 1.4 Functional Requirements(policies and processes)/ 4.1(business rules)</t>
      </text>
    </comment>
    <comment ref="E54" authorId="0" shapeId="0">
      <text>
        <t>【意図】デッドロック不在・安全性不変条件のような性質は有限のテストでは実証できず、高インテグリティ案件で検討自体を怠ると未検証の致命的性質が残る。
【対象ドキュメント】swebok-v4.pdf ch01 Software Requirements &gt; 3.3 Formal Analysis(高インテグリティシステムでの形式的分析)</t>
      </text>
    </comment>
    <comment ref="E55" authorId="0" shapeId="0">
      <text>
        <t>【意図】受入基準のないストーリーは完了判定が主観になり、SWEBOKが受入基準ベース仕様の効用とする「テストケース言語による曖昧性の排除」が働かない。デモ時の認識齟齬による差し戻しが常態化する。
【対象ドキュメント】swebok-v4.pdf ch01 Software Requirements &gt; 4.3 Acceptance Criteria-Based Requirements Specification(ATDD/BDD)</t>
      </text>
    </comment>
    <comment ref="E56" authorId="0" shapeId="0">
      <text>
        <t>【意図】SWEBOKのユーザーストーリー形式「As a &lt;role&gt; I want &lt;capability&gt; so that &lt;benefit&gt;」に対応。役割と便益が欠けたストーリーは価値の検証も優先順位判断もできない機能リストに退化する。
【対象ドキュメント】swebok-v4.pdf ch01 Software Requirements &gt; 4.2/4.3(user story format)</t>
      </text>
    </comment>
    <comment ref="E57" authorId="0" shapeId="0">
      <text>
        <t>【意図】SWEBOKのBDDシナリオ形式(Given-When-Then)に対応。前提・刺激・結果が分離されていない受入基準はテストケースに機械的に変換できず、受入基準ベース仕様の最大の利点を失う。
【対象ドキュメント】swebok-v4.pdf ch01 Software Requirements &gt; 4.3 Acceptance Criteria-Based Requirements Specification(BDD scenarios)</t>
      </text>
    </comment>
    <comment ref="E58" authorId="0" shapeId="0">
      <text>
        <t>【意図】巨大で分割不能なストーリーは1イテレーションで完結せず、SWEBOKの言うアジャイルでの暗黙的スクラビング・スコープマッチング(スプリントに入る単位での取捨選択)が機能しなくなる。
【対象ドキュメント】swebok-v4.pdf ch01 Software Requirements &gt; 4.3 / 6.3 Scope Matching(velocity-based sprint planning)/ 実務補完(INVEST)</t>
      </text>
    </comment>
    <comment ref="E59" authorId="0" shapeId="0">
      <text>
        <t>【意図】上位目標に紐付かないストーリーは後方トレース不能な要求であり、SWEBOKのトレーシングの目的(この要求はなぜ存在するかの説明)を欠く。価値の低い作業が優先順位の検証なく混入する。
【対象ドキュメント】swebok-v4.pdf ch01 Software Requirements &gt; 7.3 Requirements Tracing / 2.2(decomposition: capabilities→epics→features→stories)</t>
      </text>
    </comment>
    <comment ref="E60" authorId="0" shapeId="0">
      <text>
        <t>【意図】SWEBOKは受入基準ベース仕様が曖昧性は解決しても不完全性は解決しないと警告する。横断的QoS制約はストーリー単位の記述から漏れやすく、性能・セキュリティの欠落として稼働後に露見する。
【対象ドキュメント】swebok-v4.pdf ch01 Software Requirements &gt; 4.3(不完全性問題への警告)/ 1.7 Quality of Service Constraints</t>
      </text>
    </comment>
    <comment ref="E61" authorId="0" shapeId="0">
      <text>
        <t>【意図】SWEBOKのユースケース仕様テンプレート(名称・トリガ・パラメータ・事前保証・事後保証・正常/代替/例外コース)に対応。必須項目の欠落したユースケースは開始条件・終了状態が曖昧で実装者の解釈に委ねられる。
【対象ドキュメント】swebok-v4.pdf ch01 Software Requirements &gt; 4.2 Structured Natural Language Requirements Specification(use case template, Figure 1.6)</t>
      </text>
    </comment>
    <comment ref="E62" authorId="0" shapeId="0">
      <text>
        <t>【意図】SWEBOKのテンプレートは代替コース・例外を明示的な欄として持つ。正常コースのみのユースケースは完全性(例外条件への対処)を欠き、異常時挙動が実装時に即興で決められる。
【対象ドキュメント】swebok-v4.pdf ch01 Software Requirements &gt; 4.2(alternative courses / exceptions)/ 3.1(complete)</t>
      </text>
    </comment>
    <comment ref="E63" authorId="0" shapeId="0">
      <text>
        <t>【意図】内部コンポーネントをアクターに含めると、要求(外から観測可能な振る舞い)と設計(内部構造)の境界が崩れ、設計判断が要求として固定化される。Perfect Technology Filterの境界を守る確認。
【対象ドキュメント】swebok-v4.pdf ch01 Software Requirements &gt; 4.2(use case)/ 1.4 Functional Requirements(observable behaviors)</t>
      </text>
    </comment>
    <comment ref="E64" authorId="0" shapeId="0">
      <text>
        <t>【意図】SWEBOKテンプレートのGuarantees(保証)に対応。事後条件が観測不能だとユースケースの達成をテストで実証できず、受入基準としての機能を果たさない。
【対象ドキュメント】swebok-v4.pdf ch01 Software Requirements &gt; 4.2(use case template: Guarantees)/ 3.1(testable)</t>
      </text>
    </comment>
    <comment ref="E65" authorId="0" shapeId="0">
      <text>
        <t>【意図】過剰なinclude/extendの入れ子は、ユースケースを追うだけで複数文書の往復を強いる可読性の劣化を生み、構造化による「精度と簡潔さの向上」という目的に反する。
【対象ドキュメント】swebok-v4.pdf ch01 Software Requirements &gt; 4.2 Structured Natural Language Requirements Specification / 実務補完(Cockburn等のユースケース実務)</t>
      </text>
    </comment>
    <comment ref="E66" authorId="0" shapeId="0">
      <text>
        <t>【意図】SWEBOKは要求レビューを最も一般的な妥当性確認手段とする。記録がなければ誤り・欠落・無効な前提の検出が体系的に行われた証拠がなく、未検証の要求がベースライン化される。
【対象ドキュメント】swebok-v4.pdf ch01 Software Requirements &gt; 5.1 Requirements Reviews</t>
      </text>
    </comment>
    <comment ref="E67" authorId="0" shapeId="0">
      <text>
        <t>【意図】SWEBOKは「顧客・ユーザー(ニーズの正確さ)/要求仕様の専門家(明確さと標準準拠)/下流の設計・実装者(作業に十分か)」の複数視点レビューを推奨する。単一視点では各視点固有の欠陥が素通りする。
【対象ドキュメント】swebok-v4.pdf ch01 Software Requirements &gt; 5.1 Requirements Reviews(review from multiple perspectives)</t>
      </text>
    </comment>
    <comment ref="E68" authorId="0" shapeId="0">
      <text>
        <t>【意図】指摘が未処置のままベースライン化されると、既知の欠陥を仕様として合意したことになり、下流で発見された時の修正コストが跳ね上がる。レビューは指摘のクローズまで含めて妥当性確認になる。
【対象ドキュメント】swebok-v4.pdf ch01 Software Requirements &gt; 5.1 Requirements Reviews / 実務補完(レビュープロセス実務)</t>
      </text>
    </comment>
    <comment ref="E69" authorId="0" shapeId="0">
      <text>
        <t>【意図】SWEBOKは要求開発を「何を作るかの合意に達すること」と定義する。承認記録がなければ合意の成立と対象版が証明できず、後の「言った/言わない」紛争と変更管理の起点喪失を招く。
【対象ドキュメント】swebok-v4.pdf ch01 Software Requirements &gt; 1.11 Software Requirements Activities(reaching an agreement)/ 5. Requirements Validation</t>
      </text>
    </comment>
    <comment ref="E70" authorId="0" shapeId="0">
      <text>
        <t>【意図】SWEBOKは、文書レビューに時間を割けない非技術ステークホルダーに対しプロトタイプ・シミュレーションが有効とし、UIの動的挙動は文章より動くプロトタイプで理解されると指摘する。誤解リスクの高い箇所を文書レビューだけで通すと誤要求のまま実装される。
【対象ドキュメント】swebok-v4.pdf ch01 Software Requirements &gt; 5.2 Simulation and Execution / 5.3 Prototyping</t>
      </text>
    </comment>
    <comment ref="E71" authorId="0" shapeId="0">
      <text>
        <t>【意図】SWEBOKはプロトタイプの危険として「見た目の問題がレビューアの注意を本質的機能から逸らす」ことを挙げる。確認論点の事前定義は、デモが表層の感想会に流れて肝心の要求確認が漏れる事態を防ぐ。
【対象ドキュメント】swebok-v4.pdf ch01 Software Requirements &gt; 5.3 Prototyping(cosmetic issues への警告)</t>
      </text>
    </comment>
    <comment ref="E72" authorId="0" shapeId="0">
      <text>
        <t>【意図】SWEBOKは変更管理を要求管理の中心とし、受付・影響分析・裁定・通知・追跡の要素を明示する。プロセスがないと変更が非公式経路で滑り込み、スコープクリープと成果物間の不整合が常態化する。
【対象ドキュメント】swebok-v4.pdf ch01 Software Requirements &gt; 6.2 Requirements Change Control</t>
      </text>
    </comment>
    <comment ref="E73" authorId="0" shapeId="0">
      <text>
        <t>【意図】SWEBOKは要求文書と個々の要求を他の成果物と同じ構成管理の対象とすべきとする。ベースラインがなければ「変更」を定義できず、変更管理プロセス自体が成立しない。
【対象ドキュメント】swebok-v4.pdf ch01 Software Requirements &gt; 6.2 Requirements Change Control / 4.(構成管理への言及)</t>
      </text>
    </comment>
    <comment ref="E74" authorId="0" shapeId="0">
      <text>
        <t>【意図】SWEBOKは変更受入が「スケジュール・リソース・他スコープへの影響の受入」を意味することを全関係者が理解すべきとする。影響分析なしの受入は、その影響を誰も引き受けないまま計画超過を積み上げる。
【対象ドキュメント】swebok-v4.pdf ch01 Software Requirements &gt; 6.2 Requirements Change Control(impact analysis)/ 7.3(トレースによる影響のfootprint)</t>
      </text>
    </comment>
    <comment ref="E75" authorId="0" shapeId="0">
      <text>
        <t>【意図】SWEBOKのスクラビングは「ステークホルダーニーズを満たす最小の要求集合」を見つけて解の規模・コストを最小化する活動。実施しないとスコープ外・低ROIの要求が温存され、工数と納期を静かに侵食する。
【対象ドキュメント】swebok-v4.pdf ch01 Software Requirements &gt; 6.1 Requirements Scrubbing</t>
      </text>
    </comment>
    <comment ref="E76" authorId="0" shapeId="0">
      <text>
        <t>【意図】SWEBOKのスコープマッチングに対応。要求スコープが制約を超えたまま進むと、破綻が開発後半に露見して最悪のタイミングでの削減交渉になる。定量的(機能規模単位)な突合が望ましいとされる。
【対象ドキュメント】swebok-v4.pdf ch01 Software Requirements &gt; 6.3 Scope Matching</t>
      </text>
    </comment>
    <comment ref="E77" authorId="0" shapeId="0">
      <text>
        <t>【意図】SWEBOKは変動しやすい要求の識別が「変更に強い設計」の確立を助けるとする。安定性評価がないと、変動必至の要求を硬直した構造で実装し、変更のたびに大規模改修を強いられる。
【対象ドキュメント】swebok-v4.pdf ch01 Software Requirements &gt; 7.4 Requirements Stability and Volatility</t>
      </text>
    </comment>
    <comment ref="E78" authorId="0" shapeId="0">
      <text>
        <t>【意図】SWEBOKはトレーシングの第一の目的を成果物間の整合の検証に置く。要求⇔テストの対応がないと、検証されない要求(実装漏れの見逃し)と要求のないテスト(仕様の欠落か無駄)を検出できない。
【対象ドキュメント】swebok-v4.pdf ch01 Software Requirements &gt; 7.3 Requirements Tracing(forward to test cases)</t>
      </text>
    </comment>
    <comment ref="E79" authorId="0" shapeId="0">
      <text>
        <t>【意図】上位にトレースできない要求は「存在理由を説明できない要求」であり、スコープクリープの典型的な侵入形態。SWEBOKは源泉文書への後方トレースを明示する。
【対象ドキュメント】swebok-v4.pdf ch01 Software Requirements &gt; 7.3 Requirements Tracing(back to source documentation)</t>
      </text>
    </comment>
    <comment ref="E80" authorId="0" shapeId="0">
      <text>
        <t>【意図】SWEBOKのトレーシング設問「各要求に対応する下位要素があるか」の適用。前方トレースの欠落は上位目標の未実現(要求の不完全性)をリリースまで隠す。
【対象ドキュメント】swebok-v4.pdf ch01 Software Requirements &gt; 7.3 Requirements Tracing(forward tracing)</t>
      </text>
    </comment>
    <comment ref="E81" authorId="0" shapeId="0">
      <text>
        <t>【意図】SWEBOKは優先順位付けが価値の高い機能の早期提供・対立解消・スコープマッチングを支えるとする。全件同一優先度は優先順位付けの放棄であり、削減交渉時に判断材料がなくなる。
【対象ドキュメント】swebok-v4.pdf ch01 Software Requirements &gt; 7.2 Requirements Prioritization</t>
      </text>
    </comment>
    <comment ref="E82" authorId="0" shapeId="0">
      <text>
        <t>【意図】SWEBOKは満足度だけでなく「なければどれほど不満か」(Kanoモデル)まで考慮しないと誤った優先順位になると警告する。基準の記録がないと優先度が声の大きさで決まり、必須機能が後回しになる。
【対象ドキュメント】swebok-v4.pdf ch01 Software Requirements &gt; 7.2 Requirements Prioritization(価値・コスト・リスク・Kanoモデル)</t>
      </text>
    </comment>
    <comment ref="E83" authorId="0" shapeId="0">
      <text>
        <t>【意図】SWEBOKは要求の量(機能規模・ストーリーポイント)が開発規模の評価・見積り・他計測の分母として有用とする。計測がないとスコープマッチングも変更規模の定量化もできない。
【対象ドキュメント】swebok-v4.pdf ch01 Software Requirements &gt; 7.5 Measuring Requirements(FSM, story points)</t>
      </text>
    </comment>
    <comment ref="E84" authorId="0" shapeId="0">
      <text>
        <t>【意図】SWEBOKはマネジメントが要求の状態からプロジェクト完了度を評価できると述べる。状態列が運用されていないRTMは作成時点のスナップショットに過ぎず、進捗・検証状況の把握手段にならない。
【対象ドキュメント】swebok-v4.pdf ch01 Software Requirements &gt; 4.5(属性)/ 序論(要求の状態によるプロジェクト完了評価)</t>
      </text>
    </comment>
    <comment ref="E85" authorId="0" shapeId="0">
      <text>
        <t>【意図】SWEBOKは要求の安定性・変動性の評価を実務上の考慮事項とする。変更率の追跡は、要求プロセスの品質問題(獲得不足・合意の脆さ)の早期警報であり、再見積りの根拠にもなる。
【対象ドキュメント】swebok-v4.pdf ch01 Software Requirements &gt; 7.4 Requirements Stability and Volatility / 7.5 Measuring Requirements</t>
      </text>
    </comment>
    <comment ref="E86" authorId="0" shapeId="0">
      <text>
        <t>【意図】正本が複数併存すると、どれを見て実装・テストするかが人によって分かれ、古い版に基づく作業が発生する。SWEBOKは要求管理ツールの役割(属性保存・トレース・変更管理)を明示し、正本の一元化を前提とする。
【対象ドキュメント】swebok-v4.pdf ch01 Software Requirements &gt; 8.1 Requirements Management Tools</t>
      </text>
    </comment>
    <comment ref="E87" authorId="0" shapeId="0">
      <text>
        <t>【意図】SWEBOKは「トレースと変更管理はツール支援があって初めて実用的になり得る」とし、スプレッドシート等のアドホック管理を「満足度の低い方法」と明言する。規模に対して手作業運用が破綻すると、トレース・属性が更新されず形骸化する。
【対象ドキュメント】swebok-v4.pdf ch01 Software Requirements &gt; 8.1 Requirements Management Tools(ad hoc管理への警告)</t>
      </text>
    </comment>
    <comment ref="E88" authorId="0" shapeId="0">
      <text>
        <t>【意図】SWEBOKは形式性の高い仕様(BDDシナリオ・状態モデル等)ほどテストケースを機械的に導出できるとする。導出方針をテスト側と事前合意しないと、仕様化技法の選択がテスト工程で活かされず二重作業になる。
【対象ドキュメント】swebok-v4.pdf ch01 Software Requirements &gt; 8.3 Functional Test Case Generation Tools / 4.3(BDDシナリオからのテスト導出)</t>
      </text>
    </comment>
    <comment ref="E89" authorId="0" shapeId="0">
      <text>
        <t>【意図】要求起因の欠陥はプロセスの欠陥の症状であり、成果物検査だけでは同種の欠陥が案件のたびに再発する。プロセス改善のループを確認する。
【対象ドキュメント】swebok-v4.pdf ch01 Software Requirements &gt; 7.6 Requirements Process Quality and Improvement(要求プロセスの品質と改善)</t>
      </text>
    </comment>
  </commentList>
</comments>
</file>

<file path=xl/comments/comment2.xml><?xml version="1.0" encoding="utf-8"?>
<comments xmlns="http://schemas.openxmlformats.org/spreadsheetml/2006/main">
  <authors>
    <author>SWEBOKレビューハーネス</author>
  </authors>
  <commentList>
    <comment ref="E2" authorId="0" shapeId="0">
      <text>
        <t>【意図】誰の関心事に応えるアーキテクチャかが不明だと、声の大きい一部の利害だけを反映した設計になり、運用者・保守者の要求が後工程で噴出して大規模な手戻りを招く。
【対象ドキュメント】swebok-v4.pdf ch02 Software Architecture &gt; 1.2 Stakeholders and Concerns</t>
      </text>
    </comment>
    <comment ref="E3" authorId="0" shapeId="0">
      <text>
        <t>【意図】関心事を分類・記録しないと非機能や制約が暗黙のまま設計が進み、後から性能・セキュリティ要求が判明して構造の作り直しが発生する。
【対象ドキュメント】swebok-v4.pdf ch02 Software Architecture &gt; 1.2 Stakeholders and Concerns(関心事の機能/非機能/制約への分類)</t>
      </text>
    </comment>
    <comment ref="E4" authorId="0" shapeId="0">
      <text>
        <t>【意図】アーキテクチャは環境の中のシステムを外向きに捉えるものであり、境界が曖昧だと責務の押し付け合いや外部システム連携の設計漏れが起きる。
【対象ドキュメント】swebok-v4.pdf ch02 Software Architecture &gt; 1.1 The Senses of "Architecture"(環境の中のシステムという定義)</t>
      </text>
    </comment>
    <comment ref="E5" authorId="0" shapeId="0">
      <text>
        <t>【意図】関心事とビュー/決定の対応が取れていないと、どこにも扱われない関心事が放置され、レビューでも見落とされたままリリースに至る。
【対象ドキュメント】swebok-v4.pdf ch02 Software Architecture &gt; 2. Software Architecture Description / 2.1 Architecture Views and Viewpoints</t>
      </text>
    </comment>
    <comment ref="E6" authorId="0" shapeId="0">
      <text>
        <t>【意図】関心事は開発・運用・保守・テストなど広範な影響を含むため、開発時の視点だけで設計すると運用不能・テスト困難なシステムが本番で発覚する。
【対象ドキュメント】swebok-v4.pdf ch02 Software Architecture &gt; 1.2 Stakeholders and Concerns(developmental/operationalを含む関心事の範囲)</t>
      </text>
    </comment>
    <comment ref="E7" authorId="0" shapeId="0">
      <text>
        <t>【意図】コンウェイの法則によりアーキテクチャは組織の通信構造を写し取るため、組織と構造の不整合を放置するとチーム間調整コストの爆発や責任の空白地帯を生む。
【対象ドキュメント】swebok-v4.pdf ch02 Software Architecture &gt; 1.3 Uses of Architecture(Conway's Law)</t>
      </text>
    </comment>
    <comment ref="E8" authorId="0" shapeId="0">
      <text>
        <t>【意図】関心事は静的でなくライフサイクルや技術・政策の変化とともに進化するため、見直し観点がないと規制変更やエネルギー効率要求に構造が追随できなくなる。
【対象ドキュメント】swebok-v4.pdf ch02 Software Architecture &gt; 1.2 Stakeholders and Concerns(関心事の進化、持続可能性への言及)</t>
      </text>
    </comment>
    <comment ref="E9" authorId="0" shapeId="0">
      <text>
        <t>【意図】アジャイルで創発任せにすると、ユーザーストーリーに現れない安全性・性能などの重要特性が誰にも設計されず、後から構造レベルの作り直しが必要になる。
【対象ドキュメント】swebok-v4.pdf ch02 Software Architecture &gt; 3.1 Architecture in Context — ライフサイクルコンテキスト(アジャイル等での創発的アーキテクチャのリスク)</t>
      </text>
    </comment>
    <comment ref="E10" authorId="0" shapeId="0">
      <text>
        <t>【意図】ASRを一般要求と区別しないと、アーキテクチャを左右する要求が後工程に先送りされ、構造を壊さないと満たせない要求が実装後に見つかる。
【対象ドキュメント】swebok-v4.pdf ch02 Software Architecture &gt; 3.2.1 Architecture Analysis(ASRの収集と定式化)</t>
      </text>
    </comment>
    <comment ref="E11" authorId="0" shapeId="0">
      <text>
        <t>【意図】選定基準がないとASRの認定が恣意的になり、重要でない要求に設計労力を割く一方で真に構造を制約する要求を見落とす。
【対象ドキュメント】swebok-v4.pdf ch02 Software Architecture &gt; 3.2.1 Architecture Analysis(ASR=アーキテクチャに影響する要求の定義)</t>
      </text>
    </comment>
    <comment ref="E12" authorId="0" shapeId="0">
      <text>
        <t>【意図】全要求を同等に扱うと分析・統合の反復で焦点が定まらず、コストや納期との衝突時にどの要求を交渉・緩和すべきか判断できない。
【対象ドキュメント】swebok-v4.pdf ch02 Software Architecture &gt; 3.2.1 Architecture Analysis(要求と制約の衝突時の交渉)</t>
      </text>
    </comment>
    <comment ref="E13" authorId="0" shapeId="0">
      <text>
        <t>【意図】高優先ASRに対応する構造・戦術が特定できないと、要求が「書かれただけ」で終わり、評価時に充足性を検証する手がかりも失われる。
【対象ドキュメント】swebok-v4.pdf ch02 Software Architecture &gt; 3.2.2 Architecture Synthesis(ASRが示す設計問題への解の展開)</t>
      </text>
    </comment>
    <comment ref="E14" authorId="0" shapeId="0">
      <text>
        <t>【意図】出典不明のASRは根拠の検証も変更時の影響分析もできず、要求変更がアーキテクチャへ伝播しない(またはその逆)事故を招く。
【対象ドキュメント】swebok-v4.pdf ch02 Software Architecture &gt; 3.2.1 Architecture Analysis(既知の要求・コンテキストに基づく分析)</t>
      </text>
    </comment>
    <comment ref="E15" authorId="0" shapeId="0">
      <text>
        <t>【意図】品質属性を標準分類で整理しないと、関係者ごとに用語の解釈がずれ、性能とスケーラビリティの混同のような認識齟齬が評価段階まで残る。
【対象ドキュメント】swebok-v4.pdf ch02 Software Architecture &gt; 1.2 Stakeholders and Concerns(品質属性としての関心事)+ 実務補完(ISO/IEC 25010)</t>
      </text>
    </comment>
    <comment ref="E16" authorId="0" shapeId="0">
      <text>
        <t>【意図】エンタープライズアーキテクチャや上位システムからの制約はASRとして反映すべきものであり、見落とすと適合性検査や統合段階で不適合が発覚し設計をやり直すことになる。
【対象ドキュメント】swebok-v4.pdf ch02 Software Architecture &gt; 3.1 Architecture in Context / 3.4 Architecting in the Large(上位アーキテクチャへの準拠)</t>
      </text>
    </comment>
    <comment ref="E17" authorId="0" shapeId="0">
      <text>
        <t>【意図】予算・納期・スキルなどの事業的制約は設計の選択肢を実質的に決めるため、無視すると技術的には正しくても実現不能な机上の設計になる。
【対象ドキュメント】swebok-v4.pdf ch02 Software Architecture &gt; 1.2 Stakeholders and Concerns(business/organizational/economicな影響)</t>
      </text>
    </comment>
    <comment ref="E18" authorId="0" shapeId="0">
      <text>
        <t>【意図】法規制・コンプライアンスは関心事の主要類型であり、対応漏れは設計手戻りにとどまらず事業停止・罰則という回復困難な損害につながる。
【対象ドキュメント】swebok-v4.pdf ch02 Software Architecture &gt; 1.2 Stakeholders and Concerns(legal/regulatoryな関心事)</t>
      </text>
    </comment>
    <comment ref="E19" authorId="0" shapeId="0">
      <text>
        <t>【意図】設計判断の前提となる仮定を明示しないと、決定の妥当性を後から検証できず、規模想定の誤りが本番の性能障害として初めて表面化する。
【対象ドキュメント】swebok-v4.pdf ch02 Software Architecture &gt; 2.4 Architecture as Significant Decisions(決定に先立つ仮定の記録)</t>
      </text>
    </comment>
    <comment ref="E20" authorId="0" shapeId="0">
      <text>
        <t>【意図】前提が崩れたときの影響と見直しトリガーがないと、環境変化に誰も気づかず、破綻した前提の上に機能追加を積み重ねてしまう。
【対象ドキュメント】swebok-v4.pdf ch02 Software Architecture &gt; 2.4 Architecture as Significant Decisions(条件変化時の決定の再検討)</t>
      </text>
    </comment>
    <comment ref="E21" authorId="0" shapeId="0">
      <text>
        <t>【意図】データ主権・所在地規制の見落としは稼働後に発覚するとシステム移設という最大級の手戻りになる。
【対象ドキュメント】Well-Architected Framework for OCI &gt; Operational Efficiency &gt; Plan Your Deployment Strategy &gt; Choose a Region Based on Your Customers and Data / Distributed Cloud &gt; Follow Distributed Cloud Design Principles</t>
      </text>
    </comment>
    <comment ref="E22" authorId="0" shapeId="0">
      <text>
        <t>【意図】単一ビューでは多様な関心事を扱えない(multiple viewsの必要性)ため、構造と配置の最低2観点がないと運用・展開の関心事が設計から抜け落ちる。
【対象ドキュメント】swebok-v4.pdf ch02 Software Architecture &gt; 2.1 Architecture Views and Viewpoints(複数ビューによる関心事の分離)</t>
      </text>
    </comment>
    <comment ref="E23" authorId="0" shapeId="0">
      <text>
        <t>【意図】ビューポイントはビューの作成・解釈の規約を与えるものであり、これがないと図の読み方が人により異なり、誤読に基づく実装ミスを誘発する。
【対象ドキュメント】swebok-v4.pdf ch02 Software Architecture &gt; 2.1 Architecture Views and Viewpoints(ビューポイントによる規約の文書化)</t>
      </text>
    </comment>
    <comment ref="E24" authorId="0" shapeId="0">
      <text>
        <t>【意図】記法の定義がない図は書いた本人以外に正確に伝わらず、矢印の向きや線種の解釈違いがインタフェース設計の食い違いとして実装段階で顕在化する。
【対象ドキュメント】swebok-v4.pdf ch02 Software Architecture &gt; 2.1 Architecture Views and Viewpoints / 2.3 Architecture Description Languages and Architecture Frameworks</t>
      </text>
    </comment>
    <comment ref="E25" authorId="0" shapeId="0">
      <text>
        <t>【意図】アーキテクチャ設計の中核は主要コンポーネントの責務・特性・関係の特定であり、名前だけの箱は責務の重複や空白を隠し、チーム間の実装衝突を生む。
【対象ドキュメント】swebok-v4.pdf ch02 Software Architecture &gt; 3.2 Architectural Design(主要コンポーネントとその責務の特定)</t>
      </text>
    </comment>
    <comment ref="E26" authorId="0" shapeId="0">
      <text>
        <t>【意図】コンポーネント間の通信・相互作用が未定義だと、チームごとに勝手なプロトコル・データ形式を採用し、統合テストで初めて不整合が発覚する。
【対象ドキュメント】swebok-v4.pdf ch02 Software Architecture &gt; 3.2 Architectural Design(コンポーネントインタフェース、相互作用)</t>
      </text>
    </comment>
    <comment ref="E27" authorId="0" shapeId="0">
      <text>
        <t>【意図】複数ビュー導入の代償はビュー間不整合(multiple views problem)であり、対応関係の確認を怠ると「同じシステムを描いていない」図面群を根拠に実装が進む。
【対象ドキュメント】swebok-v4.pdf ch02 Software Architecture &gt; 2.1 Architecture Views and Viewpoints(multiple views problemと対応規則)</t>
      </text>
    </comment>
    <comment ref="E28" authorId="0" shapeId="0">
      <text>
        <t>【意図】静的構造だけでは並行性・実行時相互作用の妥当性を判断できず、性能・デッドロック等の問題が実行して初めて見つかる。
【対象ドキュメント】swebok-v4.pdf ch02 Software Architecture &gt; 2.1 Architecture Views and Viewpoints(component and connectorビューポイント、processビュー)</t>
      </text>
    </comment>
    <comment ref="E29" authorId="0" shapeId="0">
      <text>
        <t>【意図】配置ビューが抽象的なままだと、ネットワーク境界・冗長構成・リージョン配置の考慮漏れが本番構築時に発覚し、可用性目標が達成できない。
【対象ドキュメント】swebok-v4.pdf ch02 Software Architecture &gt; 2.1 Architecture Views and Viewpoints(deploymentビューポイント)</t>
      </text>
    </comment>
    <comment ref="E30" authorId="0" shapeId="0">
      <text>
        <t>【意図】データの所在・所有者・ライフサイクルが不明だと、整合性責任の押し付け合いやデータ保護要件の適用漏れが起き、後からの是正コストが大きい。
【対象ドキュメント】swebok-v4.pdf ch02 Software Architecture &gt; 2.1 Architecture Views and Viewpoints(informationビューポイント)</t>
      </text>
    </comment>
    <comment ref="E31" authorId="0" shapeId="0">
      <text>
        <t>【意図】図の元データが管理されていないと更新できない「化石図」になり、ADが実態と乖離して評価・保守の情報源として機能しなくなる。
【対象ドキュメント】実務補完(Docs as Code / 図のソース管理)</t>
      </text>
    </comment>
    <comment ref="E32" authorId="0" shapeId="0">
      <text>
        <t>【意図】1枚の図に抽象度が混在すると読者が着目すべき粒度を見失い、レビューで本質的な構造問題より枝葉の指摘に時間が費やされる。
【対象ドキュメント】実務補完(C4モデル等の図解プラクティス)+ 2.1(ビューによる複雑さの管理)</t>
      </text>
    </comment>
    <comment ref="E33" authorId="0" shapeId="0">
      <text>
        <t>【意図】採用スタイル・パターンの名前を明示することは共通語彙による共有理解の基盤であり、これがないと新規参画者が構造の意図を推測で補い誤った拡張をする。
【対象ドキュメント】swebok-v4.pdf ch02 Software Architecture &gt; 2.2 Architecture Patterns, Styles and Reference Architectures</t>
      </text>
    </comment>
    <comment ref="E34" authorId="0" shapeId="0">
      <text>
        <t>【意図】スタイルは特定の文脈の問題への解であり、ASRとの結び付きがない採用は流行追随に堕して、不要な複雑さ(例: 不必要なマイクロサービス化)のコストだけを残す。
【対象ドキュメント】swebok-v4.pdf ch02 Software Architecture &gt; 2.2 Architecture Patterns, Styles and Reference Architectures(文脈における問題への解)</t>
      </text>
    </comment>
    <comment ref="E35" authorId="0" shapeId="0">
      <text>
        <t>【意図】依存方向の規律がないと循環依存が蓄積してレイヤ構造が形骸化し、小さな変更が全体に波及する変更容易性の崩壊を招く。
【対象ドキュメント】swebok-v4.pdf ch02 Software Architecture &gt; 2.2(layeredスタイル)+ 4.4 Architecture Metrics(依存・循環性メトリクス)</t>
      </text>
    </comment>
    <comment ref="E36" authorId="0" shapeId="0">
      <text>
        <t>【意図】横断的関心事の実現方法を決めないと、認証・ログが各コンポーネントにバラバラに実装され、Dijkstraのいう関心の分離が失われて監査・変更が困難になる。
【対象ドキュメント】swebok-v4.pdf ch02 Software Architecture &gt; 1.2 Stakeholders and Concerns(separation of concerns)</t>
      </text>
    </comment>
    <comment ref="E37" authorId="0" shapeId="0">
      <text>
        <t>【意図】リファレンスアーキテクチャは他のアーキテクチャを制約・誘導するものであり、無断逸脱は組織標準との相互運用性喪失や統制上の指摘につながる。
【対象ドキュメント】swebok-v4.pdf ch02 Software Architecture &gt; 2.2 Architecture Patterns, Styles and Reference Architectures(RA)</t>
      </text>
    </comment>
    <comment ref="E38" authorId="0" shapeId="0">
      <text>
        <t>【意図】変化しやすい要素を局所化しないと外部サービス仕様変更やUI刷新のたびに広範囲の改修が必要になり、進化性という『良さ』の基準を満たせない。
【対象ドキュメント】swebok-v4.pdf ch02 Software Architecture &gt; 4.1 "Goodness" in Architecture(進化への頑健性)+ 実務補完(変更容易性の戦術)</t>
      </text>
    </comment>
    <comment ref="E39" authorId="0" shapeId="0">
      <text>
        <t>【意図】スタイル(全体)とパターン(局所)の区別を誤ると、システムの一部の解法を全体の説明として流用し、読者に実態と異なる全体像を植え付ける。
【対象ドキュメント】swebok-v4.pdf ch02 Software Architecture &gt; 2.2 Architecture Patterns, Styles and Reference Architectures(スタイルとパターンのスコープの違い)</t>
      </text>
    </comment>
    <comment ref="E40" authorId="0" shapeId="0">
      <text>
        <t>【意図】共通性と可変性を設計せずに複数製品へ展開すると、コピー&amp;改変による派生コードが乱立し、同一不具合の多重修正など保守コストが際限なく増大する。
【対象ドキュメント】swebok-v4.pdf ch02 Software Architecture &gt; 1.3 Uses of Architecture — 再利用・プロダクトライン(共通性と可変性の設計)</t>
      </text>
    </comment>
    <comment ref="E41" authorId="0" shapeId="0">
      <text>
        <t>【意図】状態管理の設計を曖昧にすると、後からのスケールアウト対応が大規模な作り直しになる。
【対象ドキュメント】Google Cloud Well-Architected Framework &gt; 信頼性 &gt; Take advantage of horizontal scalability &gt; Implement a stateless design</t>
      </text>
    </comment>
    <comment ref="E42" authorId="0" shapeId="0">
      <text>
        <t>【意図】拡張単位が未定義だと、成長時に個別リソースの場当たり的増強となり、整合の取れないスケールで性能・信頼性が劣化する。
【対象ドキュメント】Azure Well-Architected Framework &gt; パフォーマンス効率の柱 &gt; PE:05 (Optimizing scaling and partitioning &gt; scale unit design / Deployment Stamps pattern)</t>
      </text>
    </comment>
    <comment ref="E43" authorId="0" shapeId="0">
      <text>
        <t>【意図】アーキテクチャは重要決定のネットワークとして捉えられ、決定を記録しないと後任者が理由不明の構造を壊す変更を加え、過去に棄却済みの悪手を繰り返す。
【対象ドキュメント】swebok-v4.pdf ch02 Software Architecture &gt; 2.4 Architecture as Significant Decisions</t>
      </text>
    </comment>
    <comment ref="E44" authorId="0" shapeId="0">
      <text>
        <t>【意図】検討した代替案と棄却理由の記録は、忘れられた理由で棄却済みの案を将来再び選ぶ事故を防ぎ、条件変化時に決定を再検討する材料になる。
【対象ドキュメント】swebok-v4.pdf ch02 Software Architecture &gt; 2.4 Architecture as Significant Decisions(rationale: 検討した代替案・棄却理由の記録)</t>
      </text>
    </comment>
    <comment ref="E45" authorId="0" shapeId="0">
      <text>
        <t>【意図】品質属性間のトレードオフこそ設計決定の基盤であり、根拠と犠牲にした特性が残っていないと、決定の妥当性を評価も再検討もできない。
【対象ドキュメント】swebok-v4.pdf ch02 Software Architecture &gt; 2.4 Architecture as Significant Decisions(rationale、品質属性間のトレードオフ)</t>
      </text>
    </comment>
    <comment ref="E46" authorId="0" shapeId="0">
      <text>
        <t>【意図】ステータス・日付・決定者がないと、その決定が現在有効か廃止済みかを判別できず、無効な決定に基づく実装や責任の所在不明を招く。
【対象ドキュメント】swebok-v4.pdf ch02 Software Architecture &gt; 2.4 Architecture as Significant Decisions + 実務補完(ADRテンプレート)</t>
      </text>
    </comment>
    <comment ref="E47" authorId="0" shapeId="0">
      <text>
        <t>【意図】決定がどの関心事・要求・制約に応えるものかが不明だと、要求変更時にどの決定を見直すべきか特定できず、影響分析が総当たりになる。
【対象ドキュメント】swebok-v4.pdf ch02 Software Architecture &gt; 2.4 Architecture as Significant Decisions(関心事・要求・資源が決定に影響)</t>
      </text>
    </comment>
    <comment ref="E48" authorId="0" shapeId="0">
      <text>
        <t>【意図】アーキテクチャ上の技術的負債は将来他者が支払うことになる経済的影響を持つため、記録しないと返済されないまま保守性・進化性を静かに侵食する。
【対象ドキュメント】swebok-v4.pdf ch02 Software Architecture &gt; 2.4 Architecture as Significant Decisions(architectural technical debt)</t>
      </text>
    </comment>
    <comment ref="E49" authorId="0" shapeId="0">
      <text>
        <t>【意図】置換された決定を消してしまうと決定のネットワーク(派生関係)の履歴が失われ、なぜ現在の構造に至ったかを追跡できなくなる。
【対象ドキュメント】swebok-v4.pdf ch02 Software Architecture &gt; 2.4 Architecture as Significant Decisions(決定のネットワーク、棄却決定の保存)</t>
      </text>
    </comment>
    <comment ref="E50" authorId="0" shapeId="0">
      <text>
        <t>【意図】決定は後続の開発プロセスとシステムに深い影響を及ぼすため、負の影響・新たな制約を明示しないと、副作用が想定外の障害として下流工程を直撃する。
【対象ドキュメント】swebok-v4.pdf ch02 Software Architecture &gt; 2.4 Architecture as Significant Decisions(決定の帰結)</t>
      </text>
    </comment>
    <comment ref="E51" authorId="0" shapeId="0">
      <text>
        <t>【意図】高優先の品質属性をシナリオ化しないと「高可用」「高性能」が合意なき標語のまま残り、評価もテストも不可能な要求として実装者に丸投げされる。
【対象ドキュメント】swebok-v4.pdf ch02 Software Architecture &gt; 4.1 "Goodness" in Architecture(ATAM: ユーティリティツリーと品質シナリオ)</t>
      </text>
    </comment>
    <comment ref="E52" authorId="0" shapeId="0">
      <text>
        <t>【意図】応答測定が定量的でないシナリオは充足判定ができず、リリース判定時に「十分速いか」を巡る水掛け論と判断先送りを生む。
【対象ドキュメント】swebok-v4.pdf ch02 Software Architecture &gt; 4.1(品質シナリオによる評価)+ 実務補完(品質特性シナリオの応答測定、Bass et al.)</t>
      </text>
    </comment>
    <comment ref="E53" authorId="0" shapeId="0">
      <text>
        <t>【意図】6要素が欠けたシナリオは刺激や環境が曖昧で解釈が割れ、設計者とテスト担当が異なる条件を想定して検証の齟齬が生じる。
【対象ドキュメント】実務補完(品質特性シナリオの6要素、Bass et al.)</t>
      </text>
    </comment>
    <comment ref="E54" authorId="0" shapeId="0">
      <text>
        <t>【意図】通常時のみのシナリオでは障害時・ピーク時の振る舞いが設計されず、平常時は健全でも高負荷や部分障害で連鎖的に崩壊するシステムになる。
【対象ドキュメント】実務補完(品質特性シナリオの環境要素)+ 4.1(ライフタイムを通じた頑健性)</t>
      </text>
    </comment>
    <comment ref="E55" authorId="0" shapeId="0">
      <text>
        <t>【意図】シナリオに優先度がないと限られた設計・評価リソースの配分基準がなく、ビジネス価値の低いシナリオに労力を費やし重要リスクを見逃す。
【対象ドキュメント】swebok-v4.pdf ch02 Software Architecture &gt; 4.1 "Goodness" in Architecture(ATAMのユーティリティツリー)</t>
      </text>
    </comment>
    <comment ref="E56" authorId="0" shapeId="0">
      <text>
        <t>【意図】スケーリング・性能・資源消費の分析はアーキテクチャ設計の典型的関心事であり、数値根拠なしでは容量不足が本番負荷で初めて露呈する。
【対象ドキュメント】swebok-v4.pdf ch02 Software Architecture &gt; 3.2 Architectural Design(scaling/performance/resource consumptionの分析)</t>
      </text>
    </comment>
    <comment ref="E57" authorId="0" shapeId="0">
      <text>
        <t>【意図】単一障害点と復旧方式を設計段階で分析しないと、可用性目標が構造で担保されず、障害発生時に復旧手順がその場しのぎになる。
【対象ドキュメント】swebok-v4.pdf ch02 Software Architecture &gt; 3.2 Architectural Design(信頼性特性の分析)+ 2.1(availabilityビューポイント)</t>
      </text>
    </comment>
    <comment ref="E58" authorId="0" shapeId="0">
      <text>
        <t>【意図】セキュリティはシステム全体で扱うべき支配的関心事であり、構造に反映されていないと後付けの対策となり、信頼境界の欠陥が侵害事故に直結する。
【対象ドキュメント】swebok-v4.pdf ch02 Software Architecture &gt; 3.2 Architectural Design(safety/securityへのシステム全体アプローチ)</t>
      </text>
    </comment>
    <comment ref="E59" authorId="0" shapeId="0">
      <text>
        <t>【意図】将来の変更シナリオを検討しないと今日の決定の負債性に気づけず、進化性を欠いた構造が数年後の機能追加コストを跳ね上げる。
【対象ドキュメント】swebok-v4.pdf ch02 Software Architecture &gt; 4.1 "Goodness" in Architecture(進化への頑健性)/ 2.4(技術的負債)</t>
      </text>
    </comment>
    <comment ref="E60" authorId="0" shapeId="0">
      <text>
        <t>【意図】品質シナリオの応答測定を実運用で計測する手段がないと、目標達成の検証が永遠にできず、劣化の兆候にも気づけない。
【対象ドキュメント】実務補完(オブザーバビリティ)+ 4.4 Architecture Metrics(継続的開発でのメトリクス)</t>
      </text>
    </comment>
    <comment ref="E61" authorId="0" shapeId="0">
      <text>
        <t>【意図】評価をマイルストーンで実施しないと欠陥あるアーキテクチャのまま実装が進み、構造レベルの欠陥は実装後の修正コストが桁違いに大きくなる。
【対象ドキュメント】swebok-v4.pdf ch02 Software Architecture &gt; 4. Software Architecture Evaluation / 4.3 Architecture Reviews</t>
      </text>
    </comment>
    <comment ref="E62" authorId="0" shapeId="0">
      <text>
        <t>【意図】評価は選択した解がASRを満たすかの検証であり、ASR単位の結果がないと「何となく良さそう」で終わり、リワークが必要な箇所を特定できない。
【対象ドキュメント】swebok-v4.pdf ch02 Software Architecture &gt; 3.2.3 Architecture Evaluation(ASR充足の検証とリワーク箇所の特定)</t>
      </text>
    </comment>
    <comment ref="E63" authorId="0" shapeId="0">
      <text>
        <t>【意図】競合する品質要求間のトレードオフ分析が評価の鍵であり、リスク・感度点・トレードオフ点を残さないと、危険な決定がどれか関係者に伝わらない。
【対象ドキュメント】swebok-v4.pdf ch02 Software Architecture &gt; 4.1 "Goodness" in Architecture(ATAM)</t>
      </text>
    </comment>
    <comment ref="E64" authorId="0" shapeId="0">
      <text>
        <t>【意図】アーキテクチャは代替案の分析・評価の基盤であり、単一案しか検討しない設計は最初の思い付きの追認となり、より良い解を体系的に逃す。
【対象ドキュメント】swebok-v4.pdf ch02 Software Architecture &gt; 1.3 Uses of Architecture(代替案の分析・評価)/ 3.2.2 Architecture Synthesis(候補解の開発)</t>
      </text>
    </comment>
    <comment ref="E65" authorId="0" shapeId="0">
      <text>
        <t>【意図】評価は典型的には第三者による査定として行われるものであり、作成者のみの自己評価では思い込みによる盲点(暗黙の前提)を検出できない。
【対象ドキュメント】swebok-v4.pdf ch02 Software Architecture &gt; 4.1 "Goodness" in Architecture(第三者による評価)/ 4.3 Architecture Reviews</t>
      </text>
    </comment>
    <comment ref="E66" authorId="0" shapeId="0">
      <text>
        <t>【意図】ユースケースの各ステップと構成要素の突き合わせは完全性・一貫性の実証的な確認手段であり、怠るとインタフェースや要素の欠落が実装で発覚する。
【対象ドキュメント】swebok-v4.pdf ch02 Software Architecture &gt; 4.2 Reasoning about Architectures(ユースケースによる完全性・一貫性の確認)</t>
      </text>
    </comment>
    <comment ref="E67" authorId="0" shapeId="0">
      <text>
        <t>【意図】レビューの目的はリスクの識別であり、指摘を追跡管理しないと発見済みのリスクが放置され、評価の実施自体が形骸化する。
【対象ドキュメント】swebok-v4.pdf ch02 Software Architecture &gt; 4.3 Architecture Reviews + 実務補完(指摘のトラッキング)</t>
      </text>
    </comment>
    <comment ref="E68" authorId="0" shapeId="0">
      <text>
        <t>【意図】技術的に不確実な箇所を検証なしに採用すると、実現不能性がプロジェクト後半に発覚し、実現可能性・費用対効果という評価基準を満たせない。
【対象ドキュメント】swebok-v4.pdf ch02 Software Architecture &gt; 4.1 "Goodness" in Architecture(実現可能性・費用対効果)+ 実務補完(PoC/技術スパイク)</t>
      </text>
    </comment>
    <comment ref="E69" authorId="0" shapeId="0">
      <text>
        <t>【意図】主要技術の選定はアーキテクチャに深い影響を与える重要決定であり、理由が残っていないと更改時に採用意図が分からず、安易な置き換えや不合理な固執を招く。
【対象ドキュメント】swebok-v4.pdf ch02 Software Architecture &gt; 2.4 Architecture as Significant Decisions(技術選定を含む重要決定の文書化)</t>
      </text>
    </comment>
    <comment ref="E70" authorId="0" shapeId="0">
      <text>
        <t>【意図】基準を後付けにすると結論ありきの比較(基準の恣意的操作)が可能になり、選定の公正さと説明責任が失われる。
【対象ドキュメント】swebok-v4.pdf ch02 Software Architecture &gt; 2.4(代替案・選定基準を含むrationale)+ 実務補完(技術選定プロセス)</t>
      </text>
    </comment>
    <comment ref="E71" authorId="0" shapeId="0">
      <text>
        <t>【意図】評価基準がASR・制約から導出されていないと、システムの品質要求と無関係な好みで技術が選ばれ、選定した技術がASRを満たせないリスクを見逃す。
【対象ドキュメント】swebok-v4.pdf ch02 Software Architecture &gt; 3.2.1 Architecture Analysis(ASR)+ 2.4(要求・制約が決定に影響)</t>
      </text>
    </comment>
    <comment ref="E72" authorId="0" shapeId="0">
      <text>
        <t>【意図】ライセンス条件の見落としはソース公開義務や商用利用不可という法的問題に、コスト未見積もりは運用予算の破綻に直結する。
【対象ドキュメント】実務補完(OSSライセンス・TCO評価)</t>
      </text>
    </comment>
    <comment ref="E73" authorId="0" shapeId="0">
      <text>
        <t>【意図】EOLやベンダーロックインを評価しないと、採用技術の突然のサポート終了で計画外の大規模移行を強いられ、進化性が外部要因で失われる。
【対象ドキュメント】実務補完(技術ライフサイクル・ロックイン評価)+ 4.1(ライフタイムを通じた頑健性)</t>
      </text>
    </comment>
    <comment ref="E74" authorId="0" shapeId="0">
      <text>
        <t>【意図】伝聞や評判のみに基づく選定は自環境での適合性を保証せず、想定と異なる性能・制約が導入後に発覚して撤退コストを支払うことになる。
【対象ドキュメント】実務補完(一次情報・実測による裏付け)</t>
      </text>
    </comment>
    <comment ref="E75" authorId="0" shapeId="0">
      <text>
        <t>【意図】ADはシステムの進化や人の入れ替わりの中で共有理解を支える作業成果物であり、版管理がないとどれが現行かが分からず、古い記述に基づく判断ミスを生む。
【対象ドキュメント】swebok-v4.pdf ch02 Software Architecture &gt; 2. Software Architecture Description(作業成果物としてのAD)+ 実務補完(構成管理)</t>
      </text>
    </comment>
    <comment ref="E76" authorId="0" shapeId="0">
      <text>
        <t>【意図】ADは関心事を持つステークホルダーに向けた文書であり、承認記録がないと合意なき設計として後から覆され、実装済み部分の手戻りが発生する。
【対象ドキュメント】swebok-v4.pdf ch02 Software Architecture &gt; 2. Software Architecture Description(ステークホルダーへの対応)+ 実務補完(承認プロセス)</t>
      </text>
    </comment>
    <comment ref="E77" authorId="0" shapeId="0">
      <text>
        <t>【意図】ビューポイントの語彙は関係者の共有された表現手段であり、同一概念に複数名称が混在すると別物と誤認され、設計議論と実装の齟齬を生む。
【対象ドキュメント】swebok-v4.pdf ch02 Software Architecture &gt; 2.1 Architecture Views and Viewpoints(共有語彙としてのビューポイント言語)</t>
      </text>
    </comment>
    <comment ref="E78" authorId="0" shapeId="0">
      <text>
        <t>【意図】実装がアーキテクチャに準拠していることの監督・認証(architecture implementation)を欠くと、ADと実装が乖離し、設計上の品質保証が実体を失う。
【対象ドキュメント】swebok-v4.pdf ch02 Software Architecture &gt; 3.4 Architecting in the Large(architecture implementation: 準拠の認証)</t>
      </text>
    </comment>
    <comment ref="E79" authorId="0" shapeId="0">
      <text>
        <t>【意図】依存・結合度などの構造メトリクスやDevOps系プロセスメトリクスを定義しないと、アーキテクチャの劣化を定量的に検知できず、気づいたときには修復困難になっている。
【対象ドキュメント】swebok-v4.pdf ch02 Software Architecture &gt; 4.4 Architecture Metrics</t>
      </text>
    </comment>
    <comment ref="E80" authorId="0" shapeId="0">
      <text>
        <t>【意図】実装後のアーキテクチャの管理・拡張(architecture maintenance)の仕組みがないと、ADが初回リリース時点で凍結され、以降の変更が無統制に積み重なる。
【対象ドキュメント】swebok-v4.pdf ch02 Software Architecture &gt; 3.4 Architecting in the Large(architecture maintenance)</t>
      </text>
    </comment>
    <comment ref="E81" authorId="0" shapeId="0">
      <text>
        <t>【意図】参照を辿れない・略語が展開されない文書は新規参画者の理解を阻害し、ADの主目的である共有理解の形成が果たせない。
【対象ドキュメント】実務補完(ドキュメント品質)+ 1.3 Uses of Architecture(共有理解の形成)</t>
      </text>
    </comment>
    <comment ref="E82" authorId="0" shapeId="0">
      <text>
        <t>【意図】表崩れや参照切れは内容以前に文書の信頼性を損ない、読者が細部の正確さ全体を疑って文書自体が使われなくなる。
【対象ドキュメント】実務補完(ドキュメント品質)</t>
      </text>
    </comment>
    <comment ref="E83" authorId="0" shapeId="0">
      <text>
        <t>【意図】決定や教訓がプロジェクト内に閉じると、組織内の別チームが同じ技術評価や失敗を繰り返し、アーキテクチャ検討のコストが毎回ゼロから発生する。
【対象ドキュメント】swebok-v4.pdf ch02 Software Architecture &gt; 3.4 Architecting in the Large — アーキテクチャ知識管理(architecture knowledge management)</t>
      </text>
    </comment>
  </commentList>
</comments>
</file>

<file path=xl/comments/comment3.xml><?xml version="1.0" encoding="utf-8"?>
<comments xmlns="http://schemas.openxmlformats.org/spreadsheetml/2006/main">
  <authors>
    <author>SWEBOKレビューハーネス</author>
  </authors>
  <commentList>
    <comment ref="E2" authorId="0" shapeId="0">
      <text>
        <t>【意図】要求に対応しない設計(実装漏れ)や、要求のない勝手な作り込みを防ぐ。対応表がないと、テスト工程で要求の実現有無を検証できず大規模な手戻りになる。
【対象ドキュメント】swebok-v4.pdf ch03 Software Design &gt; 1.2 Context of Software Design(要求との関係)/ 1.4 Completeness(要求に対する設計の完全性)</t>
      </text>
    </comment>
    <comment ref="E3" authorId="0" shapeId="0">
      <text>
        <t>【意図】アーキテクチャが定めた制約(構成要素・API・スタイル・原則)に反する詳細設計は、統合時に構造の破綻や作り直しを招く。上位設計との矛盾を実装前に検出する。
【対象ドキュメント】swebok-v4.pdf ch03 Software Design &gt; 1.2 Context of Software Design(アーキテクチャとの関係)/ 2.2 Detailed Design(上位設計の制約下で進める)</t>
      </text>
    </comment>
    <comment ref="E4" authorId="0" shapeId="0">
      <text>
        <t>【意図】性能・セキュリティ等の品質懸念は全設計アプローチが扱うべき基本課題であり、後付け対応はほぼ不可能。設計時点で対応方針を持たないと本番で品質要求未達が露見する。
【対象ドキュメント】swebok-v4.pdf ch03 Software Design &gt; 1.3 Key Issues in Software Design / 3. Software Design Qualities</t>
      </text>
    </comment>
    <comment ref="E5" authorId="0" shapeId="0">
      <text>
        <t>【意図】範囲が曖昧だと「書かれていない部分」が設計漏れなのか対象外なのか判別できず、レビューの網羅性が保証できない。読者と用途を意識した設計記述の前提となる。
【対象ドキュメント】swebok-v4.pdf ch03 Software Design &gt; 4. Recording Software Designs(読者・主題・用途に応じた設計仕様の決定)</t>
      </text>
    </comment>
    <comment ref="E6" authorId="0" shapeId="0">
      <text>
        <t>【意図】設計は問題と解を表現する語彙を作る言語的活動であり、同一概念に複数名称があると実装者間で解釈が割れ、命名の不整合がそのままコードの不整合になる。
【対象ドキュメント】swebok-v4.pdf ch03 Software Design &gt; 1.1 Design Thinking(語彙の創出)/ 1.4 Uniformity</t>
      </text>
    </comment>
    <comment ref="E7" authorId="0" shapeId="0">
      <text>
        <t>【意図】参照文書の版が特定できないと、古い要求仕様を前提に設計・実装してしまう事故が起きる。設計変更時の影響追跡の起点にもなる。
【対象ドキュメント】実務補完(IEEE 1016 SDD 実務・構成管理)</t>
      </text>
    </comment>
    <comment ref="E8" authorId="0" shapeId="0">
      <text>
        <t>【意図】詳細設計は「プログラマが構築工程でコーディングできる十分な詳細さ」が完了条件。粒度不足は実装者ごとの独自判断を生み、結合時の不整合と手戻りを招く。
【対象ドキュメント】swebok-v4.pdf ch03 Software Design &gt; 2.2 Detailed Design(構築を可能にする詳細度)</t>
      </text>
    </comment>
    <comment ref="E9" authorId="0" shapeId="0">
      <text>
        <t>【意図】版管理がないと、どの版をレビュー・承認したのか、実装がどの版に基づくのかが追えず、変更の見落としによる実装差異が発生する。
【対象ドキュメント】実務補完(構成管理実務)</t>
      </text>
    </comment>
    <comment ref="E10" authorId="0" shapeId="0">
      <text>
        <t>【意図】モジュール化は大きなソフトウェアを理解・保守可能にする基本原則。責務が未定義のモジュールは責務の重複・漏れを生み、どこに何を実装すべきか実装者が判断できない。
【対象ドキュメント】swebok-v4.pdf ch03 Software Design &gt; 1.4 Modularization / 2.2 Detailed Design(モジュールへの設計責務の割当て)</t>
      </text>
    </comment>
    <comment ref="E11" authorId="0" shapeId="0">
      <text>
        <t>【意図】循環依存は疎結合の原則に反し、単体テスト不能・ビルド順序の破綻・修正影響の波及拡大を招く。設計段階でしか安価に解消できない。
【対象ドキュメント】swebok-v4.pdf ch03 Software Design &gt; 1.4 Coupling(疎結合の原則)</t>
      </text>
    </comment>
    <comment ref="E12" authorId="0" shapeId="0">
      <text>
        <t>【意図】複数責務を抱えるモジュールは変更理由が複数になり、無関係な修正が相互に影響して劣化が加速する。Parnas の単一責任と高凝集の原則の実地検証。
【対象ドキュメント】swebok-v4.pdf ch03 Software Design &gt; 1.4 Modularization(Parnasの単一責任)・Cohesion / 5.4 Object-Oriented Design(SOLID)</t>
      </text>
    </comment>
    <comment ref="E13" authorId="0" shapeId="0">
      <text>
        <t>【意図】内部構造が外部から直接触られると、内部変更が広範囲の呼び出し元を壊す。情報隠蔽により利用者がインタフェースの本質だけに集中でき、変更の影響が局所化される。
【対象ドキュメント】swebok-v4.pdf ch03 Software Design &gt; 1.4 Encapsulation (information hiding)</t>
      </text>
    </comment>
    <comment ref="E14" authorId="0" shapeId="0">
      <text>
        <t>【意図】実装詳細への依存は、実装の差し替え・改善を不可能にし、モック化できずテスト容易性も損なう。公開インタフェースへの依存に限定することで変更耐性を確保する。
【対象ドキュメント】swebok-v4.pdf ch03 Software Design &gt; 1.4 Separation of interface and implementation</t>
      </text>
    </comment>
    <comment ref="E15" authorId="0" shapeId="0">
      <text>
        <t>【意図】レイヤ規約違反(下位層から上位層への逆依存等)はアーキテクチャの前提を静かに壊し、後から発見されると大規模な構造修正になる。
【対象ドキュメント】swebok-v4.pdf ch03 Software Design &gt; 1.2 Context of Software Design(アーキテクチャ原則の遵守・強制)</t>
      </text>
    </comment>
    <comment ref="E16" authorId="0" shapeId="0">
      <text>
        <t>【意図】ログ・認証等の横断的関心事(アスペクト)は機能分割の単位に収まらないため、方式を統一しないとモジュールごとにバラバラな実装が増殖し、一括変更が不可能になる。
【対象ドキュメント】swebok-v4.pdf ch03 Software Design &gt; 1.3 Key Issues in Software Design(アスペクト)/ 5.8 Aspect-Oriented Design</t>
      </text>
    </comment>
    <comment ref="E17" authorId="0" shapeId="0">
      <text>
        <t>【意図】命名の一貫性(Uniformity)がないと、同種のものが別物に見え理解コストが増大し、実装時に規約のない命名が量産されて保守性が落ちる。
【対象ドキュメント】swebok-v4.pdf ch03 Software Design &gt; 1.4 Uniformity(命名規則・記法の一貫性)</t>
      </text>
    </comment>
    <comment ref="E18" authorId="0" shapeId="0">
      <text>
        <t>【意図】詳細設計の中核はアルゴリズムとデータ表現の選択と正当化。性能に効く処理の方式を実装者任せにすると、性能要件未達が結合テスト以降に発覚する。
【対象ドキュメント】swebok-v4.pdf ch03 Software Design &gt; 2.2 Detailed Design(アルゴリズム・データ構造の選択と正当化)</t>
      </text>
    </comment>
    <comment ref="E19" authorId="0" shapeId="0">
      <text>
        <t>【意図】パターン名は設計判断を短く正確に伝える共通語彙。明示しておくと意図が伝わり、実装者がパターンを崩す事故やレビューでの誤解を防げる。
【対象ドキュメント】swebok-v4.pdf ch03 Software Design &gt; 4.4 Design Patterns and Styles</t>
      </text>
    </comment>
    <comment ref="E20" authorId="0" shapeId="0">
      <text>
        <t>【意図】再利用可能な既製部品の検討漏れによる車輪の再発明と、逆に無根拠なライブラリ採用によるライセンス・保守リスクの両方を防ぐ。
【対象ドキュメント】swebok-v4.pdf ch03 Software Design &gt; 2.2 Detailed Design / 5.6 Component-Based Design — 既製コンポーネント・アプリケーションフレームワークの活用機会の検討</t>
      </text>
    </comment>
    <comment ref="E21" authorId="0" shapeId="0">
      <text>
        <t>【意図】型・制約が未定義のAPIは、クライアント側とサーバ側で解釈が食い違い、結合テストで大量の不整合が噴出する。インタフェース定義は部品間契約の根幹。
【対象ドキュメント】swebok-v4.pdf ch03 Software Design &gt; 2.1 High-Level Design(データ形式・プロトコルの仕様化)/ 4.2 Structural Design Descriptions(IDL)</t>
      </text>
    </comment>
    <comment ref="E22" authorId="0" shapeId="0">
      <text>
        <t>【意図】認証・認可が仕様化されていないAPIは、認可漏れによる不正アクセス・情報漏えいに直結する。誰が何にアクセスできるかは設計時に決めるべきセキュリティの基本。
【対象ドキュメント】swebok-v4.pdf ch03 Software Design &gt; 3.7 Assurance, Security, and Safety(不正な開示・変更・アクセスの防止)</t>
      </text>
    </comment>
    <comment ref="E23" authorId="0" shapeId="0">
      <text>
        <t>【意図】エラー仕様がないとクライアントは異常時の挙動を実装できず、障害時に原因不明のまま処理が続行される。エラーの体系化は例外処理設計の外部仕様側の要。
【対象ドキュメント】swebok-v4.pdf ch03 Software Design &gt; 3.5 Errors and Exception Handling, Fault Tolerance</t>
      </text>
    </comment>
    <comment ref="E24" authorId="0" shapeId="0">
      <text>
        <t>【意図】SWEBOKは「クライアント側の設計者がコードを読まずにサービスを正しく利用できる詳細度」を求める。仕様だけで実装できないAPIは、問い合わせと実装の相互参照でチーム間の待ちが発生する。
【対象ドキュメント】swebok-v4.pdf ch03 Software Design &gt; 2. Software Design Processes(high-level design stage:コードを読まずに利用可能な定義)</t>
      </text>
    </comment>
    <comment ref="E25" authorId="0" shapeId="0">
      <text>
        <t>【意図】ネットワーク越しの呼び出しは失敗と再送が前提。冪等性が未定義だとリトライで二重決済・二重登録などの業務事故が起きる。
【対象ドキュメント】swebok-v4.pdf ch03 Software Design &gt; 3.4 Distribution of Components(信頼性)/ 実務補完(分散システム設計実務)</t>
      </text>
    </comment>
    <comment ref="E26" authorId="0" shapeId="0">
      <text>
        <t>【意図】入力検証の仕様が曖昧だと、チェック漏れがインジェクション等の脆弱性やデータ汚染につながり、また画面側とAPI側で検証基準が食い違う。
【対象ドキュメント】swebok-v4.pdf ch03 Software Design &gt; 3.7 Assurance, Security, and Safety / 実務補完(入力検証実務)</t>
      </text>
    </comment>
    <comment ref="E27" authorId="0" shapeId="0">
      <text>
        <t>【意図】バージョニング方針がないと、API変更のたびに既存クライアントが黙って壊れる。互換性の線引きを事前に決めることが変更容易性の前提になる。
【対象ドキュメント】実務補完(API管理実務)/ 3.8 Variability(変種の管理)</t>
      </text>
    </comment>
    <comment ref="E28" authorId="0" shapeId="0">
      <text>
        <t>【意図】日時形式・ページネーション等がAPIごとにバラバラだと、クライアント実装の分岐が増えタイムゾーン起因等の不具合が量産される。共通問題には共通解を与える一貫性の原則。
【対象ドキュメント】swebok-v4.pdf ch03 Software Design &gt; 1.4 Uniformity(共通・反復する問題への共通解)</t>
      </text>
    </comment>
    <comment ref="E29" authorId="0" shapeId="0">
      <text>
        <t>【意図】文書とモデル(OpenAPI等)が乖離すると、どちらを信じるかで実装が割れる。モデルベースの記録では情報源間の整合が担保されて初めて分析・自動化の利点が生きる。
【対象ドキュメント】swebok-v4.pdf ch03 Software Design &gt; 4.1 Model-Based Design(文書ベース記述の曖昧さ・分散の克服)</t>
      </text>
    </comment>
    <comment ref="E30" authorId="0" shapeId="0">
      <text>
        <t>【意図】上限が未定義だと、大量リクエストや巨大ペイロードで資源枯渇・サービス停止が起き、超過時挙動が実装依存になってクライアントが対処できない。
【対象ドキュメント】実務補完(API運用実務)/ 3.4 Distribution of Components(スケーラビリティ・可用性)</t>
      </text>
    </comment>
    <comment ref="E31" authorId="0" shapeId="0">
      <text>
        <t>【意図】廃止手順がないと、利用中のクライアントに予告なくAPIが消えて障害になる。互換性維持と廃止のライフサイクル管理はAPI提供側の責務。
【対象ドキュメント】実務補完(APIライフサイクル管理)</t>
      </text>
    </comment>
    <comment ref="E32" authorId="0" shapeId="0">
      <text>
        <t>【意図】外部連携の仕様齟齬は結合テスト終盤や本番稼働後に発覚しやすく、相手方調整を伴うため修正コストが極めて高い。設計時に双方の合意事項を明文化して手戻りを防ぐ。
【対象ドキュメント】swebok-v4.pdf ch03 Software Design &gt; 3.6 Integration and Interoperability — 異種システム間の統合・相互運用性の設計</t>
      </text>
    </comment>
    <comment ref="E33" authorId="0" shapeId="0">
      <text>
        <t>【意図】主キーのないエンティティは行の同一性を識別できず、更新・削除の誤対象や重複データの温床になる。データ永続化設計の最低条件。
【対象ドキュメント】swebok-v4.pdf ch03 Software Design &gt; 3.3 Data Persistence / 4.2 Structural Design Descriptions(ERD)</t>
      </text>
    </comment>
    <comment ref="E34" authorId="0" shapeId="0">
      <text>
        <t>【意図】多重度が曖昧だと「1件か複数か」の解釈違いがテーブル構造・画面・APIの全域に波及する。N:M の未解決は物理設計に落とせない。
【対象ドキュメント】swebok-v4.pdf ch03 Software Design &gt; 4.2 Structural Design Descriptions(ERD:概念・論理・物理モデル)</t>
      </text>
    </comment>
    <comment ref="E35" authorId="0" shapeId="0">
      <text>
        <t>【意図】型・桁・NULL可否が未定義だと実装者が推測でDDLを書き、環境間・チーム間でスキーマ差異が生まれる。詳細設計はデータの編成・実装まで規定する。
【対象ドキュメント】swebok-v4.pdf ch03 Software Design &gt; 2.2 Detailed Design(データの編成・パッケージング・実装)/ 3.3 Data Persistence</t>
      </text>
    </comment>
    <comment ref="E36" authorId="0" shapeId="0">
      <text>
        <t>【意図】参照整合性の方針がないと、親削除で宙に浮いた子データ(孤児レコード)が生まれ、後からの発見・修復は非常に高コストになる。
【対象ドキュメント】swebok-v4.pdf ch03 Software Design &gt; 3.3 Data Persistence / 実務補完(RDB設計実務)</t>
      </text>
    </comment>
    <comment ref="E37" authorId="0" shapeId="0">
      <text>
        <t>【意図】根拠のない非正規化は更新時異常とデータ不整合を生み、逆に過剰な正規化は性能問題を生む。トレードオフの根拠記録が後日の判断変更を可能にする。
【対象ドキュメント】実務補完(データベース設計理論)/ 4.6 Design Rationale(トレードオフの記録)</t>
      </text>
    </comment>
    <comment ref="E38" authorId="0" shapeId="0">
      <text>
        <t>【意図】インデックスは主要クエリと対でなければ意味がない。設計時に対応付けておかないと、データ増加後に性能劣化が顕在化し本番でのスキーマ変更を強いられる。
【対象ドキュメント】swebok-v4.pdf ch03 Software Design &gt; 6.2 Quality Attributes(性能)/ 実務補完(DB性能設計実務)</t>
      </text>
    </comment>
    <comment ref="E39" authorId="0" shapeId="0">
      <text>
        <t>【意図】データの生成から廃棄までの管理はデータ永続化設計の一部。保持期間・削除方針がないと、データが無限に増えて性能・コスト・法令(保存義務/消去義務)の問題を起こす。
【対象ドキュメント】swebok-v4.pdf ch03 Software Design &gt; 3.3 Data Persistence(システム全体を通じたデータの保存と管理)</t>
      </text>
    </comment>
    <comment ref="E40" authorId="0" shapeId="0">
      <text>
        <t>【意図】個人情報カラムの識別漏れは、漏えい時の被害拡大と法令違反に直結する。情報の不正開示防止はセキュリティ設計の中心課題であり、後付けの暗号化は移行が困難。
【対象ドキュメント】swebok-v4.pdf ch03 Software Design &gt; 3.7 Assurance, Security, and Safety(不正な開示の防止)</t>
      </text>
    </comment>
    <comment ref="E41" authorId="0" shapeId="0">
      <text>
        <t>【意図】論理削除や監査カラムの方式がテーブルごとに異なると、共通処理(検索条件の deleted 除外等)が書けず、削除済みデータの誤表示などの不具合が散発する。
【対象ドキュメント】swebok-v4.pdf ch03 Software Design &gt; 1.4 Uniformity / 実務補完(データ設計実務)</t>
      </text>
    </comment>
    <comment ref="E42" authorId="0" shapeId="0">
      <text>
        <t>【意図】コード値の定義がないと、実装者・テスターが値の意味を推測し、システム間・画面間で同じ区分に異なる値が使われる事故が起きる。
【対象ドキュメント】実務補完(データ項目設計実務)/ 1.1 Design Thinking(問題領域の語彙の明文化)</t>
      </text>
    </comment>
    <comment ref="E43" authorId="0" shapeId="0">
      <text>
        <t>【意図】概念モデルと物理テーブルの対応が追えないと、業務要求の変更をどのテーブルに反映すべきか判断できず、モデルが形骸化して保守時の分析コストが増える。
【対象ドキュメント】swebok-v4.pdf ch03 Software Design &gt; 4.2 Structural Design Descriptions(ERD:概念・論理・物理の各モデル)</t>
      </text>
    </comment>
    <comment ref="E44" authorId="0" shapeId="0">
      <text>
        <t>【意図】移行の検討漏れはリリース直前に発覚し、変換規則の設計・リハーサルをやり直す大きな手戻りになる。新スキーマ設計と移行設計は不可分。
【対象ドキュメント】実務補完(データ移行実務)</t>
      </text>
    </comment>
    <comment ref="E45" authorId="0" shapeId="0">
      <text>
        <t>【意図】コンポーネント間の相互作用と時間順序はシーケンス図でしか正確に共有できない。主要フローの動的設計がないと、呼び出し順序・責務分担の解釈が実装者ごとに割れる。
【対象ドキュメント】swebok-v4.pdf ch03 Software Design &gt; 4.3 Behavioral Design Descriptions(シーケンス図)/ 2.1 High-Level Design(エンドツーエンドのトランザクション追跡)</t>
      </text>
    </comment>
    <comment ref="E46" authorId="0" shapeId="0">
      <text>
        <t>【意図】設計はソフトウェアのモードと状態に関して完全であるべき、というのが完全性の原則。状態遷移が図示されないと、遷移の抜けが不正な状態遷移バグとして本番で発覚する。
【対象ドキュメント】swebok-v4.pdf ch03 Software Design &gt; 4.3 Behavioral Design Descriptions(状態遷移図・ステートチャート)/ 1.4 Completeness(モード・状態に関する完全性)</t>
      </text>
    </comment>
    <comment ref="E47" authorId="0" shapeId="0">
      <text>
        <t>【意図】正常系だけの設計では、障害時の挙動が実装者の即興になり、データ不整合や無限リトライ等の重大障害を生む。異常条件の処理は独立した設計品質課題である。
【対象ドキュメント】swebok-v4.pdf ch03 Software Design &gt; 3.5 Errors and Exception Handling, Fault Tolerance</t>
      </text>
    </comment>
    <comment ref="E48" authorId="0" shapeId="0">
      <text>
        <t>【意図】状態×イベントの未定義の組合せは「起きないはず」の前提であり、実際に起きたとき未定義動作になる。網羅表はテスト観点の導出元にもなる。
【対象ドキュメント】swebok-v4.pdf ch03 Software Design &gt; 1.4 Completeness / 4.3 Behavioral Design Descriptions(決定表・状態遷移図)</t>
      </text>
    </comment>
    <comment ref="E49" authorId="0" shapeId="0">
      <text>
        <t>【意図】トランザクション境界が曖昧だと、部分コミットによるデータ不整合や、境界の広すぎによるロック競合が起きる。原子性の設計は並行性設計の中核。
【対象ドキュメント】swebok-v4.pdf ch03 Software Design &gt; 3.1 Concurrency(原子性・同期)/ 3.3 Data Persistence</t>
      </text>
    </comment>
    <comment ref="E50" authorId="0" shapeId="0">
      <text>
        <t>【意図】同期/非同期の区別(暗黙的起動・コールバック等の制御方式)が曖昧だと、完了前のデータ参照や応答待ちのブロックなど、時序に起因する不具合を作り込む。
【対象ドキュメント】swebok-v4.pdf ch03 Software Design &gt; 3.2 Control and Event Handling(同期・暗黙的起動・コールバック)</t>
      </text>
    </comment>
    <comment ref="E51" authorId="0" shapeId="0">
      <text>
        <t>【意図】構造図(静的ビュー)と振る舞い図(動的ビュー)は同一設計の別表現であり、参加者が食い違うとどちらかが古いか誤りで、実装者が誤った方を信じるリスクがある。
【対象ドキュメント】swebok-v4.pdf ch03 Software Design &gt; 4.2/4.3 構造記述と振る舞い記述の整合 / 4.1 Model-Based Design</t>
      </text>
    </comment>
    <comment ref="E52" authorId="0" shapeId="0">
      <text>
        <t>【意図】入出力イベント間の順序・タイミング関係の仕様化は上位設計の必須項目。タイムアウト等が数値化されていないと実装値がバラバラになり、障害時の挙動が予測不能になる。
【対象ドキュメント】swebok-v4.pdf ch03 Software Design &gt; 2.1 High-Level Design(イベント・メッセージ間の順序とタイミング関係の仕様化)</t>
      </text>
    </comment>
    <comment ref="E53" authorId="0" shapeId="0">
      <text>
        <t>【意図】UML等の標準記法は設計の共通語彙であり、独自記法は読者ごとの解釈違いを生む。凡例のない図は書いた本人にしか正しく読めない。
【対象ドキュメント】swebok-v4.pdf ch03 Software Design &gt; 4. Recording Software Designs(UML等の記法)</t>
      </text>
    </comment>
    <comment ref="E54" authorId="0" shapeId="0">
      <text>
        <t>【意図】例外の分類と層ごとの扱いを決めないと、握りつぶし・二重ログ・生例外の外部露出が濫立する。エラーの予防・軽減・処理の方針は設計品質特性の一つ。
【対象ドキュメント】swebok-v4.pdf ch03 Software Design &gt; 3.5 Errors and Exception Handling, Fault Tolerance</t>
      </text>
    </comment>
    <comment ref="E55" authorId="0" shapeId="0">
      <text>
        <t>【意図】処理途中の障害でデータが壊れる設計は、障害のたびに手作業のデータ修復を強いる。耐障害性(フォールトトレランス)は設計段階で作り込むべき品質。
【対象ドキュメント】swebok-v4.pdf ch03 Software Design &gt; 3.5 Errors and Exception Handling, Fault Tolerance / 3.1 Concurrency(原子性)</t>
      </text>
    </comment>
    <comment ref="E56" authorId="0" shapeId="0">
      <text>
        <t>【意図】リトライ設計がないと、一過性障害で処理が失敗し続けるか、逆に無制限リトライで障害先に負荷を集中させ障害を拡大させる。
【対象ドキュメント】swebok-v4.pdf ch03 Software Design &gt; 3.5 Errors and Exception Handling, Fault Tolerance(エラーの許容・軽減)</t>
      </text>
    </comment>
    <comment ref="E57" authorId="0" shapeId="0">
      <text>
        <t>【意図】異種システム連携では相手側の障害は必ず起きる。依存先ごとの縮退方針がないと、一つの外部障害が全機能停止に波及する。
【対象ドキュメント】swebok-v4.pdf ch03 Software Design &gt; 3.5 Fault Tolerance / 3.6 Integration and Interoperability</t>
      </text>
    </comment>
    <comment ref="E58" authorId="0" shapeId="0">
      <text>
        <t>【意図】ログ設計がないと障害時に原因調査ができず復旧が長引く。監視可能性(monitorability)は分散システムに求められる品質特性の一つ。
【対象ドキュメント】swebok-v4.pdf ch03 Software Design &gt; 3.4 Distribution of Components(monitorability)/ 実務補完(可観測性設計)</t>
      </text>
    </comment>
    <comment ref="E59" authorId="0" shapeId="0">
      <text>
        <t>【意図】内部情報(スタックトレース・SQL)の露出は攻撃者への情報提供になり、不親切なエラーはユーザーの誤操作と問い合わせを増やす。
【対象ドキュメント】swebok-v4.pdf ch03 Software Design &gt; 3.7 Assurance, Security, and Safety(情報の不正開示防止)/ 3.5 Errors and Exception Handling</t>
      </text>
    </comment>
    <comment ref="E60" authorId="0" shapeId="0">
      <text>
        <t>【意図】検知契機が設計されていないと、異常はユーザーからの申告で発覚し対応が後手に回る。何を異常とみなすかは設計時にしか正確に定義できない。
【対象ドキュメント】swebok-v4.pdf ch03 Software Design &gt; 3.4 Distribution of Components(monitorability・事業継続性)</t>
      </text>
    </comment>
    <comment ref="E61" authorId="0" shapeId="0">
      <text>
        <t>【意図】セキュリティ・耐障害設計は「修復と復旧の支援」まで含む。再実行可能地点が設計から読み取れないと、障害復旧が属人的な手探り作業になる。
【対象ドキュメント】swebok-v4.pdf ch03 Software Design &gt; 3.7 Assurance, Security, and Safety(repair and recovery の支援)/ 3.5 Fault Tolerance</t>
      </text>
    </comment>
    <comment ref="E62" authorId="0" shapeId="0">
      <text>
        <t>【意図】同時更新の競合を設計しないと、後勝ちによる更新消失(lost update)が静かに起き、発見が極めて困難なデータ破壊になる。同期は並行性設計の中心課題。
【対象ドキュメント】swebok-v4.pdf ch03 Software Design &gt; 3.1 Concurrency(原子性・同期)</t>
      </text>
    </comment>
    <comment ref="E63" authorId="0" shapeId="0">
      <text>
        <t>【意図】デッドロックは負荷が上がった本番でのみ再現する典型的な並行性障害で、事後対処が難しい。ロック順序の規約は設計時に決めるのが唯一安価な対策。
【対象ドキュメント】swebok-v4.pdf ch03 Software Design &gt; 3.1 Concurrency(同期・スケジューリング)</t>
      </text>
    </comment>
    <comment ref="E64" authorId="0" shapeId="0">
      <text>
        <t>【意図】性能は実装後の計測任せにすると、アーキテクチャレベルの作り直しを強いられる。要件と設計判断の対応付けにより、性能達成の見込みを設計段階で説明可能にする。
【対象ドキュメント】swebok-v4.pdf ch03 Software Design &gt; 6.2 Quality Attributes(性能)/ 6.3 Quality Analysis and Evaluation Techniques(シミュレーション・形式的分析)</t>
      </text>
    </comment>
    <comment ref="E65" authorId="0" shapeId="0">
      <text>
        <t>【意図】データ量の前提がない設計は少量データでしか検証されず、本番のデータ増加で性能・容量の問題が突然顕在化する。見積りは性能設計とデータ設計の検証可能性の土台。
【対象ドキュメント】実務補完(容量・性能設計実務)/ 1.4 Verifiability</t>
      </text>
    </comment>
    <comment ref="E66" authorId="0" shapeId="0">
      <text>
        <t>【意図】並行性の設計とは、プロセス・タスク・スレッドへの分割とその効率・同期への帰結を決めること。多重度や共有資源上限が未定義だと資源枯渇や性能劣化を招く。
【対象ドキュメント】swebok-v4.pdf ch03 Software Design &gt; 3.1 Concurrency(プロセス・タスク・スレッドへの分割)</t>
      </text>
    </comment>
    <comment ref="E67" authorId="0" shapeId="0">
      <text>
        <t>【意図】キャッシュの無効化契機を決めないと、古いデータの表示・古い権限での認可といった発見しにくい不整合が起きる。
【対象ドキュメント】swebok-v4.pdf ch03 Software Design &gt; 3.3 Data Persistence / 実務補完(キャッシュ設計実務)</t>
      </text>
    </comment>
    <comment ref="E68" authorId="0" shapeId="0">
      <text>
        <t>【意図】ローカル状態や二重起動の問題を放置すると、スケールアウトした瞬間にセッション消失やバッチ二重実行が起きる。分散配置とスケーラビリティへの配慮は設計品質の一つ。
【対象ドキュメント】swebok-v4.pdf ch03 Software Design &gt; 3.4 Distribution of Components(スケーラビリティ・可用性)</t>
      </text>
    </comment>
    <comment ref="E69" authorId="0" shapeId="0">
      <text>
        <t>【意図】認可チェックの実施層が決まっていないと、チェックされない迂回経路(内部API直呼び等)が残り、権限昇格・情報漏えいの脆弱性になる。
【対象ドキュメント】swebok-v4.pdf ch03 Software Design &gt; 3.7 Assurance, Security, and Safety(不正アクセスの防止)</t>
      </text>
    </comment>
    <comment ref="E70" authorId="0" shapeId="0">
      <text>
        <t>【意図】インジェクションは外部入力を扱う全処理に共通する代表的攻撃で、対策方式を設計で規定しないと実装者ごとの対策漏れが必ず発生する。
【対象ドキュメント】swebok-v4.pdf ch03 Software Design &gt; 3.7 Assurance, Security, and Safety / 実務補完(OWASP)</t>
      </text>
    </comment>
    <comment ref="E71" authorId="0" shapeId="0">
      <text>
        <t>【意図】パスワード平文保存やログへのトークン出力は、一度作り込むと全データの再取得・失効が必要な重大事故になる。機密情報の保存方式は後から変えにくい設計判断。
【対象ドキュメント】swebok-v4.pdf ch03 Software Design &gt; 3.7 Assurance, Security, and Safety(情報の不正開示・作成・変更の防止)</t>
      </text>
    </comment>
    <comment ref="E72" authorId="0" shapeId="0">
      <text>
        <t>【意図】異なるプロトコル・媒体で通信する分散アプリケーションではセキュリティが鍵となる、とSWEBOKが明示する領域。平文通信や証明書検証の無効化は盗聴・なりすましに直結する。
【対象ドキュメント】swebok-v4.pdf ch03 Software Design &gt; 3.7 Assurance, Security, and Safety(分散アプリケーションの通信保護)</t>
      </text>
    </comment>
    <comment ref="E73" authorId="0" shapeId="0">
      <text>
        <t>【意図】失効設計がないと、ログアウト後・権限剥奪後もトークンが有効なまま残り、退職者アクセス等のインシデントになる。
【対象ドキュメント】swebok-v4.pdf ch03 Software Design &gt; 3.7 Assurance, Security, and Safety / 実務補完(セッション管理実務)</t>
      </text>
    </comment>
    <comment ref="E74" authorId="0" shapeId="0">
      <text>
        <t>【意図】監査ログがないと、不正操作の検知も事後の原因究明もできず、被害範囲を特定できないまま全件影響として扱う羽目になる。攻撃時の被害限定と修復支援の一部。
【対象ドキュメント】swebok-v4.pdf ch03 Software Design &gt; 3.7 Assurance, Security, and Safety(被害の限定・修復の支援)/ 実務補完(監査要件)</t>
      </text>
    </comment>
    <comment ref="E75" authorId="0" shapeId="0">
      <text>
        <t>【意図】過剰権限は、脆弱性を突かれた際の被害範囲をアプリの必要範囲を超えて拡大させる。権限一覧の明文化が被害限定設計の証拠になる。
【対象ドキュメント】swebok-v4.pdf ch03 Software Design &gt; 3.7 Assurance, Security, and Safety(被害の限定)/ 実務補完(最小権限の原則)</t>
      </text>
    </comment>
    <comment ref="E76" authorId="0" shapeId="0">
      <text>
        <t>【意図】準拠すべき規程が不明だと、監査・認証の段階で設計のやり直しが発生する。参照元の明記はセキュリティ設計の検証可能性を支える。
【対象ドキュメント】実務補完(ISO/IEC 27001等の社内規程準拠)/ 1.4 Verifiability</t>
      </text>
    </comment>
    <comment ref="E77" authorId="0" shapeId="0">
      <text>
        <t>【意図】安全関連機能の見落としは人身事故等の重大な結果に直結する。該当有無の判断自体を記録させることで「検討しなかった」状態を防ぐ。
【対象ドキュメント】swebok-v4.pdf ch03 Software Design &gt; 3.7 Assurance, Security, and Safety — セーフティ(人命・財産・環境への危害の防止)</t>
      </text>
    </comment>
    <comment ref="E78" authorId="0" shapeId="0">
      <text>
        <t>【意図】UI設計は画面の構造的レイアウトと画面遷移の振る舞いロジックが混在する特殊領域。全体像(一覧と遷移)がないと、画面の作成漏れ・行き止まり遷移が実装後に発覚する。
【対象ドキュメント】swebok-v4.pdf ch03 Software Design &gt; 4.5 Specialized and Domain-Specific Languages(UI設計=構造+遷移の振る舞い)</t>
      </text>
    </comment>
    <comment ref="E79" authorId="0" shapeId="0">
      <text>
        <t>【意図】入力項目定義の欠落は、実装者ごとの独自バリデーションとエラーメッセージを生み、API側の検証仕様(DES-025)との不一致も引き起こす。
【対象ドキュメント】swebok-v4.pdf ch03 Software Design &gt; 5.5 User-Centered Design / 実務補完(画面設計実務)</t>
      </text>
    </comment>
    <comment ref="E80" authorId="0" shapeId="0">
      <text>
        <t>【意図】画面とAPIの対応が未定義だと、フロントとバックエンドの分担する結合部分が宙に浮き、必要なAPIの作成漏れや過剰なAPI乱立が起きる。
【対象ドキュメント】実務補完(Webアプリケーション設計実務)/ 3.6 Integration and Interoperability</t>
      </text>
    </comment>
    <comment ref="E81" authorId="0" shapeId="0">
      <text>
        <t>【意図】エラー時の画面挙動が未定義だと、エラーの握りつぶしや白画面などユーザーが対処不能な状態に陥る。例外処理設計のUI側の受け口。
【対象ドキュメント】swebok-v4.pdf ch03 Software Design &gt; 3.5 Errors and Exception Handling / 5.5 User-Centered Design</t>
      </text>
    </comment>
    <comment ref="E82" authorId="0" shapeId="0">
      <text>
        <t>【意図】表示制御だけで認可を済ませる設計事故(サーバ側チェック省略)や、ロール別表示の実装漏れを防ぐ。認可設計(DES-080)のUI面での具体化。
【対象ドキュメント】swebok-v4.pdf ch03 Software Design &gt; 3.7 Assurance, Security, and Safety(不正アクセスの防止)</t>
      </text>
    </comment>
    <comment ref="E83" authorId="0" shapeId="0">
      <text>
        <t>【意図】二重送信は更新系操作で二重登録・二重決済を引き起こす頻出事故であり、対策の有無は設計時に決めないと画面ごとに対応がバラつく。
【対象ドキュメント】実務補完(Web UI 実務)/ 3.5 Errors and Exception Handling</t>
      </text>
    </comment>
    <comment ref="E84" authorId="0" shapeId="0">
      <text>
        <t>【意図】ユーザー中心設計はプロトタイプ作成と要求に対する評価までを含む。机上のUI設計だけでは使い勝手の問題が受入段階で発覚し、画面の作り直しになる。
【対象ドキュメント】swebok-v4.pdf ch03 Software Design &gt; 5.5 User-Centered Design(プロトタイプ作成と設計解の評価)</t>
      </text>
    </comment>
    <comment ref="E85" authorId="0" shapeId="0">
      <text>
        <t>【意図】対応環境が未定義だと、テスト対象ブラウザが決められず、リリース後に特定環境での表示崩れが発覚する。ユーザビリティは設計品質属性の一つ。
【対象ドキュメント】swebok-v4.pdf ch03 Software Design &gt; 6.2 Quality Attributes(usability)/ 実務補完(WCAG)</t>
      </text>
    </comment>
    <comment ref="E86" authorId="0" shapeId="0">
      <text>
        <t>【意図】文言・表記の不統一は製品の一貫性を損ない、ユーザーの混乱と翻訳・修正コストの増大を招く。共通問題への共通解という一貫性原則のUI適用。
【対象ドキュメント】swebok-v4.pdf ch03 Software Design &gt; 1.4 Uniformity / 5.5 User-Centered Design</t>
      </text>
    </comment>
    <comment ref="E87" authorId="0" shapeId="0">
      <text>
        <t>【意図】設計根拠(前提・代替案・トレードオフ)の記録は、保守者が決定の理由を知らずに壊す事故を防ぎ、前提が変わったとき棄却案を再検討可能にする。長期保守性を直接高める。
【対象ドキュメント】swebok-v4.pdf ch03 Software Design &gt; 4.6 Design Rationale</t>
      </text>
    </comment>
    <comment ref="E88" authorId="0" shapeId="0">
      <text>
        <t>【意図】図と本文の矛盾は「どちらが正か」の判断を読者に委ね、誤った方に基づく実装を生む。相互整合チェック(cross-checking)は設計評価の基本技法。
【対象ドキュメント】swebok-v4.pdf ch03 Software Design &gt; 6.3 Quality Analysis and Evaluation Techniques(自動相互チェック)/ 4.1 Model-Based Design</t>
      </text>
    </comment>
    <comment ref="E89" authorId="0" shapeId="0">
      <text>
        <t>【意図】設計コミュニケーションは対象読者・詳細度・関心に応じて変えるべきもの。全体から詳細へ辿れない文書は、新規参画者の理解コストを増大させレビューの質を下げる。
【対象ドキュメント】swebok-v4.pdf ch03 Software Design &gt; 4. Recording Software Designs(読者に応じた設計情報の伝達)</t>
      </text>
    </comment>
    <comment ref="E90" authorId="0" shapeId="0">
      <text>
        <t>【意図】未解決課題の把握は設計レビューの主要な確認事項。管理されないTBDは「決まっているつもり」のまま実装に流れ、結合時に発覚する。
【対象ドキュメント】swebok-v4.pdf ch03 Software Design &gt; 6.1 Design Reviews and Audits(未解決事項・完成度の評価)</t>
      </text>
    </comment>
    <comment ref="E91" authorId="0" shapeId="0">
      <text>
        <t>【意図】モデルベース設計では情報の正(source of truth)の明確化が前提。正が曖昧だと文書とコード生成物が乖離し、設計書が信頼されず読まれなくなる。
【対象ドキュメント】swebok-v4.pdf ch03 Software Design &gt; 4.1 Model-Based Design</t>
      </text>
    </comment>
    <comment ref="E92" authorId="0" shapeId="0">
      <text>
        <t>【意図】記法の明示がないと、矢印や線の意味(依存か継承か)を読者が推測し、図の誤読がそのまま設計の誤解になる。
【対象ドキュメント】swebok-v4.pdf ch03 Software Design &gt; 4. Recording Software Designs(多様な記法の使用)/ 実務補完(図面規約)</t>
      </text>
    </comment>
    <comment ref="E93" authorId="0" shapeId="0">
      <text>
        <t>【意図】手法の暗黙的な混在は、モジュール分割基準のブレと設計書の解釈違いを生む。方針の明示が設計全体の一貫性(conceptual integrity)を支える。
【対象ドキュメント】swebok-v4.pdf ch03 Software Design &gt; 5. Software Design Strategies and Methods / 5.1 General Strategies — 採用した設計手法・戦略の明示</t>
      </text>
    </comment>
    <comment ref="E94" authorId="0" shapeId="0">
      <text>
        <t>【意図】設計レビューは完成度・要求カバレッジ・未解決問題を評価する包括的検査であり、実施記録と指摘クローズがなければ設計品質は保証されたことにならない。
【対象ドキュメント】swebok-v4.pdf ch03 Software Design &gt; 6.1 Design Reviews and Audits</t>
      </text>
    </comment>
    <comment ref="E95" authorId="0" shapeId="0">
      <text>
        <t>【意図】設計はテスト戦略とテストケースの基盤を提供する。検証に必要な情報が設計から導出できない(検証可能性の欠如)と、テスト設計が実装コード頼みになり設計不良を検出できない。
【対象ドキュメント】swebok-v4.pdf ch03 Software Design &gt; 1.4 Verifiability / 1.2 Context of Software Design(テスティングとの関係)</t>
      </text>
    </comment>
    <comment ref="E96" authorId="0" shapeId="0">
      <text>
        <t>【意図】SWEBOKが挙げる設計品質特性(並行性・分散・耐障害性・統合・セキュリティ・可変性)を体系的に棚卸しし、「検討し忘れた特性」による設計漏れを防ぐ。
【対象ドキュメント】swebok-v4.pdf ch03 Software Design &gt; 3. Software Design Qualities(3.1〜3.8)</t>
      </text>
    </comment>
    <comment ref="E97" authorId="0" shapeId="0">
      <text>
        <t>【意図】可変性はほとんどのソフトウェアの基本的側面であり、変わりやすい要素を局所化しないと、小さな仕様変更のたびに広範囲の修正が必要になる。
【対象ドキュメント】swebok-v4.pdf ch03 Software Design &gt; 3.8 Variability / 6.2 Quality Attributes(modifiability)</t>
      </text>
    </comment>
    <comment ref="E98" authorId="0" shapeId="0">
      <text>
        <t>【意図】規模・構造の測定は設計の偏り(依存集中・巨大モジュール)を定量的に可視化する。測定なしのレビューは主観に頼り、構造的な問題を見逃す。
【対象ドキュメント】swebok-v4.pdf ch03 Software Design &gt; 6.4 Measures and Metrics</t>
      </text>
    </comment>
  </commentList>
</comments>
</file>

<file path=xl/comments/comment4.xml><?xml version="1.0" encoding="utf-8"?>
<comments xmlns="http://schemas.openxmlformats.org/spreadsheetml/2006/main">
  <authors>
    <author>SWEBOKレビューハーネス</author>
  </authors>
  <commentList>
    <comment ref="E2" authorId="0" shapeId="0">
      <text>
        <t>【意図】複雑度の高い関数はテストパス数が爆発し、理解・修正時の欠陥混入率が上がる。数値基準で機械的に検出し、レビューの主観に依存した見逃しを防ぐ。
【対象ドキュメント】swebok-v4.pdf ch04 Software Construction &gt; 4-1.1 Minimizing Complexity(McCabe循環的複雑度)</t>
      </text>
    </comment>
    <comment ref="E3" authorId="0" shapeId="0">
      <text>
        <t>【意図】複数責務が混在した関数は変更時の影響範囲が読めず、片方の修正がもう片方を壊す退行を生む。責務単位の分割で変更とテストの単位を小さく保つ。
【対象ドキュメント】swebok-v4.pdf ch04 Software Construction &gt; 4-1.1 Minimizing Complexity / 4-3.1 Construction Design</t>
      </text>
    </comment>
    <comment ref="E4" authorId="0" shapeId="0">
      <text>
        <t>【意図】深いネストは人間のワーキングメモリの限界を超え、条件の組み合わせ漏れ(特に異常系)がレビューをすり抜ける原因になる。
【対象ドキュメント】swebok-v4.pdf ch04 Software Construction &gt; 4-1.1 Minimizing Complexity / 4-3.3 Coding(制御構造の使用)</t>
      </text>
    </comment>
    <comment ref="E5" authorId="0" shapeId="0">
      <text>
        <t>【意図】画面に収まらない長大関数は全体の把握が不可能になり、修正時に離れた行間の暗黙の依存を壊す事故を招く。
【対象ドキュメント】swebok-v4.pdf ch04 Software Construction &gt; 4-1.1 Minimizing Complexity / 4-3.3 Coding(ルーチンへの構成)</t>
      </text>
    </comment>
    <comment ref="E6" authorId="0" shapeId="0">
      <text>
        <t>【意図】コードクローンは一方だけ修正される「片修正」バグの温床であり、SWEBOKも再利用可能な断片のライブラリ化によるクローン回避を明示している。
【対象ドキュメント】swebok-v4.pdf ch04 Software Construction &gt; 4-1.4 Reusing Assets / 4-3.5 Reuse in Construction(コードクローン問題)</t>
      </text>
    </comment>
    <comment ref="E7" authorId="0" shapeId="0">
      <text>
        <t>【意図】引数が多い関数は呼び出し側で順序取り違え・意味の誤解を誘発し、責務過多のシグナルでもある。凝集した型への集約で誤用を構造的に防ぐ。
【対象ドキュメント】swebok-v4.pdf ch04 Software Construction &gt; 4-1.1 Minimizing Complexity / 4-4.1 API Design and Use(誤用しにくい設計)</t>
      </text>
    </comment>
    <comment ref="E8" authorId="0" shapeId="0">
      <text>
        <t>【意図】裸のリテラルは意味と変更箇所が追えず、仕様変更時の修正漏れ・二重管理を生む。名前付き定数化で意図と変更点を一元化する。
【対象ドキュメント】swebok-v4.pdf ch04 Software Construction &gt; 4-3.3 Coding(名前付き定数等の使用)</t>
      </text>
    </comment>
    <comment ref="E9" authorId="0" shapeId="0">
      <text>
        <t>【意図】規約が文書だけで自動適用されないと、レビューがスタイル指摘で浪費され、指摘のばらつきがチーム摩擦と品質のムラを生む。機械化で人間のレビューを設計・ロジックに集中させる。
【対象ドキュメント】swebok-v4.pdf ch04 Software Construction &gt; 4-1.5 Applying Standards in Construction(コーディング標準)</t>
      </text>
    </comment>
    <comment ref="E10" authorId="0" shapeId="0">
      <text>
        <t>【意図】命名規則の不統一はコード検索・自動リファクタリングの妨げとなり、読み手に「これは別物か」という誤った推測をさせる。
【対象ドキュメント】swebok-v4.pdf ch04 Software Construction &gt; 4-1.5 Applying Standards in Construction / 4-3.3 Coding(命名規約)</t>
      </text>
    </comment>
    <comment ref="E11" authorId="0" shapeId="0">
      <text>
        <t>【意図】無情報名は読み手に実装を全読させるコストを課し、変数の役割の誤解による誤修正を招く。名前だけで意図が伝わればレビューと保守が速くなる。
【対象ドキュメント】swebok-v4.pdf ch04 Software Construction &gt; 4-3.3 Coding(理解可能なソースコード作成技法)</t>
      </text>
    </comment>
    <comment ref="E12" authorId="0" shapeId="0">
      <text>
        <t>【意図】同一概念への異なる語の混在は「別の振る舞いがあるのでは」という誤読を誘い、grep漏れによる修正漏れも起こす。
【対象ドキュメント】swebok-v4.pdf ch04 Software Construction &gt; 4-3.3 Coding(命名規約)</t>
      </text>
    </comment>
    <comment ref="E13" authorId="0" shapeId="0">
      <text>
        <t>【意図】未定義の略語・造語は新規参画者の理解を阻害し、同じ概念に別名が増殖して用語の分裂を招く。
【対象ドキュメント】swebok-v4.pdf ch04 Software Construction &gt; 4-1.5 Applying Standards in Construction(コミュニケーション標準)</t>
      </text>
    </comment>
    <comment ref="E14" authorId="0" shapeId="0">
      <text>
        <t>【意図】死コードは「まだ使われているのでは」という調査コストを発生させ続け、誤って復活・参照されると古いロジックによる欠陥を生む。履歴はVCSにあるため残す理由がない。
【対象ドキュメント】swebok-v4.pdf ch04 Software Construction &gt; 4-1.1 Minimizing Complexity(実務補完: リーダブルコード慣行)</t>
      </text>
    </comment>
    <comment ref="E15" authorId="0" shapeId="0">
      <text>
        <t>【意図】理由のないリンタ抑制は静的解析を形骸化させ、本来検出できた欠陥・脆弱性を組織的に見逃す穴になる。
【対象ドキュメント】swebok-v4.pdf ch04 Software Construction &gt; 4-1.5 Applying Standards in Construction / 4-3.6 Construction Quality(静的解析)</t>
      </text>
    </comment>
    <comment ref="E16" authorId="0" shapeId="0">
      <text>
        <t>【意図】設定や文言のハードコードは環境追加・文言変更・多言語化のたびに再ビルドと全数修正を強い、環境差し替え漏れによる本番向け設定ミスの事故も誘発する。
【対象ドキュメント】swebok-v4.pdf ch04 Software Construction &gt; 4.8 Runtime Configuration and Internationalization(実行時コンフィギュレーションと国際化)</t>
      </text>
    </comment>
    <comment ref="E17" authorId="0" shapeId="0">
      <text>
        <t>【意図】空catchは障害の兆候を無音で消し、データ破損や誤動作が離れた場所で顕在化して原因究明が極めて困難になる。SWEBOKも空のcatchブロック回避を例外方針の原則に挙げる。
【対象ドキュメント】swebok-v4.pdf ch04 Software Construction &gt; 4-4.5 Error Handling, Exception Handling and Fault Tolerance</t>
      </text>
    </comment>
    <comment ref="E18" authorId="0" shapeId="0">
      <text>
        <t>【意図】エラー戻り値の未検査は失敗を成功として処理を続行させ、不正データの伝播・二次障害を引き起こす。例外を使わない言語(C/Go等)で特に致命的。
【対象ドキュメント】swebok-v4.pdf ch04 Software Construction &gt; 4-4.5 Error Handling(エラーコード返却の扱い)</t>
      </text>
    </comment>
    <comment ref="E19" authorId="0" shapeId="0">
      <text>
        <t>【意図】捕捉層が場当たりだとエラー処理が分散・重複し、あるエラーはログ二重出力、別のエラーは無処理という不整合が生じる。SWEBOKの言う例外使用の標準化を担保する。
【対象ドキュメント】swebok-v4.pdf ch04 Software Construction &gt; 4-4.5 Error Handling(例外処理ポリシー・例外使用の標準化)</t>
      </text>
    </comment>
    <comment ref="E20" authorId="0" shapeId="0">
      <text>
        <t>【意図】原因例外や文脈を落とした再送出は障害時の一次情報を消し、本番障害の調査を「再現待ち」にしてMTTRを大幅に悪化させる。
【対象ドキュメント】swebok-v4.pdf ch04 Software Construction &gt; 4-4.5 Error Handling(例外に至った全情報をメッセージに含める原則)</t>
      </text>
    </comment>
    <comment ref="E21" authorId="0" shapeId="0">
      <text>
        <t>【意図】包括捕捉はプログラミングバグ(NPE等)まで業務エラーとして飲み込み、欠陥の発見を遅らせる。処理できる例外だけを捕捉することで想定外を早期に顕在化させる。
【対象ドキュメント】swebok-v4.pdf ch04 Software Construction &gt; 4-4.5 Error Handling(ライブラリが投げる例外の把握)</t>
      </text>
    </comment>
    <comment ref="E22" authorId="0" shapeId="0">
      <text>
        <t>【意図】タイムアウトなしの外部呼び出しは相手の遅延でスレッド枯渇・全面停止に波及する。リトライ・フォールバックはSWEBOKのフォールトトレランス戦略(バックアップとリトライ等)の実装形。
【対象ドキュメント】swebok-v4.pdf ch04 Software Construction &gt; 4-4.5 Fault Tolerance(リトライ・代替値等の戦略)</t>
      </text>
    </comment>
    <comment ref="E23" authorId="0" shapeId="0">
      <text>
        <t>【意図】診断情報のないエラーメッセージは本番障害時に「何が起きたか」から調査を始めさせ、復旧を数時間〜数日遅らせる。
【対象ドキュメント】swebok-v4.pdf ch04 Software Construction &gt; 4-4.5 Error Handling / 4-1.3 Constructing for Verification(ログによる挙動記録)</t>
      </text>
    </comment>
    <comment ref="E24" authorId="0" shapeId="0">
      <text>
        <t>【意図】エラー経路でのクリーンアップ漏れはリソースリークと中途半端な状態(半端に更新されたデータ)を残し、後続処理の不可解な失敗として跳ね返る。
【対象ドキュメント】swebok-v4.pdf ch04 Software Construction &gt; 4-4.5 Error Handling / 4-4.14(リソース規律)</t>
      </text>
    </comment>
    <comment ref="E25" authorId="0" shapeId="0">
      <text>
        <t>【意図】信頼境界での入力検証の欠如は、不正データによる誤動作にとどまらずインジェクション等の攻撃起点になる。防御的プログラミングの第一原則。
【対象ドキュメント】swebok-v4.pdf ch04 Software Construction &gt; 4-4.4 Defensive Programming(不正入力からルーチンを守る)</t>
      </text>
    </comment>
    <comment ref="E26" authorId="0" shapeId="0">
      <text>
        <t>【意図】事前条件が暗黙だと呼び出し側は推測で使うことになり、境界値での未定義動作や「nullを渡したら壊れた」型の欠陥が統合時に多発する。
【対象ドキュメント】swebok-v4.pdf ch04 Software Construction &gt; 4-4.4 Design by Contract(事前条件・事後条件による契約)</t>
      </text>
    </comment>
    <comment ref="E27" authorId="0" shapeId="0">
      <text>
        <t>【意図】内部不変条件のアサーションは、修正時に紛れ込む前提破壊やインタフェース想定の不一致を開発段階で即座に炙り出す。外部入力検証への流用は本番で無効化され防御が消える。
【対象ドキュメント】swebok-v4.pdf ch04 Software Construction &gt; 4-4.4 Assertions(高信頼プログラムでの実行時チェック)</t>
      </text>
    </comment>
    <comment ref="E28" authorId="0" shapeId="0">
      <text>
        <t>【意図】アサーションはリリースビルドでコンパイルアウトされ得るため、副作用があると開発時と本番で挙動が変わる再現困難なバグ(ハイゼンバグ)を生む。
【対象ドキュメント】swebok-v4.pdf ch04 Software Construction &gt; 4-4.4 Assertions(開発時に組み込み、後に除去される特性)</t>
      </text>
    </comment>
    <comment ref="E29" authorId="0" shapeId="0">
      <text>
        <t>【意図】null方針の不統一は最も頻度の高い実行時エラー(NPE等)の温床。静的に検出可能な形へ寄せることで、実行して初めて分かる欠陥をコンパイル時に前倒しする。
【対象ドキュメント】swebok-v4.pdf ch04 Software Construction &gt; 4-4.4 Defensive Programming(実務補完: null安全機構)</t>
      </text>
    </comment>
    <comment ref="E30" authorId="0" shapeId="0">
      <text>
        <t>【意図】ゼロ除算・オーバーフロー・浮動小数点の丸めは正常系テストでは顕在化せず、本番の境界データで金額不一致等の重大インシデントとして発覚する。
【対象ドキュメント】swebok-v4.pdf ch04 Software Construction &gt; 4-4.4 Defensive Programming / 4-3.3 Coding(データ型の適切な使用)</t>
      </text>
    </comment>
    <comment ref="E31" authorId="0" shapeId="0">
      <text>
        <t>【意図】インジェクションは外部入力の文字列連結一箇所でデータ全件漏洩・改ざんに直結する最重要脆弱性。パラメータ化APIの強制で構造的に排除する。
【対象ドキュメント】swebok-v4.pdf ch04 Software Construction &gt; 4-3.3 Coding(コードレベルのセキュリティ侵害防止)/ 実務補完(OWASP Top 10)</t>
      </text>
    </comment>
    <comment ref="E32" authorId="0" shapeId="0">
      <text>
        <t>【意図】コードに埋め込まれた秘密情報はリポジトリ履歴に永久に残り、リポジトリ閲覧権限者全員やフォーク先へ漏洩する。漏洩後のローテーションコストは極めて高い。
【対象ドキュメント】実務補完(NIST SSDF PW.1 / OWASP ASVS)</t>
      </text>
    </comment>
    <comment ref="E33" authorId="0" shapeId="0">
      <text>
        <t>【意図】バッファオーバーフロー・解放後使用は任意コード実行に至る最悪クラスの脆弱性で、SWEBOKもC/C++ライブラリ関数の安全でない使用を明示的に警告している。
【対象ドキュメント】swebok-v4.pdf ch04 Software Construction &gt; 4-3.2 Construction Languages / 4-3.3 Coding(バッファオーバーフロー・配列境界)</t>
      </text>
    </comment>
    <comment ref="E34" authorId="0" shapeId="0">
      <text>
        <t>【意図】出力時エスケープの欠如はXSSやログインジェクションとして、入力検証をすり抜けたデータが利用者・運用者への攻撃に転化する経路を作る。
【対象ドキュメント】swebok-v4.pdf ch04 Software Construction &gt; 4-3.3 Coding(セキュリティ侵害防止)/ 実務補完(OWASP: 文脈依存エンコード)</t>
      </text>
    </comment>
    <comment ref="E35" authorId="0" shapeId="0">
      <text>
        <t>【意図】クライアント側チェックのみの認可はリクエスト改変で容易に迂回され、権限のないデータ閲覧・操作(IDOR)を許す。サーバ側の処理直前チェックが唯一の防衛線。
【対象ドキュメント】実務補完(OWASP Top 10: Broken Access Control)</t>
      </text>
    </comment>
    <comment ref="E36" authorId="0" shapeId="0">
      <text>
        <t>【意図】独自暗号や非暗号論的乱数のセキュリティ用途使用は、専門家には既知の手法で突破される「守っているつもり」の状態を生む。実績ある標準実装のみを許す。
【対象ドキュメント】実務補完(NIST SSDF / CWE-327, CWE-338)</t>
      </text>
    </comment>
    <comment ref="E37" authorId="0" shapeId="0">
      <text>
        <t>【意図】ログ・スタックトレースは監視基盤等アクセス制御の緩い場所へ複製されやすく、そこに載った個人情報・認証情報は漏洩事故と法令違反(個人情報保護)に直結する。
【対象ドキュメント】実務補完(OWASP ASVS: ログ保護)</t>
      </text>
    </comment>
    <comment ref="E38" authorId="0" shapeId="0">
      <text>
        <t>【意図】無同期の共有可変状態はデータ競合を生み、負荷やタイミング依存で稀にしか再現しない破壊的バグとして本番でのみ顕在化する。SWEBOKの並行処理プリミティブはこの対策の道具立て。
【対象ドキュメント】swebok-v4.pdf ch04 Software Construction &gt; 4-4.10 Concurrency Primitives(セマフォ・モニタ・ミューテックス)</t>
      </text>
    </comment>
    <comment ref="E39" authorId="0" shapeId="0">
      <text>
        <t>【意図】デッドロックは発生すると系全体が無応答のまま固まり、再起動でしか復旧できない。ロック順序の統一など構造的予防でしか確実に防げない。
【対象ドキュメント】swebok-v4.pdf ch04 Software Construction &gt; 4-4.10 Concurrency Primitives / 4-3.3 Coding(排他機構の規律ある使用)</t>
      </text>
    </comment>
    <comment ref="E40" authorId="0" shapeId="0">
      <text>
        <t>【意図】例外経路でのロック解放漏れは、以降そのロックを待つ全スレッドを永久ブロックさせる。言語機構による対の保証で人為ミスを排除する。
【対象ドキュメント】swebok-v4.pdf ch04 Software Construction &gt; 4-4.10 Concurrency Primitives / 4-4.5(エラー経路の後処理)</t>
      </text>
    </comment>
    <comment ref="E41" authorId="0" shapeId="0">
      <text>
        <t>【意図】自作同期機構はメモリモデルの微妙な仕様(可視性・リオーダリング)を踏み外しやすく、テストでは検出不能な競合を埋め込む。実績あるプリミティブの使用が唯一安全。
【対象ドキュメント】swebok-v4.pdf ch04 Software Construction &gt; 4-4.10 Concurrency Primitives(言語/OS提供の抽象を使う)</t>
      </text>
    </comment>
    <comment ref="E42" authorId="0" shapeId="0">
      <text>
        <t>【意図】検査と使用の間の割り込みは「存在確認したのに作成で失敗」等の間欠バグとなり、セキュリティ文脈では権限昇格(TOCTOU攻撃)にもつながる。
【対象ドキュメント】swebok-v4.pdf ch04 Software Construction &gt; 4-4.10 Concurrency Primitives(実務補完: CWE-367)</t>
      </text>
    </comment>
    <comment ref="E43" authorId="0" shapeId="0">
      <text>
        <t>【意図】スレッド安全性が不明なAPIは利用者に「たぶん安全」という賭けを強い、非安全なクラスのマルチスレッド利用という気づきにくい欠陥を生む。
【対象ドキュメント】swebok-v4.pdf ch04 Software Construction &gt; 4-4.10 Concurrency Primitives / 4-4.1 API Design(セマンティクスの明示)</t>
      </text>
    </comment>
    <comment ref="E44" authorId="0" shapeId="0">
      <text>
        <t>【意図】fire-and-forgetのタスクは失敗が誰にも観測されず、シャットダウン時の処理中断やリソースリークの原因になる。完了・キャンセル経路の明示で制御下に置く。
【対象ドキュメント】swebok-v4.pdf ch04 Software Construction &gt; 4-4.10 Concurrency Primitives / 4-4.12(並行・分散の実務補完)</t>
      </text>
    </comment>
    <comment ref="E45" authorId="0" shapeId="0">
      <text>
        <t>【意図】解放されないファイル・接続・ハンドルは長時間稼働で枯渇し、「数日に一度落ちる」型の再現困難な本番障害を引き起こす。
【対象ドキュメント】swebok-v4.pdf ch04 Software Construction &gt; 4-3.3 Coding(直列再利用可能資源へのアクセス規律)</t>
      </text>
    </comment>
    <comment ref="E46" authorId="0" shapeId="0">
      <text>
        <t>【意図】N+1クエリやループ内再計算は小規模データのテストでは気づかれず、本番データ量で応答時間が桁違いに悪化してから発覚する。コードレビュー段階の検出が最も安価。
【対象ドキュメント】swebok-v4.pdf ch04 Software Construction &gt; 4-4.14 Performance Analysis and Tuning(ループ・式のチューニング)</t>
      </text>
    </comment>
    <comment ref="E47" authorId="0" shapeId="0">
      <text>
        <t>【意図】計算量が成立しないデータ構造の選択は、後からの差し替えコストが大きく、データ増加とともに静かに劣化するため早期のレビューで正す必要がある。
【対象ドキュメント】swebok-v4.pdf ch04 Software Construction &gt; 4-4.14 Performance Analysis(アルゴリズム・データ構造選択が効率を決定)</t>
      </text>
    </comment>
    <comment ref="E48" authorId="0" shapeId="0">
      <text>
        <t>【意図】推測に基づく最適化は可読性を犠牲にしながら実際のホットスポットを外すことが多い。SWEBOKの性能分析(プロファイリングでホットスポット特定→チューニング)の順序を強制する。
【対象ドキュメント】swebok-v4.pdf ch04 Software Construction &gt; 4-4.14 Performance Analysis and Tuning / 4-5.4 Profiling Tools</t>
      </text>
    </comment>
    <comment ref="E49" authorId="0" shapeId="0">
      <text>
        <t>【意図】高コスト資源の都度生成は接続確立オーバーヘッドとリソース枯渇を招き、上限のないプールは障害時に接続爆発で依存先を巻き込む。
【対象ドキュメント】swebok-v4.pdf ch04 Software Construction &gt; 4-4.14 Performance(実務補完: 接続プール管理)</t>
      </text>
    </comment>
    <comment ref="E50" authorId="0" shapeId="0">
      <text>
        <t>【意図】上限のないキャッシュ・コレクションは正常動作のままメモリを食い潰し、OOMによる突然死という最も切り分けにくい障害になる。
【対象ドキュメント】swebok-v4.pdf ch04 Software Construction &gt; 4-4.14 Performance(実務補完: メモリ管理)</t>
      </text>
    </comment>
    <comment ref="E51" authorId="0" shapeId="0">
      <text>
        <t>【意図】誤用しやすいAPIは呼び出し側の数だけバグを量産する。SWEBOKはAPI設計の要件として「誤用が困難であること」を明示しており、型で不正状態を排除する設計はその実装手段。
【対象ドキュメント】swebok-v4.pdf ch04 Software Construction &gt; 4-4.1 API Design and Use(difficult to misuse)</t>
      </text>
    </comment>
    <comment ref="E52" authorId="0" shapeId="0">
      <text>
        <t>【意図】APIは実装より長生きするため、無断の非互換変更は全クライアントを同時に壊す。SWEBOKもAPIの後方互換性維持と安定性を設計要件に挙げる。
【対象ドキュメント】swebok-v4.pdf ch04 Software Construction &gt; 4-4.1 API Design and Use(backward compatibility / 安定性)</t>
      </text>
    </comment>
    <comment ref="E53" authorId="0" shapeId="0">
      <text>
        <t>【意図】APIはシグネチャだけでなくセマンティクス(効果・振る舞い)の記述を含むべきというSWEBOKの要請。文書がないと利用者は実装を読むか試行錯誤で使い、誤用が広がる。
【対象ドキュメント】swebok-v4.pdf ch04 Software Construction &gt; 4-4.1 API Design and Use(セマンティクスの記述・OpenAPI)</t>
      </text>
    </comment>
    <comment ref="E54" authorId="0" shapeId="0">
      <text>
        <t>【意図】内部実装の意図せぬ公開は外部から依存され、以後の内部変更がすべて破壊的変更になる。公開面の最小化は将来の変更の自由を守る。
【対象ドキュメント】swebok-v4.pdf ch04 Software Construction &gt; 4-4.1 API Design and Use / 4-1.2 Anticipating Change</t>
      </text>
    </comment>
    <comment ref="E55" authorId="0" shapeId="0">
      <text>
        <t>【意図】可変内部状態の直接返却は呼び出し側からの意図せぬ書き換えという遠隔作用バグを許す。null/空の規約不統一は呼び出し側の防御コードの漏れを誘う。
【対象ドキュメント】swebok-v4.pdf ch04 Software Construction &gt; 4-4.1 API Design and Use / 4-4.4 Design by Contract</t>
      </text>
    </comment>
    <comment ref="E56" authorId="0" shapeId="0">
      <text>
        <t>【意図】エラー応答が未仕様だとクライアントはエラーの機械判定ができず、障害時に「リトライすべきか・諦めるべきか」を誤って二次被害を広げる。
【対象ドキュメント】swebok-v4.pdf ch04 Software Construction &gt; 4-4.1 API Design and Use / 4-4.5 Error Handling(例外報告の標準化)</t>
      </text>
    </comment>
    <comment ref="E57" authorId="0" shapeId="0">
      <text>
        <t>【意図】特定案件の都合が焼き込まれた「共通部品」は他所で使えず、コピーして改変されてクローン増殖の起点になる。作る側の可変性設計と文書化を確認して再利用を成立させる。
【対象ドキュメント】swebok-v4.pdf ch04 Software Construction &gt; 3.5 Reuse in Construction — 再利用のための構築(可変性の実装・カプセル化・再利用資産の記述と公開)</t>
      </text>
    </comment>
    <comment ref="E58" authorId="0" shapeId="0">
      <text>
        <t>【意図】プラットフォーム依存コードが全体に散在すると、対応環境の追加・変更時に全面書き換えとなり、特定環境でのみ再現する欠陥の温床にもなる。
【対象ドキュメント】swebok-v4.pdf ch04 Software Construction &gt; 3.8 Cross-Platform Development / 4.15 Platform Standards(クロスプラットフォーム開発とプラットフォーム標準)</t>
      </text>
    </comment>
    <comment ref="E59" authorId="0" shapeId="0">
      <text>
        <t>【意図】構築時テストの目的は欠陥混入から検出までの時間差を縮め修正コストを下げること。テストのない変更は欠陥を後工程(結合・本番)まで持ち越し、修正コストを桁違いにする。
【対象ドキュメント】swebok-v4.pdf ch04 Software Construction &gt; 4-3.4 Construction Testing / 4-1.3 Constructing for Verification</t>
      </text>
    </comment>
    <comment ref="E60" authorId="0" shapeId="0">
      <text>
        <t>【意図】欠陥は境界値と異常系に集中する。正常系のみのテストは「動くことの確認」であって「壊れないことの確認」になっておらず、カバレッジ数値の見かけだけを上げる。
【対象ドキュメント】swebok-v4.pdf ch04 Software Construction &gt; 4-3.4 Construction Testing / 4-4.4(不正入力の扱い)</t>
      </text>
    </comment>
    <comment ref="E61" authorId="0" shapeId="0">
      <text>
        <t>【意図】順序・時刻・外部サービスに依存するテストは間欠的に失敗(flaky)し、チームが赤いCIを無視する習慣を作って本物の欠陥検出まで無効化する。
【対象ドキュメント】swebok-v4.pdf ch04 Software Construction &gt; 4-5.3 Unit Testing Tools(分離された単体検証)</t>
      </text>
    </comment>
    <comment ref="E62" authorId="0" shapeId="0">
      <text>
        <t>【意図】アサーションの緩いテストは欠陥があってもパスする「偽の安心」を生み、カバレッジ指標を汚染してテスト投資の意味を失わせる。
【対象ドキュメント】swebok-v4.pdf ch04 Software Construction &gt; 4-5.3 Unit Testing Tools(データセットごとの正しさ検証基準のコード化)</t>
      </text>
    </comment>
    <comment ref="E63" authorId="0" shapeId="0">
      <text>
        <t>【意図】構造化されていないテストは失敗時に「何を検証していたか」の解読から始まり、修正もテスト自体の欠陥混入も起きやすい。テストは仕様の実行可能な文書でもある。
【対象ドキュメント】swebok-v4.pdf ch04 Software Construction &gt; 4-3.4 Construction Testing(実務補完: xUnitパターン)</t>
      </text>
    </comment>
    <comment ref="E64" authorId="0" shapeId="0">
      <text>
        <t>【意図】手動実行のテストは必ず実行されなくなる。CIでのブロックにより「テストが通らないコードは統合されない」を仕組みとして保証する。
【対象ドキュメント】swebok-v4.pdf ch04 Software Construction &gt; 4-3.7 Integration(CIパイプラインによるビルド・テスト自動化)</t>
      </text>
    </comment>
    <comment ref="E65" authorId="0" shapeId="0">
      <text>
        <t>【意図】テスト容易性の低い構造(差し替え不能な外部依存・密結合)はテスト自体を書けなくし、検証可能性というSWEBOK構築原則を設計レベルで損なう。
【対象ドキュメント】swebok-v4.pdf ch04 Software Construction &gt; 4-1.3 Constructing for Verification(自動テストを支えるコード編成)</t>
      </text>
    </comment>
    <comment ref="E66" authorId="0" shapeId="0">
      <text>
        <t>【意図】理由なくskipされたテストは「一時的のつもりが永久」になり、その領域の退行検出が静かに失われる。追跡番号の義務化で無効化を可視化・期限管理する。
【対象ドキュメント】swebok-v4.pdf ch04 Software Construction &gt; 4-3.4 Construction Testing(実務補完: テスト運用規律)</t>
      </text>
    </comment>
    <comment ref="E67" authorId="0" shapeId="0">
      <text>
        <t>【意図】ビルドが再現不能だと「自分の環境では動く」問題と、依存の暗黙更新による無変更デグレードが起きる。ロックファイルとクリーン環境ビルドで成果物を決定的にする。
【対象ドキュメント】swebok-v4.pdf ch04 Software Construction &gt; 4-2.4 Managing Dependencies(パッケージマネージャによる依存管理)</t>
      </text>
    </comment>
    <comment ref="E68" authorId="0" shapeId="0">
      <text>
        <t>【意図】SWEBOKは依存サプライチェーンの脆弱性伝播の防止を明示している。推移的依存の既知脆弱性は自プロダクトの脆弱性そのものであり、スキャンなしでは存在にすら気づけない。
【対象ドキュメント】swebok-v4.pdf ch04 Software Construction &gt; 4-2.4 Managing Dependencies(脆弱性の伝播防止)</t>
      </text>
    </comment>
    <comment ref="E69" authorId="0" shapeId="0">
      <text>
        <t>【意図】SWEBOKが明示する依存のライセンス競合回避。コピーレフト等との競合は出荷後に発覚するとソース公開義務や販売停止など法務リスクに直結する。
【対象ドキュメント】swebok-v4.pdf ch04 Software Construction &gt; 4-2.4 Managing Dependencies(ライセンス競合の回避)</t>
      </text>
    </comment>
    <comment ref="E70" authorId="0" shapeId="0">
      <text>
        <t>【意図】SWEBOKは不要依存の回避によるビルド効率改善を明示する。不要依存は攻撃対象面積・脆弱性対応工数・ビルド時間を無意味に増やす。
【対象ドキュメント】swebok-v4.pdf ch04 Software Construction &gt; 4-2.4 Managing Dependencies(不要な依存の回避)</t>
      </text>
    </comment>
    <comment ref="E71" authorId="0" shapeId="0">
      <text>
        <t>【意図】特定個人の環境に依存したビルドは、その人の不在・PC交換で誰もリリースできなくなる属人化リスクの典型。ツールとバージョンのコード化で誰でも再現可能にする。
【対象ドキュメント】swebok-v4.pdf ch04 Software Construction &gt; 4-1.5 Applying Standards / 4-3.7 Integration(実務補完: ビルド自動化)</t>
      </text>
    </comment>
    <comment ref="E72" authorId="0" shapeId="0">
      <text>
        <t>【意図】放置された警告の山は「警告は見なくてよい」という文化を作り、その中に埋もれた本物の欠陥予兆(未初期化・型不一致等)を見逃させる。
【対象ドキュメント】swebok-v4.pdf ch04 Software Construction &gt; 4-3.6 Construction Quality(静的解析)</t>
      </text>
    </comment>
    <comment ref="E73" authorId="0" shapeId="0">
      <text>
        <t>【意図】SWEBOKが明示する「信頼できない外部依存の導入防止の規制・監視」。取得元が無管理だと依存関係かく乱・typosquattingで悪意あるパッケージが混入し得る。
【対象ドキュメント】swebok-v4.pdf ch04 Software Construction &gt; 4-2.4 Managing Dependencies(信頼できない外部依存の導入防止)</t>
      </text>
    </comment>
    <comment ref="E74" authorId="0" shapeId="0">
      <text>
        <t>【意図】CIがないと統合の失敗が数週間分まとめて発覚し、原因コミットの特定に膨大な時間を要する。SWEBOKはCIによる1日複数回の統合と高速フィードバックを標準実践とする。
【対象ドキュメント】swebok-v4.pdf ch04 Software Construction &gt; 4-3.7 Integration(継続的インテグレーション)</t>
      </text>
    </comment>
    <comment ref="E75" authorId="0" shapeId="0">
      <text>
        <t>【意図】SWEBOKはインクリメンタル統合の利点(エラー位置特定の容易さ・早期フィードバック)をフェーズド(ビッグバン)統合と対比して明示する。巨大PRと長命ブランチはレビュー精度低下とマージ地獄を招く。
【対象ドキュメント】swebok-v4.pdf ch04 Software Construction &gt; 4-3.7 Integration(インクリメンタル統合 vs フェーズド統合)</t>
      </text>
    </comment>
    <comment ref="E76" authorId="0" shapeId="0">
      <text>
        <t>【意図】壊れたメインブランチの放置は全員の作業のベースを汚染し、「失敗は普通」という割れ窓状態を作ってCIの欠陥検出機能を無効化する。
【対象ドキュメント】swebok-v4.pdf ch04 Software Construction &gt; 4-3.7 Integration / 4-4.17 Feedback Loop for Construction</t>
      </text>
    </comment>
    <comment ref="E77" authorId="0" shapeId="0">
      <text>
        <t>【意図】SWEBOKは統合順序の計画とスタブ・ドライバ・モック等の足場作りを統合の主要関心事に挙げる。無計画な結合は未完成部品待ちの手空きとビッグバン統合への逆戻りを生む。
【対象ドキュメント】swebok-v4.pdf ch04 Software Construction &gt; 4-3.7 Integration(統合順序の計画・スキャフォールディング)/ 4-2.2 Construction Planning</t>
      </text>
    </comment>
    <comment ref="E78" authorId="0" shapeId="0">
      <text>
        <t>【意図】静的解析は実行せずに欠陥・脆弱性を検出できる構築品質の主要技法。CIに組み込まれていないと実行が任意になり、指摘の蓄積で誰も見なくなる。
【対象ドキュメント】swebok-v4.pdf ch04 Software Construction &gt; 4-3.6 Construction Quality(静的解析・セキュリティ弱点の自動解析)</t>
      </text>
    </comment>
    <comment ref="E79" authorId="0" shapeId="0">
      <text>
        <t>【意図】CIの高速フィードバックは構築の欠陥検出コストを下げる根幹。ビルドが遅いと開発者は結果を待たずに次へ進み、失敗対応が遅れて統合頻度も下がる。
【対象ドキュメント】swebok-v4.pdf ch04 Software Construction &gt; 4-4.17 Feedback Loop for Construction(高速フィードバック)</t>
      </text>
    </comment>
    <comment ref="E80" authorId="0" shapeId="0">
      <text>
        <t>【意図】計測がないと複雑度や欠陥率の悪化に誰も気づかず、品質劣化が障害の増加という形で初めて発覚する。自動収集で構築品質を継続的に可視化する。
【対象ドキュメント】swebok-v4.pdf ch04 Software Construction &gt; 2.3 Construction Measurement(構築の計測)</t>
      </text>
    </comment>
    <comment ref="E81" authorId="0" shapeId="0">
      <text>
        <t>【意図】「何をしているか」の反復コメントはコード変更に追随せず嘘をつき始める。「なぜ」(意図・制約・回避策の理由)は将来の保守者が安全でない書き換えをする事故を防ぐ。
【対象ドキュメント】swebok-v4.pdf ch04 Software Construction &gt; 4-3.3 Coding(コード文書化)</t>
      </text>
    </comment>
    <comment ref="E82" authorId="0" shapeId="0">
      <text>
        <t>【意図】追跡されないTODO/FIXMEは既知の欠陥・技術的負債が課題管理の外で放置される抜け道になり、リリース判定でリスクとして評価されないまま出荷される。
【対象ドキュメント】swebok-v4.pdf ch04 Software Construction &gt; 4-3.3 Coding(コード文書化)/ 実務補完(技術的負債管理)</t>
      </text>
    </comment>
    <comment ref="E83" authorId="0" shapeId="0">
      <text>
        <t>【意図】レビューはSWEBOKが挙げる構築品質の主要技法であり、記録がなければ実施の証明も指摘の追跡もできない。セルフマージは第三者の目を通らない欠陥・不正の混入経路になる。
【対象ドキュメント】swebok-v4.pdf ch04 Software Construction &gt; 4-3.6 Construction Quality(インスペクション・技術レビュー)/ IEEE 1028</t>
      </text>
    </comment>
    <comment ref="E84" authorId="0" shapeId="0">
      <text>
        <t>【意図】指摘して修正されなければレビューは儀式に堕ちる。Critical/High指摘の未解消マージは、発見済みの重大欠陥を承知で出荷することを意味する。
【対象ドキュメント】swebok-v4.pdf ch04 Software Construction &gt; 4-3.6 Construction Quality(レビュー指摘の解消)/ IEEE 1028</t>
      </text>
    </comment>
    <comment ref="E85" authorId="0" shapeId="0">
      <text>
        <t>【意図】変更理由の追えないコミット履歴は、障害調査時の「なぜこうなっているか」を考古学にし、構成管理・監査の要求(変更の追跡可能性)も満たせない。
【対象ドキュメント】swebok-v4.pdf ch04 Software Construction &gt; 4-2.3 Construction Measurement(実務補完: SCMトレーサビリティ)</t>
      </text>
    </comment>
    <comment ref="E86" authorId="0" shapeId="0">
      <text>
        <t>【意図】陳腐化した構築手順は新規参画者の立ち上げを数日単位で浪費させ、緊急時に「ビルド方法が分からない」という最悪の事態を招く。
【対象ドキュメント】swebok-v4.pdf ch04 Software Construction &gt; 4-1.5 Applying Standards(文書標準)/ 実務補完(オンボーディング)</t>
      </text>
    </comment>
  </commentList>
</comments>
</file>

<file path=xl/comments/comment5.xml><?xml version="1.0" encoding="utf-8"?>
<comments xmlns="http://schemas.openxmlformats.org/spreadsheetml/2006/main">
  <authors>
    <author>SWEBOKレビューハーネス</author>
  </authors>
  <commentList>
    <comment ref="E2" authorId="0" shapeId="0">
      <text>
        <t>【意図】スコープが曖昧なまま進むと、対象外のはずの領域の障害流出や、逆に不要なテストへの工数浪費が起きる。悉皆テストは不可能というSWEBOKの前提の下、何を捨てるかの判断を明示させるための項目。
【対象ドキュメント】swebok-v4.pdf ch05 Software Testing &gt; 5.1.2 Test Guides and Organizational Process / 5.2.1 Test Planning Process</t>
      </text>
    </comment>
    <comment ref="E3" authorId="0" shapeId="0">
      <text>
        <t>【意図】レベル構成が未定義だと、単体で捕まえるべき欠陥がシステムテストまで持ち越されて修正コストが跳ね上がり、責任の押し付け合いも生じる。4段階の目的・担当を先に固定して欠陥検出の場所を最適化する。
【対象ドキュメント】swebok-v4.pdf ch05 Software Testing &gt; 2.1 The Target of the Test</t>
      </text>
    </comment>
    <comment ref="E4" authorId="0" shapeId="0">
      <text>
        <t>【意図】「どこまでやれば十分か」を測定可能に定義しないと、終了判断が声の大きさや納期都合で決まり、品質根拠のないリリースや際限のないテスト継続を招く。
【対象ドキュメント】swebok-v4.pdf ch05 Software Testing &gt; 1.2.2 Test Selection and Adequacy Criteria / 5.1.8 Test Completion</t>
      </text>
    </comment>
    <comment ref="E5" authorId="0" shapeId="0">
      <text>
        <t>【意図】開始条件が曖昧だと、未完成のビルドや未準備の環境でテストを始めて大量のBlockedと手戻りが発生し、実行工数が空費される。
【対象ドキュメント】swebok-v4.pdf ch05 Software Testing &gt; 5.2.1 Test Planning Process(実務補完: ISO/IEC/IEEE 29119-3)</t>
      </text>
    </comment>
    <comment ref="E6" authorId="0" shapeId="0">
      <text>
        <t>【意図】中断基準がないと、環境障害や先行欠陥の多発時に無意味な実行を続けて結果の信頼性を損ない、再開時にどこからやり直すかで混乱する。
【対象ドキュメント】実務補完(ISO/IEC/IEEE 29119-3、IEEE 829系のテスト計画実務)</t>
      </text>
    </comment>
    <comment ref="E7" authorId="0" shapeId="0">
      <text>
        <t>【意図】テストは常に限られた資源と無限のテスト要求のトレードオフであり、リスクに基づく重点化がないと低リスク領域に工数を均等散布して重大障害を見逃す。
【対象ドキュメント】swebok-v4.pdf ch05 Software Testing &gt; 5.1.2 Test Guides(リスクベースドテスト)/ 5.2.1 Test Planning Process(リスク計画)</t>
      </text>
    </comment>
    <comment ref="E8" authorId="0" shapeId="0">
      <text>
        <t>【意図】ロールと独立性が未定義だと、実装者バイアスで欠陥が見逃されたり、テスト実行の責任者不在で進捗が停滞したりする。
【対象ドキュメント】swebok-v4.pdf ch05 Software Testing &gt; 5.1.5 Test Team / 5.3 Staffing</t>
      </text>
    </comment>
    <comment ref="E9" authorId="0" shapeId="0">
      <text>
        <t>【意図】テストが開発スケジュールと独立に立てられると、開発遅延のしわ寄せでテスト期間だけが圧縮され、計画したテストが実施されないままリリースされる。
【対象ドキュメント】swebok-v4.pdf ch05 Software Testing &gt; 5.2.1 Test Planning Process</t>
      </text>
    </comment>
    <comment ref="E10" authorId="0" shapeId="0">
      <text>
        <t>【意図】自動化範囲を決めずに始めると、回帰テストが手動のまま肥大化して変更のたびに実行しきれなくなるか、費用対効果の低い箇所を自動化して保守負債になる。
【対象ドキュメント】swebok-v4.pdf ch05 Software Testing &gt; 1.2.11 Test Execution and Automation / 6.1.2 Testing in Line with Shift-Left Movement</t>
      </text>
    </comment>
    <comment ref="E11" authorId="0" shapeId="0">
      <text>
        <t>【意図】テスト成果物が構成管理されていないと、どの版の仕様に対するテスト結果か追跡できず、監査時に品質の証跡を示せなくなる。
【対象ドキュメント】swebok-v4.pdf ch05 Software Testing &gt; 5.1.4 Test Documentation(テスト文書はSCM管理下に置く)</t>
      </text>
    </comment>
    <comment ref="E12" authorId="0" shapeId="0">
      <text>
        <t>【意図】非機能テストは計画時に環境・ツール・期間の手当てが必要で、後付けでは実施不能になりやすい。性能・セキュリティ問題は本番で初めて顕在化すると被害が大きい。
【対象ドキュメント】swebok-v4.pdf ch05 Software Testing &gt; 2.2.7 Non-functional Testing / 2.2.8 Security Testing</t>
      </text>
    </comment>
    <comment ref="E13" authorId="0" shapeId="0">
      <text>
        <t>【意図】計画自体の欠陥(スコープ漏れ、非現実的な基準)は下流の全テスト活動を歪めるため、承認記録により関係者合意と説明責任を担保する。
【対象ドキュメント】実務補完(ISO/IEC/IEEE 29119-3 テスト計画の承認実務)</t>
      </text>
    </comment>
    <comment ref="E14" authorId="0" shapeId="0">
      <text>
        <t>【意図】テスト容易性を計画段階で扱わないと、観測も制御もできないコンポーネントが実装後に判明し、テスト不能領域の残存や自動化コストの爆発を招く。
【対象ドキュメント】swebok-v4.pdf ch05 Software Testing &gt; 1.2.10 Testability(テスト容易性)</t>
      </text>
    </comment>
    <comment ref="E15" authorId="0" shapeId="0">
      <text>
        <t>【意図】根拠なきツール選定は、SUTの技術構成に合わないツールへの投資や、プロジェクト途中でのツール乗換えによる資産(スクリプト・記録)の廃棄を招く。
【対象ドキュメント】swebok-v4.pdf ch05 Software Testing &gt; 8.1 Testing Tool Support and Selection(テストツールの選定)</t>
      </text>
    </comment>
    <comment ref="E16" authorId="0" shapeId="0">
      <text>
        <t>【意図】単体テストの対象単位と合格基準が曖昧だと、分離テスト可能な要素の欠陥が統合後に発見され、原因切り分けコストが大幅に増える。
【対象ドキュメント】swebok-v4.pdf ch05 Software Testing &gt; 2.1.1 Unit Testing</t>
      </text>
    </comment>
    <comment ref="E17" authorId="0" shapeId="0">
      <text>
        <t>【意図】統合戦略なしのビッグバン統合は、インタフェース欠陥が一斉に噴出して原因特定が困難になる。段階的な統合順序を決めて欠陥の局所化を可能にする。
【対象ドキュメント】swebok-v4.pdf ch05 Software Testing &gt; 2.1.2 Integration Testing</t>
      </text>
    </comment>
    <comment ref="E18" authorId="0" shapeId="0">
      <text>
        <t>【意図】システムテストの観点が要求全体と対応していないと、実装済みだが未検証の要求が残り、非機能要求の未達が受入直前に発覚する。
【対象ドキュメント】swebok-v4.pdf ch05 Software Testing &gt; 2.1.3 System Testing</t>
      </text>
    </comment>
    <comment ref="E19" authorId="0" shapeId="0">
      <text>
        <t>【意図】受入基準が開発者視点のままだと、仕様には合致するが業務では使えないシステムを納品してしまい、検収拒否や運用開始後の紛争に発展する。
【対象ドキュメント】swebok-v4.pdf ch05 Software Testing &gt; 2.1.4 Acceptance Testing</t>
      </text>
    </comment>
    <comment ref="E20" authorId="0" shapeId="0">
      <text>
        <t>【意図】レベル間の分担が曖昧だと、同じ観点を重複実行して工数を浪費する一方、どのレベルも拾わない検証の空白地帯から障害が流出する。
【対象ドキュメント】swebok-v4.pdf ch05 Software Testing &gt; 2.1 The Target of the Test / 1.2.2 Test Selection and Adequacy Criteria</t>
      </text>
    </comment>
    <comment ref="E21" authorId="0" shapeId="0">
      <text>
        <t>【意図】回帰テストの選定基準がないと、変更のたびに全件再実行するか勘で間引くかの二択になり、修正による意図しない副作用(デグレード)を見逃す。
【対象ドキュメント】swebok-v4.pdf ch05 Software Testing &gt; 2.2.5 Regression Testing / 1.2.3 Prioritization/Minimization</t>
      </text>
    </comment>
    <comment ref="E22" authorId="0" shapeId="0">
      <text>
        <t>【意図】インタフェース欠陥は複雑なシステムで最も多発する欠陥種別であり、異常応答・タイムアウトを検証しないと相手システムの障害時に連鎖障害を起こす。
【対象ドキュメント】swebok-v4.pdf ch05 Software Testing &gt; 2.2.10 Interface and Application Program Interface (API) Testing</t>
      </text>
    </comment>
    <comment ref="E23" authorId="0" shapeId="0">
      <text>
        <t>【意図】開発環境では動くが本番構成・特定ブラウザでは動かない障害は、リリース直後に集中発生する。構成・インストール検証の要否を事前に判断させる。
【対象ドキュメント】swebok-v4.pdf ch05 Software Testing &gt; 2.2.3 Installation Testing / 2.2.11 Configuration Testing</t>
      </text>
    </comment>
    <comment ref="E24" authorId="0" shapeId="0">
      <text>
        <t>【意図】規制適合の検証漏れは、リリース後に是正命令・認証取消・法的責任という技術的障害より重い結果を招く。適用規制の棚卸しと検証要否の判断を明示的に行わせる。
【対象ドキュメント】swebok-v4.pdf ch05 Software Testing &gt; 2.2.1 Conformance Testing / 2.2.2 Compliance Testing(標準・法規制への適合テスト)</t>
      </text>
    </comment>
    <comment ref="E25" authorId="0" shapeId="0">
      <text>
        <t>【意図】統制されたテスト環境では、実利用者の多様な環境・使い方・期待とのずれを検出できない。試行提供の検討を怠ると、リリース直後にユーザー起点の問題が集中発生する。
【対象ドキュメント】swebok-v4.pdf ch05 Software Testing &gt; 2.2.4 Alpha and Beta Testing / 7.2 Testing Through Crowdsourcing(実利用者による試行)</t>
      </text>
    </comment>
    <comment ref="E26" authorId="0" shapeId="0">
      <text>
        <t>【意図】テスト目的を明示せずにケースを書き始めると、確認すべき性質(機能正当性、性能、信頼性等)の抜けに設計段階で気づけない。目的があって初めてテストスイートを生成・評価できる。
【対象ドキュメント】swebok-v4.pdf ch05 Software Testing &gt; 2.2 Objectives of Testing / 1.2.4 Purpose of Testing</t>
      </text>
    </comment>
    <comment ref="E27" authorId="0" shapeId="0">
      <text>
        <t>【意図】選択基準が異なれば欠陥検出の効果は大きく変わる。技法選定の根拠がないと、入力や条件の構造に合わない技法で網羅したつもりになり、検出漏れが体系的に生じる。
【対象ドキュメント】swebok-v4.pdf ch05 Software Testing &gt; 3.7 Selecting and Combining Techniques / 1.2.2 Test Selection and Adequacy Criteria</t>
      </text>
    </comment>
    <comment ref="E28" authorId="0" shapeId="0">
      <text>
        <t>【意図】同値分割を適用しないと、同じ振る舞いの入力を重複テストして工数を浪費する一方、無効クラス(エラー処理系)の検証が抜け落ちる。
【対象ドキュメント】swebok-v4.pdf ch05 Software Testing &gt; 3.1.1 Equivalence Partitioning</t>
      </text>
    </comment>
    <comment ref="E29" authorId="0" shapeId="0">
      <text>
        <t>【意図】欠陥は入力の極値近傍に集中するというのが境界値分析の根拠であり、境界の直外(off-by-one)を試さないと最頻出の欠陥パターンを取りこぼす。
【対象ドキュメント】swebok-v4.pdf ch05 Software Testing &gt; 3.1.2 Boundary Value Analysis</t>
      </text>
    </comment>
    <comment ref="E30" authorId="0" shapeId="0">
      <text>
        <t>【意図】複数条件の組合せで動作が変わる仕様は、単一条件のテストだけでは特定の組合せでのみ発現する欠陥を検出できない。網羅方針(全組合せ/ペアワイズ等)の明示で爆発と漏れの均衡を取る。
【対象ドキュメント】swebok-v4.pdf ch05 Software Testing &gt; 3.1.4 Combinatorial Test Techniques / 3.1.5 Decision Table / 3.1.6 Cause-Effect Graphing</t>
      </text>
    </comment>
    <comment ref="E31" authorId="0" shapeId="0">
      <text>
        <t>【意図】状態を持つ対象では、無効遷移(禁止されているはずの遷移)の受理が重大なデータ破壊やセキュリティ欠陥につながるため、有効遷移の網羅だけでは不十分。
【対象ドキュメント】swebok-v4.pdf ch05 Software Testing &gt; 3.1.7 State Transition Testing</t>
      </text>
    </comment>
    <comment ref="E32" authorId="0" shapeId="0">
      <text>
        <t>【意図】構造網羅基準が未定義だと、一度も実行されないコードを含んだままリリースされ、そこに潜む欠陥は本番で初めて実行される。数値目標がないと達成判定もできない。
【対象ドキュメント】swebok-v4.pdf ch05 Software Testing &gt; 3.2.1 Control Flow Testing</t>
      </text>
    </comment>
    <comment ref="E33" authorId="0" shapeId="0">
      <text>
        <t>【意図】形式的技法だけでは、過去の障害傾向やドメイン知識からしか導けない欠陥(仕様の穴)を検出できない。探索的テストは詳細仕様が欠ける場合の補完手段でもある。
【対象ドキュメント】swebok-v4.pdf ch05 Software Testing &gt; 3.3 Experience-Based Techniques(3.3.1 Error Guessing / 3.3.2 Exploratory Testing)</t>
      </text>
    </comment>
    <comment ref="E34" authorId="0" shapeId="0">
      <text>
        <t>【意図】品質特性の標準分類を使わずに非機能観点を挙げると、信頼性・保守性等の特性が体系的に漏れ、要求とテストの対応も検証できなくなる。
【対象ドキュメント】swebok-v4.pdf ch05 Software Testing &gt; 1.2.6 Testing for Quality Assurance/Improvement(ISO/IEC 25010)/ 2.2.7 Non-functional Testing</t>
      </text>
    </comment>
    <comment ref="E35" authorId="0" shapeId="0">
      <text>
        <t>【意図】機能単位のテストが全て合格しても、業務の一連の流れ(代替フロー含む)で破綻するケースは珍しくない。シナリオとユースケースの対応付けで業務観点の抜けを防ぐ。
【対象ドキュメント】swebok-v4.pdf ch05 Software Testing &gt; 3.1.8 Scenario-Based Testing</t>
      </text>
    </comment>
    <comment ref="E36" authorId="0" shapeId="0">
      <text>
        <t>【意図】設計者が想定した入力しかテストしないと、想定外入力によるクラッシュや脆弱性(ファジングで見つかる類)が残存する。外部入力境界での適用可否を意識的に判断させる。
【対象ドキュメント】swebok-v4.pdf ch05 Software Testing &gt; 3.1.9 Random Testing(ファズテスティング)</t>
      </text>
    </comment>
    <comment ref="E37" authorId="0" shapeId="0">
      <text>
        <t>【意図】Web・モバイル・組込み・AI/ML等にはドメイン固有の欠陥モードと標準があり、汎用技法だけではそれらを検出できない。検討の記録がないと単なる知識不足か意図的判断か区別できない。
【対象ドキュメント】swebok-v4.pdf ch05 Software Testing &gt; 3.6 Techniques Based on the Nature of the Application / 6.2 Testing in the Application Domains</t>
      </text>
    </comment>
    <comment ref="E38" authorId="0" shapeId="0">
      <text>
        <t>【意図】利用実態と無関係なテスト配分では、ユーザーが毎日使う機能の欠陥が残って体感品質が崩壊する。運用プロファイルは信頼性推定とテスト重点化の両方の基盤になる。
【対象ドキュメント】swebok-v4.pdf ch05 Software Testing &gt; 3.5 Usage-Based Techniques / 4.1.4-4.1.5 運用プロファイルに基づく信頼性評価と信頼性成長モデル</t>
      </text>
    </comment>
    <comment ref="E39" authorId="0" shapeId="0">
      <text>
        <t>【意図】フェイルオーバー・自己復旧・縮退運転は障害を実際に注入しない限り検証できず、机上設計のままでは実障害時に機能しない。
【対象ドキュメント】AWS Well-Architected Framework &gt; 信頼性の柱 &gt; REL 12 &gt; REL12-BP04 Test resiliency using chaos engineering / Azure Well-Architected Framework &gt; 信頼性の柱 &gt; RE:08 Test for resiliency and availability scenarios by applying the principles of chaos engineering</t>
      </text>
    </comment>
    <comment ref="E40" authorId="0" shapeId="0">
      <text>
        <t>【意図】一意IDがないと、結果記録・インシデント・トレーサビリティの全てで参照が崩れ、どのテストが未実施かすら集計できなくなる。
【対象ドキュメント】swebok-v4.pdf ch05 Software Testing &gt; 5.1.4 Test Documentation(テストケース仕様)(実務補完: ISO/IEC/IEEE 29119-3)</t>
      </text>
    </comment>
    <comment ref="E41" authorId="0" shapeId="0">
      <text>
        <t>【意図】テストは結果の合否を判定できて初めて意味を持つ(オラクル問題)。期待結果が曖昧だと実行者の主観で合否が揺れ、欠陥の見逃しと誤検出の両方が起きる。
【対象ドキュメント】swebok-v4.pdf ch05 Software Testing &gt; 1.2.7 The Oracle Problem</t>
      </text>
    </comment>
    <comment ref="E42" authorId="0" shapeId="0">
      <text>
        <t>【意図】要求との双方向トレースがないと、テストされていない要求の存在に気づけず、要求カバレッジの主張やアセスメント・認証の証跡も成立しない。
【対象ドキュメント】swebok-v4.pdf ch05 Software Testing &gt; 1.2.5 Assessment and Certification / 5.1.7 Test Monitoring and Control(要求充足の追跡)</t>
      </text>
    </comment>
    <comment ref="E43" authorId="0" shapeId="0">
      <text>
        <t>【意図】正常系だけのテストでは、エラー処理・例外パスの欠陥がそのまま残り、本番の異常入力でクラッシュや不正データ受理を起こす。異常系は意図的に設計しないと書かれない。
【対象ドキュメント】swebok-v4.pdf ch05 Software Testing &gt; 3.1.11 Forcing Exception / 3.1.2 Boundary Value Analysis(ロバストネステスト)</t>
      </text>
    </comment>
    <comment ref="E44" authorId="0" shapeId="0">
      <text>
        <t>【意図】テストは科学的な統制実験として他者が再現できる形で文書化すべきであり、再現不能な手順は障害の再現・修正確認を妨げ、担当者交代で実行不能になる。
【対象ドキュメント】swebok-v4.pdf ch05 Software Testing &gt; 5.2.4 Controlled Experiments and Test Execution</t>
      </text>
    </comment>
    <comment ref="E45" authorId="0" shapeId="0">
      <text>
        <t>【意図】同値表や決定表を作っても、そこからテストケースへの導出が漏れれば技法適用の意味がない。設計成果物とケースIDの対応で導出漏れを機械的に検出可能にする。
【対象ドキュメント】swebok-v4.pdf ch05 Software Testing &gt; 5.2.2 Test Design and Implementation</t>
      </text>
    </comment>
    <comment ref="E46" authorId="0" shapeId="0">
      <text>
        <t>【意図】優先度がないと、期間圧縮時にどのテストを削るかを場当たりで決めることになり、高リスク領域の未実施のままのリリースに気づけない。
【対象ドキュメント】swebok-v4.pdf ch05 Software Testing &gt; 1.2.3 Prioritization/Minimization / 2.2.6 Prioritization Testing</t>
      </text>
    </comment>
    <comment ref="E47" authorId="0" shapeId="0">
      <text>
        <t>【意図】暗黙の実行順序依存があると、順序を変えた途端に大量の偽の失敗が発生し、並列実行や部分実行もできなくなる。
【対象ドキュメント】実務補完(ISO/IEC/IEEE 29119-3 テスト手順仕様の実務)</t>
      </text>
    </comment>
    <comment ref="E48" authorId="0" shapeId="0">
      <text>
        <t>【意図】テストデータが特定されていないと実行者ごとに異なるデータで実施され、結果の再現も失敗の切り分けもできなくなる。
【対象ドキュメント】swebok-v4.pdf ch05 Software Testing &gt; 5.1.4 Test Documentation(テストデータ要件)</t>
      </text>
    </comment>
    <comment ref="E49" authorId="0" shapeId="0">
      <text>
        <t>【意図】データ変更を伴うテストの後始末がないと、残留データが後続テストの前提を壊し、原因不明の失敗(実は環境汚染)の調査に時間を溶かす。
【対象ドキュメント】実務補完(ISO/IEC/IEEE 29119-3 テストケース仕様の事後条件)</t>
      </text>
    </comment>
    <comment ref="E50" authorId="0" shapeId="0">
      <text>
        <t>【意図】結果記録欄が未整備だと、実施証跡が個人メモに散逸し、完了報告の集計やインシデントの遡及調査ができなくなる。
【対象ドキュメント】swebok-v4.pdf ch05 Software Testing &gt; 5.1.4 Test Documentation(テスト実行文書・実結果)/ 5.2.5 Test Incident Reporting</t>
      </text>
    </comment>
    <comment ref="E51" authorId="0" shapeId="0">
      <text>
        <t>【意図】1ケースに多数の検証を詰め込むと、失敗時にどの検証が落ちたか特定できず、部分的な再実行もできないため、障害解析の効率が大きく落ちる。
【対象ドキュメント】実務補完(テストケース設計の実務慣行)</t>
      </text>
    </comment>
    <comment ref="E52" authorId="0" shapeId="0">
      <text>
        <t>【意図】非決定的なテストは失敗が欠陥由来か環境由来か判別できず、開発者が失敗を無視する習慣を生んで本物の欠陥検出まで無効化する。再現性はテストの科学的統制の基本原則。
【対象ドキュメント】swebok-v4.pdf ch05 Software Testing &gt; 5.2.4 Controlled Experiments and Test Execution(実務補完: 自動テスト実務)</t>
      </text>
    </comment>
    <comment ref="E53" authorId="0" shapeId="0">
      <text>
        <t>【意図】アサーションのないテストは実行してもオラクル(合否判定)が存在せず、緑色のまま欠陥を素通しする偽の安心感を与える。
【対象ドキュメント】swebok-v4.pdf ch05 Software Testing &gt; 1.2.7 The Oracle Problem(実務補完: 自動テスト実務)</t>
      </text>
    </comment>
    <comment ref="E54" authorId="0" shapeId="0">
      <text>
        <t>【意図】順序依存のテストは並列化・部分実行で壊れ、無関係な変更で連鎖的に失敗する。CIの高速化やテスト最小化・優先順位付けの前提が崩れる。
【対象ドキュメント】実務補完(xUnit実務。1.2.3 の優先順位付け・最小化の前提条件)</t>
      </text>
    </comment>
    <comment ref="E55" authorId="0" shapeId="0">
      <text>
        <t>【意図】CIに組み込まれていないテストは実行されなくなり腐敗する。継続的な回帰テストによる早期欠陥検出というシフトレフトの利益は自動実行があって初めて成立する。
【対象ドキュメント】swebok-v4.pdf ch05 Software Testing &gt; 6.1.2 Testing in Line with Shift-Left Movement(CI/DevOpsにおける回帰テスト)</t>
      </text>
    </comment>
    <comment ref="E56" authorId="0" shapeId="0">
      <text>
        <t>【意図】無意味なテスト名は、失敗時に何が壊れたかを読み解くコストを毎回発生させ、重複テストや仕様理解の誤りにも気づけなくする。
【対象ドキュメント】実務補完(テストコード可読性の実務)</t>
      </text>
    </comment>
    <comment ref="E57" authorId="0" shapeId="0">
      <text>
        <t>【意図】構造が混沌としたテストは、失敗原因の特定とプロダクト変更時の追随修正を困難にし、テストコード自体が保守の重荷になる。
【対象ドキュメント】実務補完(Arrange-Act-Assert パターン)</t>
      </text>
    </comment>
    <comment ref="E58" authorId="0" shapeId="0">
      <text>
        <t>【意図】単体テストが実DBや外部APIに接続すると、遅く不安定になり、外部要因の失敗が頻発して「分離テスト可能な要素の検証」という単体テストの目的が果たせなくなる。
【対象ドキュメント】swebok-v4.pdf ch05 Software Testing &gt; 2.1.1 Unit Testing / 8.2 Categories of Tools(テストハーネス: ドライバ・スタブ)</t>
      </text>
    </comment>
    <comment ref="E59" authorId="0" shapeId="0">
      <text>
        <t>【意図】自動テストが正常系に偏ると、回帰のたびに検証されるのは正常パスだけになり、境界・例外パスのデグレードが継続的に素通りする。
【対象ドキュメント】swebok-v4.pdf ch05 Software Testing &gt; 3.1.2 Boundary Value Analysis / 3.1.11 Forcing Exception</t>
      </text>
    </comment>
    <comment ref="E60" authorId="0" shapeId="0">
      <text>
        <t>【意図】カバレッジを計測しなければ、計画で定めた網羅基準は絵に描いた餅になり、テストされていないコードの増加に誰も気づかない。
【対象ドキュメント】swebok-v4.pdf ch05 Software Testing &gt; 4. Test-Related Measures(カバレッジ測定と評価手続き)</t>
      </text>
    </comment>
    <comment ref="E61" authorId="0" shapeId="0">
      <text>
        <t>【意図】flakyテストを放置すると失敗通知が信頼されなくなり、無断で無効化されたテストがカバレッジの空洞として残る。扱いのルール化で検出力の静かな劣化を防ぐ。
【対象ドキュメント】実務補完(CI運用実務。TST-401 の決定性要件の運用面)</t>
      </text>
    </comment>
    <comment ref="E62" authorId="0" shapeId="0">
      <text>
        <t>【意図】テスト資産の再利用性・保守性が低いと、要求や設計の変更をテストに反映するコストが膨らみ、回帰テスト資産が実態と乖離して放棄される。
【対象ドキュメント】swebok-v4.pdf ch05 Software Testing &gt; 5.1.9 Test Reusability</t>
      </text>
    </comment>
    <comment ref="E63" authorId="0" shapeId="0">
      <text>
        <t>【意図】ローカル実行手順がないと、開発者がコミット前にテストを回さずCIで初めて失敗を知る非効率が常態化し、シフトレフトの早期検出効果が損なわれる。
【対象ドキュメント】実務補完(開発者向けドキュメント実務)</t>
      </text>
    </comment>
    <comment ref="E64" authorId="0" shapeId="0">
      <text>
        <t>【意図】環境構成が文書化されていないと、テスト結果がどの構成に対する保証なのか不明になり、環境差異由来の障害の切り分けもできない。
【対象ドキュメント】swebok-v4.pdf ch05 Software Testing &gt; 5.2.3 Test Environment Set-up and Maintenance</t>
      </text>
    </comment>
    <comment ref="E65" authorId="0" shapeId="0">
      <text>
        <t>【意図】統制された実験室条件と本番(非統制)条件の差を明示しないと、テスト合格が本番動作の保証だと誤解され、差異起因の本番障害が「テスト済みなのに」という不信を生む。
【対象ドキュメント】swebok-v4.pdf ch05 Software Testing &gt; 5.2.3 Test Environment Set-up and Maintenance / 1.2.14 Controllability, Replication, and Generalization</t>
      </text>
    </comment>
    <comment ref="E66" authorId="0" shapeId="0">
      <text>
        <t>【意図】環境が再構築できないと、環境破損やスケールアウトのたびにテストが長期停止し、再現性(他者による同一テストの実施)も担保できない。
【対象ドキュメント】swebok-v4.pdf ch05 Software Testing &gt; 5.2.3 Test Environment Set-up and Maintenance</t>
      </text>
    </comment>
    <comment ref="E67" authorId="0" shapeId="0">
      <text>
        <t>【意図】本番データの無防備な流用は個人情報漏えい事故と法令(GDPR等)違反に直結し、事故時にはテスト活動そのものより桁違いの損害を生む。
【対象ドキュメント】swebok-v4.pdf ch05 Software Testing &gt; 2.2.9 Privacy Testing / 6.2 Testing in the Application Domains(GDPR・HIPAA等の規制)</t>
      </text>
    </comment>
    <comment ref="E68" authorId="0" shapeId="0">
      <text>
        <t>【意図】データの投入・リセット手順がないと、実行のたびにデータ状態が変わって結果が再現せず、テストの繰り返し実行(回帰)が事実上不可能になる。
【対象ドキュメント】swebok-v4.pdf ch05 Software Testing &gt; 5.2.3 Test Environment Set-up and Maintenance</t>
      </text>
    </comment>
    <comment ref="E69" authorId="0" shapeId="0">
      <text>
        <t>【意図】本番相当でない環境の性能測定値をそのまま信じると、本番投入後に性能要件未達が発覚する。換算の根拠まで求めることで測定値の誤用を防ぐ。
【対象ドキュメント】swebok-v4.pdf ch05 Software Testing &gt; 2.2.7 Non-functional Testing(性能・負荷テスト)/ 3.5 Usage-Based Techniques(運用環境の代表性)</t>
      </text>
    </comment>
    <comment ref="E70" authorId="0" shapeId="0">
      <text>
        <t>【意図】いつ・誰が・どの構成でテストしたかの記録が欠けると、結果の信頼性と説明責任が成立せず、未実施ケースが「実施済み」として完了判定に紛れ込む。
【対象ドキュメント】swebok-v4.pdf ch05 Software Testing &gt; 5.2.5 Test Incident Reporting(テストデータ収集プロセス)/ 5.1.7 Test Monitoring and Control</t>
      </text>
    </comment>
    <comment ref="E71" authorId="0" shapeId="0">
      <text>
        <t>【意図】Failの起票漏れは、発見済みの欠陥が誰にも修正されないまま本番に流出するという最悪の失敗を生む。テストケースとの相互紐付けで漏れを機械的に検出する。
【対象ドキュメント】swebok-v4.pdf ch05 Software Testing &gt; 5.2.5 Test Incident Reporting(問題報告システムへの記録)</t>
      </text>
    </comment>
    <comment ref="E72" authorId="0" shapeId="0">
      <text>
        <t>【意図】再現情報が不足したインシデントは、開発者が再現調査に時間を浪費するか「再現せず」でクローズされ、欠陥が残存する。デバッグと修正の起点となる品質を担保する。
【対象ドキュメント】swebok-v4.pdf ch05 Software Testing &gt; 5.2.5 Test Incident Reporting</t>
      </text>
    </comment>
    <comment ref="E73" authorId="0" shapeId="0">
      <text>
        <t>【意図】観測された事象(フェイラ)と原因(フォールト)の混同は誤った修正を誘発する。フェイラの原因は一意に特定できるとは限らないため、推定を事実と区別して記録させる。
【対象ドキュメント】swebok-v4.pdf ch05 Software Testing &gt; 1.1 Faults vs. Failures</t>
      </text>
    </comment>
    <comment ref="E74" authorId="0" shapeId="0">
      <text>
        <t>【意図】修正は新たな欠陥を混入させ得る。当該テストの再実行だけで回帰テストを省くと、修正の副作用による意図しないデグレードが検証されないままになる。
【対象ドキュメント】swebok-v4.pdf ch05 Software Testing &gt; 2.2.5 Regression Testing</t>
      </text>
    </comment>
    <comment ref="E75" authorId="0" shapeId="0">
      <text>
        <t>【意図】重要度基準が主観的だと、起票者ごとに判定が揺れて重大障害が Medium に埋もれ、修正の優先順位付けと完了判定(Critical ゼロ等)が機能しなくなる。
【対象ドキュメント】swebok-v4.pdf ch05 Software Testing &gt; 4.1.2 Fault Types, Classification and Statistics(実務補完: 重要度判定基準)</t>
      </text>
    </comment>
    <comment ref="E76" authorId="0" shapeId="0">
      <text>
        <t>【意図】Blocked の阻害要因を管理しないと、環境障害や先行欠陥の解消が放置されて未実施ケースが終盤に山積し、スケジュール破綻が突然表面化する。
【対象ドキュメント】swebok-v4.pdf ch05 Software Testing &gt; 5.1.7 Test Monitoring and Control</t>
      </text>
    </comment>
    <comment ref="E77" authorId="0" shapeId="0">
      <text>
        <t>【意図】進捗と障害発生の推移を監視しないと、計画からの乖離やリスクの高まりに気づくのが手遅れになり、計画見直しの機会を失う。監視データは計画改訂の入力でもある。
【対象ドキュメント】swebok-v4.pdf ch05 Software Testing &gt; 5.1.6 Test Process Measures / 5.1.7 Test Monitoring and Control</t>
      </text>
    </comment>
    <comment ref="E78" authorId="0" shapeId="0">
      <text>
        <t>【意図】要求カバレッジを測らないと、実装されたのに一度も検証されない要求が残り、「テスト完了」の宣言が要求充足の根拠を持たなくなる。
【対象ドキュメント】swebok-v4.pdf ch05 Software Testing &gt; 4. Test-Related Measures(機能要求カバレッジ)/ 5.1.7 Test Monitoring and Control</t>
      </text>
    </comment>
    <comment ref="E79" authorId="0" shapeId="0">
      <text>
        <t>【意図】基準だけ定めて実績と比較しなければ網羅基準は形骸化する。未達を放置するか受容するかの判断記録がないと、完了判定の根拠が崩れる。
【対象ドキュメント】swebok-v4.pdf ch05 Software Testing &gt; 3.2.1 Control Flow Testing / 4. Test-Related Measures</t>
      </text>
    </comment>
    <comment ref="E80" authorId="0" shapeId="0">
      <text>
        <t>【意図】未達箇所には実行不可能パスも含まれるため、分類せずに数値だけ追うと無駄なテスト追加や、逆に本来テストすべき箇所の見逃しが起きる。
【対象ドキュメント】swebok-v4.pdf ch05 Software Testing &gt; 1.2.9 The Problem of Infeasible Paths / 4. Test-Related Measures</t>
      </text>
    </comment>
    <comment ref="E81" authorId="0" shapeId="0">
      <text>
        <t>【意図】障害を分類・分析しないと、欠陥の多発領域や混入工程が見えず、品質予測もプロセス改善も勘頼みになる。過去の欠陥傾向は次のテスト重点化の最良の入力でもある。
【対象ドキュメント】swebok-v4.pdf ch05 Software Testing &gt; 4.1.2 Fault Types, Classification and Statistics / 4.1.3 Fault Density</t>
      </text>
    </comment>
    <comment ref="E82" authorId="0" shapeId="0">
      <text>
        <t>【意図】カバレッジが高くてもアサーションが弱ければ欠陥は素通りする。変異テスト・故障注入はテストスイート自体の欠陥検出力を測る手段であり、検討すらしないと検出力の過信が残る。
【対象ドキュメント】swebok-v4.pdf ch05 Software Testing &gt; 4.2 Evaluation of the Tests Performed(4.2.1 Fault Injection / 4.2.2 Mutation Score)/ 3.4 Fault-Based and Mutation Techniques</t>
      </text>
    </comment>
    <comment ref="E83" authorId="0" shapeId="0">
      <text>
        <t>【意図】「テストはバグの存在は示せるが不在は示せない」(Dijkstra)という理論的限界を報告で明示しないと、カバレッジ達成が品質保証の完了だと経営層が誤解し、残存リスクへの備えを怠る。
【対象ドキュメント】swebok-v4.pdf ch05 Software Testing &gt; 1.2.8 Theoretical and Practical Limitations</t>
      </text>
    </comment>
    <comment ref="E84" authorId="0" shapeId="0">
      <text>
        <t>【意図】終了基準への達成状況を項目別に判定しないと、「概ね完了」という曖昧な総括で未達が隠れ、テスト完了の判断が計画と切り離された恣意的なものになる。
【対象ドキュメント】swebok-v4.pdf ch05 Software Testing &gt; 5.1.8 Test Completion</t>
      </text>
    </comment>
    <comment ref="E85" authorId="0" shapeId="0">
      <text>
        <t>【意図】残存障害と残存リスクを明示しないと、リリース判断者がリスクを知らずに判断することになり、本番障害発生時に「知らされていなかった」という組織的問題に発展する。
【対象ドキュメント】swebok-v4.pdf ch05 Software Testing &gt; 5.1.8 Test Completion(残存フェイラのコストとリスクの考慮)</t>
      </text>
    </comment>
    <comment ref="E86" authorId="0" shapeId="0">
      <text>
        <t>【意図】未達のままのリリースは残存リスクの受容判断であり、判断者・根拠の記録がないと責任の所在が曖昧なままリスクだけが引き継がれる。
【対象ドキュメント】swebok-v4.pdf ch05 Software Testing &gt; 5.1.8 Test Completion(実務補完: リスク受容の承認記録)</t>
      </text>
    </comment>
    <comment ref="E87" authorId="0" shapeId="0">
      <text>
        <t>【意図】報告書の統計が実行記録と食い違っていると、報告全体の信頼性が崩れ、それに基づくリリース判断も誤る。集計の正確性は完了報告の最低条件。
【対象ドキュメント】swebok-v4.pdf ch05 Software Testing &gt; 5.1.6 Test Process Measures(実施・合格・不合格件数の測定)</t>
      </text>
    </comment>
    <comment ref="E88" authorId="0" shapeId="0">
      <text>
        <t>【意図】SUTのバージョンと環境が特定できない結果は、その後の変更でどこまで有効か判断できず、障害調査時に「どの版で確認済みか」を辿れない。
【対象ドキュメント】swebok-v4.pdf ch05 Software Testing &gt; 5.2.4 Controlled Experiments and Test Execution(明確に定義された版のSUT)/ 5.2.5 Test Incident Reporting</t>
      </text>
    </comment>
    <comment ref="E89" authorId="0" shapeId="0">
      <text>
        <t>【意図】データの羅列だけでは判断は読み手任せになる。根拠付きの推奨がないと、テスト結果がリリース判断に反映されず報告が形式化する。
【対象ドキュメント】swebok-v4.pdf ch05 Software Testing &gt; 5.1.8 Test Completion(結果のステークホルダーへの伝達)</t>
      </text>
    </comment>
    <comment ref="E90" authorId="0" shapeId="0">
      <text>
        <t>【意図】障害傾向の考察と改善提案がないと、同じ種類の欠陥を次工程・次プロジェクトでも作り続ける。根本原因分析はテストプロセス自体の改善の入力になる。
【対象ドキュメント】swebok-v4.pdf ch05 Software Testing &gt; 5.1.6 Test Process Measures(根本原因分析)/ 4.1.2 Fault Types, Classification and Statistics</t>
      </text>
    </comment>
    <comment ref="E91" authorId="0" shapeId="0">
      <text>
        <t>【意図】テスト資産の保管場所と保守方針を引き継がないと、保守フェーズで回帰テストをゼロから作り直すことになり、再利用によるコスト削減効果を失う。
【対象ドキュメント】swebok-v4.pdf ch05 Software Testing &gt; 5.1.9 Test Reusability</t>
      </text>
    </comment>
  </commentList>
</comments>
</file>

<file path=xl/comments/comment6.xml><?xml version="1.0" encoding="utf-8"?>
<comments xmlns="http://schemas.openxmlformats.org/spreadsheetml/2006/main">
  <authors>
    <author>SWEBOKレビューハーネス</author>
  </authors>
  <commentList>
    <comment ref="E2" authorId="0" shapeId="0">
      <text>
        <t>【意図】役割の空白や重複があると、障害時に「誰も自分の担当と思っていない」作業が放置され、復旧遅延や対応漏れが起きる。運用移管後に責任の押し付け合いが発生する事態を防ぐ。
【対象ドキュメント】swebok-v4.pdf ch06 SE Operations &gt; 2.1.1 Operations Plan(roles and responsibilities)/ 1.1 Definition of Software Engineering Operations</t>
      </text>
    </comment>
    <comment ref="E3" authorId="0" shapeId="0">
      <text>
        <t>【意図】エスカレーション先が「TBD」のまま本番稼働すると、深夜の重大障害で連絡先を探すことに時間を浪費し、復旧が数時間単位で遅れる。経路の空白を稼働前に潰すためにチェックする。
【対象ドキュメント】swebok-v4.pdf ch06 SE Operations &gt; 2.1.1 Operations Plan(communication to the relevant parties)/ 4.1 Incident Management(escalation)</t>
      </text>
    </comment>
    <comment ref="E4" authorId="0" shapeId="0">
      <text>
        <t>【意図】当番・交代ルールが曖昧だと夜間・休日の障害が翌営業日まで放置されたり、特定個人に負荷が集中して疲弊・離職を招く。対応時間帯の期待値を関係者間で揃える。
【対象ドキュメント】swebok-v4.pdf ch06 SE Operations &gt; 2.1.1 Operations Plan(staffing and recruitment requirements)</t>
      </text>
    </comment>
    <comment ref="E5" authorId="0" shapeId="0">
      <text>
        <t>【意図】受入基準がないと、文書未整備・監視未稼働のまま運用チームへ移管され、運用開始直後から障害対応が属人化・混乱する。移管時のゲートとして機能させる。
【対象ドキュメント】swebok-v4.pdf ch06 SE Operations &gt; 2.1.1 Operations Plan(service acceptance criteria)</t>
      </text>
    </comment>
    <comment ref="E6" authorId="0" shapeId="0">
      <text>
        <t>【意図】教育・引き継ぎ計画がないと、担当者の退職・異動でノウハウが消失し、単純な障害でも復旧できないチームになる。ISO 20000-1 が求める要員育成・後継計画の観点を担保する。
【対象ドキュメント】swebok-v4.pdf ch06 SE Operations &gt; 1.1 Definition of Software Engineering Operations(resource training and development / succession planning)</t>
      </text>
    </comment>
    <comment ref="E7" authorId="0" shapeId="0">
      <text>
        <t>【意図】定常作業が一覧化されていないと、証明書更新やログローテーション等の定期作業が漏れて突発障害化する。作業の頻度・担当を可視化し実施漏れを防ぐ。
【対象ドキュメント】swebok-v4.pdf ch06 SE Operations &gt; 2. Software Engineering Operations Planning(procedures / process control records)</t>
      </text>
    </comment>
    <comment ref="E8" authorId="0" shapeId="0">
      <text>
        <t>【意図】計画停止のルールがないと、告知なしのメンテナンスでユーザークレームや SLA 違反紛争が発生する。停止可否と告知ルールを事前合意しておく。
【対象ドキュメント】swebok-v4.pdf ch06 SE Operations &gt; 2.3 Software Availability, Continuity, and Service Levels</t>
      </text>
    </comment>
    <comment ref="E9" authorId="0" shapeId="0">
      <text>
        <t>【意図】運用フェーズは開発より長期に及ぶため、コスト計画がないとクラウド費用の想定外増大や容量増強の予算未確保でサービス継続が脅かされる。運用開始後の「予算がなくて増強できない」事態を防ぐ。
【対象ドキュメント】swebok-v4.pdf ch06 SE Operations &gt; 2.1.1 Operations Plan — 運用の財務管理・予算・コスト見積もり(financial management, budgets and timescales, estimate of operations and maintenance costs)</t>
      </text>
    </comment>
    <comment ref="E10" authorId="0" shapeId="0">
      <text>
        <t>【意図】依存サプライヤの全体像が見えていないと、外部サービスの障害・仕様変更・値上げが自サービスに与える影響を評価できず、初動が遅れる。依存関係の棚卸しを強制する。
【対象ドキュメント】swebok-v4.pdf ch06 SE Operations &gt; 2.1.2 Supplier Management</t>
      </text>
    </comment>
    <comment ref="E11" authorId="0" shapeId="0">
      <text>
        <t>【意図】責任分界が曖昧だと、障害時に「クラウド側の問題」と誤認して自組織側の対処が遅れたり、逆にクラウド側の責任範囲を自前で二重管理して無駄が生じる。責任共有モデルの明文化で押し付け合いを防ぐ。
【対象ドキュメント】swebok-v4.pdf ch06 SE Operations &gt; 2.1.2 Supplier Management(managing out-sourced services and cloud services like IaaS and PaaS)</t>
      </text>
    </comment>
    <comment ref="E12" authorId="0" shapeId="0">
      <text>
        <t>【意図】サプライヤ障害の際にサポート窓口・チケット起票方法を知らないと、契約上受けられるはずの支援を受けられず復旧が遅延する。障害当日に契約書を探す事態を防ぐ。
【対象ドキュメント】swebok-v4.pdf ch06 SE Operations &gt; 2.1.2 Supplier Management</t>
      </text>
    </comment>
    <comment ref="E13" authorId="0" shapeId="0">
      <text>
        <t>【意図】依存先の SLA が自サービスの SLO より緩いと、構造的に SLO を達成できない設計になる。この不整合を稼働前に検出し、冗長化や SLO 見直しの判断につなげる。
【対象ドキュメント】swebok-v4.pdf ch06 SE Operations &gt; 2.1.2 Supplier Management / 2.3 Software Availability, Continuity, and Service Levels</t>
      </text>
    </comment>
    <comment ref="E14" authorId="0" shapeId="0">
      <text>
        <t>【意図】環境の用途・アクセス権・データ種別が未定義だと、テスト環境に本番個人データが流出したり、検証不十分なまま本番投入される事故が起きる。環境ごとの統制の前提を固める。
【対象ドキュメント】swebok-v4.pdf ch06 SE Operations &gt; 2.2 Development and Operational Environments</t>
      </text>
    </comment>
    <comment ref="E15" authorId="0" shapeId="0">
      <text>
        <t>【意図】本番と非本番の差分が不明だと「テストでは動いたのに本番で落ちる」障害が繰り返される。SWEBOK が求める環境間の一貫性・同期を差分の可視化によって担保する。
【対象ドキュメント】swebok-v4.pdf ch06 SE Operations &gt; 2.2 Development and Operational Environments(environments coherent and synchronized with production)</t>
      </text>
    </comment>
    <comment ref="E16" authorId="0" shapeId="0">
      <text>
        <t>【意図】環境構築が手作業・暗黙知だと、災害復旧や環境増設のたびに構成差異(スノーフレーク)が生まれ、再現不能な障害の温床になる。IaC による単一ソースからの再現性を確認する。
【対象ドキュメント】swebok-v4.pdf ch06 SE Operations &gt; 2.2 Development and Operational Environments(IaC / single source of truth)</t>
      </text>
    </comment>
    <comment ref="E17" authorId="0" shapeId="0">
      <text>
        <t>【意図】本番アクセス制御が緩いと、誤操作による本番破壊や内部不正・情報漏えいが起き、原因追跡もできない。権限者・認証・承認フローを事前に定めて事故と監査指摘を防ぐ。
【対象ドキュメント】swebok-v4.pdf ch06 SE Operations &gt; 2.6 Software and Data Safety, Security, Integrity, Protection, and Controls</t>
      </text>
    </comment>
    <comment ref="E18" authorId="0" shapeId="0">
      <text>
        <t>【意図】シークレットが平文でリポジトリや文書に置かれると、漏えい時に全環境の認証情報の一斉ローテーションを迫られる重大事故になる。設定値の管理場所を一元化し漏えいリスクを下げる。
【対象ドキュメント】swebok-v4.pdf ch06 SE Operations &gt; 2.2 Development and Operational Environments / 2.6(protection and controls)</t>
      </text>
    </comment>
    <comment ref="E19" authorId="0" shapeId="0">
      <text>
        <t>【意図】環境の払い出し・破棄の仕組みがないと、検証のたびに環境待ちで開発が停滞したり、放置環境がコストとセキュリティホールになる。環境オンデマンド化(サービスとしての環境提供)の観点を確認する。
【対象ドキュメント】swebok-v4.pdf ch06 SE Operations &gt; 1.1 Definition(environment on demand)/ 2.2 Development and Operational Environments</t>
      </text>
    </comment>
    <comment ref="E20" authorId="0" shapeId="0">
      <text>
        <t>【意図】SLI の定義式・データソースが曖昧だと、関係者ごとに違う数値を見て「達成/未達」の水掛け論になる。第三者が再現計算できる定義にすることで、サービスレベル管理の土台を作る。
【対象ドキュメント】swebok-v4.pdf ch06 SE Operations &gt; 2.3 Software Availability, Continuity, and Service Levels(service-level management)</t>
      </text>
    </comment>
    <comment ref="E21" authorId="0" shapeId="0">
      <text>
        <t>【意図】目標値と計測期間がないと、可用性が徐々に劣化しても「問題」と認識されず、信頼性投資の判断ができない。数値目標と期間の合意が改善サイクルの起点になる。
【対象ドキュメント】swebok-v4.pdf ch06 SE Operations &gt; 2.3 Software Availability, Continuity, and Service Levels(service-level targets)</t>
      </text>
    </comment>
    <comment ref="E22" authorId="0" shapeId="0">
      <text>
        <t>【意図】サーバー死活だけを SLI にすると、ユーザーには使えないのに「全系正常」と表示される監視盲点が生まれる。ユーザー体験ベースの指標にすることで「動いているのに使えない」障害の見逃しを防ぐ。
【対象ドキュメント】swebok-v4.pdf ch06 SE Operations &gt; 2.3 Software Availability, Continuity, and Service Levels + 実務補完(Google SRE)</t>
      </text>
    </comment>
    <comment ref="E23" authorId="0" shapeId="0">
      <text>
        <t>【意図】除外条件が未定義だと、計画メンテナンス後に SLO 未達の扱いをめぐって顧客・経営と紛争になる。計測ルールの解釈揺れを事前に排除する。
【対象ドキュメント】swebok-v4.pdf ch06 SE Operations &gt; 2.3 Software Availability, Continuity, and Service Levels(SLAs clarify obligations)</t>
      </text>
    </comment>
    <comment ref="E24" authorId="0" shapeId="0">
      <text>
        <t>【意図】エラーバジェット枯渇時のルールがないと、信頼性が悪化していても機能リリースが止まらず、SLO が形骸化する。リリース凍結等の強制力ある対応をあらかじめ合意しておく。
【対象ドキュメント】実務補完(Google SRE: エラーバジェットポリシー)。SWEBOK 2.3 の SLO 管理を実効化する項目</t>
      </text>
    </comment>
    <comment ref="E25" authorId="0" shapeId="0">
      <text>
        <t>【意図】SLO が対外 SLA と同値以下だと、内部で異常に気付いた時点で既に契約違反(違約金)が確定している。SLO を SLA より厳しく設定し、対外約束の手前で検知・対処できる余裕を確保する。
【対象ドキュメント】swebok-v4.pdf ch06 SE Operations &gt; 2.3 Software Availability, Continuity, and Service Levels(SLA)</t>
      </text>
    </comment>
    <comment ref="E26" authorId="0" shapeId="0">
      <text>
        <t>【意図】SLO を一度決めたきり放置すると、ビジネス要求や実力値と乖離して達成不能または緩すぎる目標になり、誰も参照しなくなる。見直し周期と承認者を決めて生きた指標に保つ。
【対象ドキュメント】swebok-v4.pdf ch06 SE Operations &gt; 2.3(service-level management process monitors agreed service levels)/ 4.5 Service Reporting</t>
      </text>
    </comment>
    <comment ref="E27" authorId="0" shapeId="0">
      <text>
        <t>【意図】問い合わせ窓口・受付時間が未定義だと、ユーザーが障害を報告できず検知が遅れたり、運用チームが無制限のサポート要求を負うことになる。CONOPS が求める「利用者が問題を報告する方法」を確認する。
【対象ドキュメント】swebok-v4.pdf ch06 SE Operations &gt; 2.1.1 Operations Plan(CONOPS: how users report problems)/ 4.4 Operations Support</t>
      </text>
    </comment>
    <comment ref="E28" authorId="0" shapeId="0">
      <text>
        <t>【意図】現在のリソース使用量と上限を把握していないと、ディスク枯渇や接続数上限到達という「予見可能な障害」を突発障害として食らう。容量管理の出発点となる現状把握を確認する。
【対象ドキュメント】swebok-v4.pdf ch06 SE Operations &gt; 2.4 Software Capacity Management(data on resource utilization captured and analyzed)</t>
      </text>
    </comment>
    <comment ref="E29" authorId="0" shapeId="0">
      <text>
        <t>【意図】需要予測なしの運用は、キャンペーンや利用者増でキャパシティ超過に陥り、緊急増強(高コスト・高リスク)を強いられる。事業予測を容量要件に翻訳しておくことで計画的な増強を可能にする。
【対象ドキュメント】swebok-v4.pdf ch06 SE Operations &gt; 2.4 Software Capacity Management(business predictions and workload estimates translated into requirements)</t>
      </text>
    </comment>
    <comment ref="E30" authorId="0" shapeId="0">
      <text>
        <t>【意図】スケール方式が未定義だと、負荷急増時にその場しのぎの構成変更で二次障害を起こす。自動スケールの条件と上限(暴走時のコスト歯止め)まで決めておく。
【対象ドキュメント】swebok-v4.pdf ch06 SE Operations &gt; 1.6 Performance, Reliability and Load Balancing(adjust dynamically according to demand)/ 2.4</t>
      </text>
    </comment>
    <comment ref="E31" authorId="0" shapeId="0">
      <text>
        <t>【意図】容量計画は作成時点から陳腐化するため、見直し契機がないと予測と実態が乖離したまま運用される。SWEBOK/ISO 20000-1 が求める「少なくとも年1回」の更新を担保する。
【対象ドキュメント】swebok-v4.pdf ch06 SE Operations &gt; 2.4 Software Capacity Management(capacity plan produced at suitable frequency, at least annually)</t>
      </text>
    </comment>
    <comment ref="E32" authorId="0" shapeId="0">
      <text>
        <t>【意図】性能目標と負荷分散構成が文書化されていないと、性能劣化時に「何が正常か」の基準がなく対応判断ができない。またヘルスチェック不備は障害ノードへの振り分け継続を招く。
【対象ドキュメント】swebok-v4.pdf ch06 SE Operations &gt; 1.6 Performance, Reliability and Load Balancing</t>
      </text>
    </comment>
    <comment ref="E33" authorId="0" shapeId="0">
      <text>
        <t>【意図】使用率アラートがないと、容量逼迫は「満杯になった瞬間」の障害として顕在化する。枯渇前に対応時間を確保できる閾値を設定し、予防保全を可能にする。
【対象ドキュメント】swebok-v4.pdf ch06 SE Operations &gt; 2.4 Software Capacity Management / 5.1 Incident and Problem Prevention</t>
      </text>
    </comment>
    <comment ref="E34" authorId="0" shapeId="0">
      <text>
        <t>【意図】上限到達はスケール失敗やスロットリング、災害復旧の失敗として最悪のタイミングで突然顕在化し、容量計画だけでは防げない。
【対象ドキュメント】AWS Well-Architected Framework &gt; 信頼性の柱 &gt; REL 1 &gt; REL01-BP04 Monitor and manage quotas / REL01-BP06 / Well-Architected Framework for OCI &gt; Reliability and Resilience &gt; Manage Your Service Limits &gt; Monitor and Manage Your Service Limits / Factor Failover Usage in Your Service Limits</t>
      </text>
    </comment>
    <comment ref="E35" authorId="0" shapeId="0">
      <text>
        <t>【意図】過負荷・部分障害時の制御方針がないと、突発的なトラフィックが連鎖停止に発展し、部分障害を全面停止として扱うことになる。
【対象ドキュメント】Google Cloud Well-Architected Framework &gt; 信頼性 &gt; Design for graceful degradation &gt; Implement throttling / Drop excess requests early / Azure Well-Architected Framework &gt; 信頼性の柱 &gt; RE:07 (Self-healing and self-preservation &gt; Implement a graceful degradation mode)</t>
      </text>
    </comment>
    <comment ref="E36" authorId="0" shapeId="0">
      <text>
        <t>【意図】RTO/RPO が未定義だと、バックアップ頻度や DR 構成の妥当性を判断する基準がなく、被災後に「そんなに失われるとは思わなかった」という業務側との認識齟齬が露呈する。復旧目標を業務要求と紐付けて合意する。
【対象ドキュメント】swebok-v4.pdf ch06 SE Operations &gt; 2.5 Software Backup, Disaster Recovery, and Failover(recovery needs influence backup methods, restore points, retention)</t>
      </text>
    </comment>
    <comment ref="E37" authorId="0" shapeId="0">
      <text>
        <t>【意図】バックアップの対象・頻度・保管先に漏れがあると、被災時に「その系だけ取っていなかった」「同一リージョンで共倒れ」が発覚する。データ・構成・ソフトウェアを網羅した設計を確認する。
【対象ドキュメント】swebok-v4.pdf ch06 SE Operations &gt; 2.5 Software Backup, Disaster Recovery, and Failover(backups of data, documents and software)</t>
      </text>
    </comment>
    <comment ref="E38" authorId="0" shapeId="0">
      <text>
        <t>【意図】リストア手順が文書化されていないと、最も切迫した状況(データ喪失直後)でぶっつけ本番の復旧作業となり、誤操作でバックアップ自体を壊すリスクすらある。手順と所要時間見込みを事前に用意する。
【対象ドキュメント】swebok-v4.pdf ch06 SE Operations &gt; 2.5 Software Backup, Disaster Recovery, and Failover(successful recovery is especially vital)</t>
      </text>
    </comment>
    <comment ref="E39" authorId="0" shapeId="0">
      <text>
        <t>【意図】テストされていないバックアップは「あるつもり」で実際には復元できないことが多い(取得漏れ・破損・手順齟齬)。SWEBOK が求める継続的なリハーサルの実績・計画を確認する。
【対象ドキュメント】swebok-v4.pdf ch06 SE Operations &gt; 2.5(preparedness and regular test of backup, disaster recovery, and failover should be constantly rehearsed)</t>
      </text>
    </comment>
    <comment ref="E40" authorId="0" shapeId="0">
      <text>
        <t>【意図】切り替え条件と判断者が未定義だと、フェイルオーバーすべき場面で誰も決断できず停止が長引く。自動化できれば復旧時間を劇的に短縮できるため、方式の選択を明示させる。
【対象ドキュメント】swebok-v4.pdf ch06 SE Operations &gt; 2.5 Software Backup, Disaster Recovery, and Failover(automated failover daemons can reduce recovery time drastically)</t>
      </text>
    </comment>
    <comment ref="E41" authorId="0" shapeId="0">
      <text>
        <t>【意図】バックアップジョブは静かに失敗し続けることがあり、気付くのは復元が必要になった時である。失敗検知アラートで「いざという時に空だった」事故を防ぐ。
【対象ドキュメント】swebok-v4.pdf ch06 SE Operations &gt; 2.5 Software Backup, Disaster Recovery, and Failover + 実務補完(バックアップ監視)</t>
      </text>
    </comment>
    <comment ref="E42" authorId="0" shapeId="0">
      <text>
        <t>【意図】リージョン全体障害のような広域災害は方針なしでは現場判断不能であり、復旧か縮退か断念かで数日を空費する。大規模災害時の意思決定の枠組みを事前に用意する。
【対象ドキュメント】swebok-v4.pdf ch06 SE Operations &gt; 2.5 Software Backup, Disaster Recovery, and Failover(continuity planning / major service failure or disaster)</t>
      </text>
    </comment>
    <comment ref="E43" authorId="0" shapeId="0">
      <text>
        <t>【意図】権限の棚卸しと剥奪プロセスがないと、退職者アカウントの放置や過剰権限の蓄積が進み、不正アクセス・内部犯行の温床となる。監査でも真っ先に指摘される統制を確認する。
【対象ドキュメント】swebok-v4.pdf ch06 SE Operations &gt; 2.6 Software and Data Safety, Security, Integrity, Protection, and Controls(controls b: roles and responsibilities allocated)</t>
      </text>
    </comment>
    <comment ref="E44" authorId="0" shapeId="0">
      <text>
        <t>【意図】セキュリティインシデントは初動の遅れが被害範囲を拡大させ、法定報告期限(個人情報漏えい等)の徒過は法的リスクに直結する。報告経路と対応体制を事前に定める。
【対象ドキュメント】swebok-v4.pdf ch06 SE Operations &gt; 2.6(controls h: security incidents reported following incident management procedures)</t>
      </text>
    </comment>
    <comment ref="E45" authorId="0" shapeId="0">
      <text>
        <t>【意図】パッチ適用方針がないと、既知脆弱性が放置され、公開エクスプロイトによる侵害という「防げた事故」が起きる。深刻度別の適用期限で対応の優先順位を強制する。
【対象ドキュメント】swebok-v4.pdf ch06 SE Operations &gt; 2.6 Software and Data Safety, Security, Integrity, Protection, and Controls + 実務補完(脆弱性管理)</t>
      </text>
    </comment>
    <comment ref="E46" authorId="0" shapeId="0">
      <text>
        <t>【意図】監査ログがない・改ざん可能だと、事故発生時に「誰が何をしたか」を特定できず、原因究明も法的対応もできない。特権操作の追跡可能性を稼働前に確保する。
【対象ドキュメント】swebok-v4.pdf ch06 SE Operations &gt; 2.6 Software and Data Safety, Security, Integrity, Protection, and Controls(integrity, protection and controls)</t>
      </text>
    </comment>
    <comment ref="E47" authorId="0" shapeId="0">
      <text>
        <t>【意図】どこに個人情報・機密データがあるか把握していないと、保護策の適用漏れ(暗号化されていない複製、ログへの混入)が生じ、漏えい時の影響評価もできない。データの所在と保護策の対応を確認する。
【対象ドキュメント】swebok-v4.pdf ch06 SE Operations &gt; 2.6(risk assessment on the security and availability of information / data protection)</t>
      </text>
    </comment>
    <comment ref="E48" authorId="0" shapeId="0">
      <text>
        <t>【意図】セキュリティ検査をリリース直前・稼働後に後回しにすると、発見された脆弱性の修正コストが跳ね上がり、リリース遅延か脆弱なままの稼働かの二択を迫られる。DevSecOps の早期統合を確認する。
【対象ドキュメント】swebok-v4.pdf ch06 SE Operations &gt; 2.6(DevSecOps: integration of security early and throughout the software process)</t>
      </text>
    </comment>
    <comment ref="E49" authorId="0" shapeId="0">
      <text>
        <t>【意図】全員が管理者権限を持つ設計は、一つの認証情報漏えいや一人の誤操作が全システム侵害・全損に直結する。権限を業務上必要な範囲に絞り、事故の影響半径を限定する。
【対象ドキュメント】swebok-v4.pdf ch06 SE Operations &gt; 2.6 Software and Data Safety, Security, Integrity, Protection, and Controls + 実務補完(最小権限の原則)</t>
      </text>
    </comment>
    <comment ref="E50" authorId="0" shapeId="0">
      <text>
        <t>【意図】個別の技術対策だけではリスクの見落とし(未評価の資産・脅威)が残り、ポリシーと教育がなければ統制が現場で実行されない。対策の網羅性を上流のリスク評価で担保し、要員の認識不足による事故を防ぐ。
【対象ドキュメント】swebok-v4.pdf ch06 SE Operations &gt; 2.6 Software and Data Safety, Security, Integrity, Protection, and Controls — 情報セキュリティリスクアセスメントとポリシー・教育(security risk assessment, information security policy, staff awareness/training)</t>
      </text>
    </comment>
    <comment ref="E51" authorId="0" shapeId="0">
      <text>
        <t>【意図】デプロイとリリースを混同すると、「本番に載せる=即ユーザー公開」となり段階的公開・即時無効化ができず、リリースリスクを制御する手段を失う。両者を分離する設計判断を確認する。
【対象ドキュメント】swebok-v4.pdf ch06 SE Operations &gt; 3.2 Deployment/Release Engineering(deployment vs. release の定義)</t>
      </text>
    </comment>
    <comment ref="E52" authorId="0" shapeId="0">
      <text>
        <t>【意図】手順が担当者の暗黙知に依存すると、代理実施者のミスや手順飛ばしによるデプロイ事故が起きる。誰が実行しても同じ結果になる具体性を要求し、属人化と作業ミスを防ぐ。
【対象ドキュメント】swebok-v4.pdf ch06 SE Operations &gt; 3.2 Deployment/Release Engineering(automating the different deployment steps)</t>
      </text>
    </comment>
    <comment ref="E53" authorId="0" shapeId="0">
      <text>
        <t>【意図】判定基準がないと、テスト未完・監視未準備のまま「なんとなく」リリースされ、初日から障害対応に追われる。Go/No-Go の判定項目と判定者を明確にしてリリース品質のゲートを設ける。
【対象ドキュメント】swebok-v4.pdf ch06 SE Operations &gt; 3.2 Deployment/Release Engineering(release requests identified, recorded and approved — ISO 12207 release control)</t>
      </text>
    </comment>
    <comment ref="E54" authorId="0" shapeId="0">
      <text>
        <t>【意図】全ユーザー一斉リリースは、不具合の影響が即座に全体へ波及する。環境ベース/アプリケーションベース(トグル)やカナリアによる段階展開の選択を求め、リリースの爆発半径を制御する。
【対象ドキュメント】swebok-v4.pdf ch06 SE Operations &gt; 3.2 Deployment/Release Engineering(environment-based / application-based release strategies, canary release)</t>
      </text>
    </comment>
    <comment ref="E55" authorId="0" shapeId="0">
      <text>
        <t>【意図】リリース後の確認項目がないと、デプロイ起因の不具合をユーザーからの苦情で初めて知ることになる。スモークテストと監視確認で「静かな失敗」を即座に検知する。
【対象ドキュメント】swebok-v4.pdf ch06 SE Operations &gt; 3.2 Deployment/Release Engineering(executing smoke testing / observing newly started software)/ 1.3 Software Installation(verification step)</t>
      </text>
    </comment>
    <comment ref="E56" authorId="0" shapeId="0">
      <text>
        <t>【意図】周知がないと、関係部署がリリース起因の事象を通常障害として二重調査したり、ユーザー窓口が変更を知らずに誤案内する。ステークホルダーへの情報伝達を仕組み化する。
【対象ドキュメント】swebok-v4.pdf ch06 SE Operations &gt; 2.1.1 Operations Plan(inform all stakeholders)</t>
      </text>
    </comment>
    <comment ref="E57" authorId="0" shapeId="0">
      <text>
        <t>【意図】リリース単位のリスク評価がないと、危険な変更(スキーマ変更・依存更新)が通常変更と同じ軽さで扱われ、対策なしで本番に入る。ISO 12207 のリリース計画が求めるリスク評価を記録させる。
【対象ドキュメント】swebok-v4.pdf ch06 SE Operations &gt; 2.1.1 Operations Plan(assess the risk of a given release)/ 4.2 Change Management</t>
      </text>
    </comment>
    <comment ref="E58" authorId="0" shapeId="0">
      <text>
        <t>【意図】手動デプロイは時間と品質の両面で非効率であり、ヒューマンエラーの主要因になる。CI/CD による自動化(または計画)を確認し、デプロイの再現性と頻度を高める。
【対象ドキュメント】swebok-v4.pdf ch06 SE Operations &gt; 3.2 Deployment/Release Engineering / 6. Software Engineering Operations Tools(CI/CD)</t>
      </text>
    </comment>
    <comment ref="E59" authorId="0" shapeId="0">
      <text>
        <t>【意図】デプロイ頻度・リードタイムを計測しないと、デリバリー能力の劣化(リリースが重く・怖くなっていく傾向)に気付けない。改善の基礎データとして計測の仕組みを確認する。
【対象ドキュメント】swebok-v4.pdf ch06 SE Operations &gt; 4.3 Monitor, Measure, Track, and Review + 実務補完(DORA メトリクス)</t>
      </text>
    </comment>
    <comment ref="E60" authorId="0" shapeId="0">
      <text>
        <t>【意図】ロールバック手順なしのリリースは、不具合発生時に前方修正しか選択肢がなく、障害が数時間〜数日単位で長期化する。SWEBOK が求める「デプロイ前に計画・リハーサル済みのロールバック」を担保する。
【対象ドキュメント】swebok-v4.pdf ch06 SE Operations &gt; 3.3 Rollback and Data Migration(planned and rehearsed rollback before deployment)</t>
      </text>
    </comment>
    <comment ref="E61" authorId="0" shapeId="0">
      <text>
        <t>【意図】発動基準がないと、障害中に「戻すか粘るか」の議論で貴重な復旧時間を浪費する。数値条件または判断者を事前に決め、ロールバック判断を迅速化する。
【対象ドキュメント】swebok-v4.pdf ch06 SE Operations &gt; 3.3 Rollback and Data Migration / 4.2 Change Management(need for a rollback strategy)</t>
      </text>
    </comment>
    <comment ref="E62" authorId="0" shapeId="0">
      <text>
        <t>【意図】スキーマ変更に後方互換がないと、アプリをロールバックしてもデータベースが旧版と動かず「戻れない」状態に陥る。ロールバック可能性はデータ層を含めて初めて成立することを確認する。
【対象ドキュメント】swebok-v4.pdf ch06 SE Operations &gt; 3.3 Rollback and Data Migration(returning software and its database to a working state)</t>
      </text>
    </comment>
    <comment ref="E63" authorId="0" shapeId="0">
      <text>
        <t>【意図】移行の検証ステップがないと、データ欠損・重複・変換誤りが移行後しばらくして発覚し、原状回復が困難になる。件数照合・整合性チェックで移行直後に異常を検出する。
【対象ドキュメント】swebok-v4.pdf ch06 SE Operations &gt; 3.3 Rollback and Data Migration</t>
      </text>
    </comment>
    <comment ref="E64" authorId="0" shapeId="0">
      <text>
        <t>【意図】人手の検知・判断・実行に頼るロールバックは分単位の被害拡大を許す。SWEBOK は監視によるロールバック自動発動でユーザーが気付く前に復旧できると述べており、その採否検討を求める。
【対象ドキュメント】swebok-v4.pdf ch06 SE Operations &gt; 3.3 Rollback and Data Migration(automated surveillance can trigger rollback)</t>
      </text>
    </comment>
    <comment ref="E65" authorId="0" shapeId="0">
      <text>
        <t>【意図】リハーサルなしのロールバック手順は、本番障害時に初めて実行されて手順不備が発覚するという最悪のタイミングで破綻する。事前検証で手順の実行可能性を保証する。
【対象ドキュメント】swebok-v4.pdf ch06 SE Operations &gt; 3.3 Rollback and Data Migration(planned and rehearsed rollback)</t>
      </text>
    </comment>
    <comment ref="E66" authorId="0" shapeId="0">
      <text>
        <t>【意図】重大度の判定が主観だと、担当者によって同じ障害の扱いが変わり、重大障害の初動が軽く見積もられて対応が遅れる。客観条件による判定表で優先順位付けを標準化する。
【対象ドキュメント】swebok-v4.pdf ch06 SE Operations &gt; 4.1 Incident Management(prioritizing and assessing the business impact)</t>
      </text>
    </comment>
    <comment ref="E67" authorId="0" shapeId="0">
      <text>
        <t>【意図】対応フローと記録先が未定義だと、対応が口頭・チャットに散逸し、対応状況の把握もクローズ判定も事後分析もできなくなる。記録→優先順位付け→解決→クローズの流れを定型化する。
【対象ドキュメント】swebok-v4.pdf ch06 SE Operations &gt; 4.1 Incident Management(recording, prioritizing, resolution, escalation and closure)</t>
      </text>
    </comment>
    <comment ref="E68" authorId="0" shapeId="0">
      <text>
        <t>【意図】エスカレーション条件がないと、一次対応者が「もう少しで直る」と抱え込み、上位者・ベンダーの投入が遅れて障害が長期化する。Severity と経過時間による機械的な発動条件を定める。
【対象ドキュメント】swebok-v4.pdf ch06 SE Operations &gt; 4.1 Incident Management(escalation)</t>
      </text>
    </comment>
    <comment ref="E69" authorId="0" shapeId="0">
      <text>
        <t>【意図】Runbook がないと、障害対応の質が当番者の経験に依存し、深夜対応で調査の振り出しから始めることになる。主要シナリオの対応手順を事前に整備し MTTR を短縮する。
【対象ドキュメント】swebok-v4.pdf ch06 SE Operations &gt; 4.4 Operations Support / 2. Operations Planning(procedures)+ 実務補完(SRE Runbook)</t>
      </text>
    </comment>
    <comment ref="E70" authorId="0" shapeId="0">
      <text>
        <t>【意図】「詳しい人に聞く」で終わる Runbook は深夜・休日に機能せず、結局属人対応に戻る。当番者単独で完遂できる具体性を要求し、対応の脱属人化を実効化する。
【対象ドキュメント】swebok-v4.pdf ch06 SE Operations &gt; 4.4 Operations Support + 実務補完(SRE Runbook)</t>
      </text>
    </comment>
    <comment ref="E71" authorId="0" shapeId="0">
      <text>
        <t>【意図】切り分けフローがないと、原因候補を場当たり的に試して復旧が遅れ、無関係な変更で二次障害を起こすこともある。症状から原因を絞り込む確認順序を定型化する。
【対象ドキュメント】swebok-v4.pdf ch06 SE Operations &gt; 1.5 Effective Testing and Troubleshooting(running diagnostics, assessing impact)</t>
      </text>
    </comment>
    <comment ref="E72" authorId="0" shapeId="0">
      <text>
        <t>【意図】対応中の情報共有ルールがないと、経営・営業・ユーザー窓口への説明が対応者に殺到し、復旧作業そのものが妨害される。共有の頻度・チャネル・担当を分離して定める。
【対象ドキュメント】swebok-v4.pdf ch06 SE Operations &gt; 4.1 Incident Management / 2.1.1 Operations Plan(communication to the relevant parties)</t>
      </text>
    </comment>
    <comment ref="E73" authorId="0" shapeId="0">
      <text>
        <t>【意図】個別インシデントの復旧だけを繰り返すと、同じ根本原因による障害が再発し続け、対応コストが恒常化する。SWEBOK の Problem Resolution(傾向分析→根本原因の究明)への接続を確認する。
【対象ドキュメント】swebok-v4.pdf ch06 SE Operations &gt; 3.4 Problem Resolution(identification and analysis of the cause of recurring problems)</t>
      </text>
    </comment>
    <comment ref="E74" authorId="0" shapeId="0">
      <text>
        <t>【意図】Runbook は更新されなければ実環境と乖離し、障害時に「手順どおりやったのに動かない」という二重の混乱を生む。インシデント後の見直し契機と責任者を定めて陳腐化を防ぐ。
【対象ドキュメント】swebok-v4.pdf ch06 SE Operations &gt; 4.1 Incident Management(post mortems → solutions implemented)+ 実務補完</t>
      </text>
    </comment>
    <comment ref="E75" authorId="0" shapeId="0">
      <text>
        <t>【意図】訓練なしでは、Runbook・エスカレーション・連絡網が本番障害で初めて試されることになる。ゲームデイ等で対応能力と手順の不備を平時に検証する。
【対象ドキュメント】swebok-v4.pdf ch06 SE Operations &gt; 5.1 Incident and Problem Prevention + 実務補完(ゲームデイ/カオスエンジニアリング)</t>
      </text>
    </comment>
    <comment ref="E76" authorId="0" shapeId="0">
      <text>
        <t>【意図】変更の分類と承認フローがないと、影響の大きい変更が無審査で本番に入るか、逆に軽微な変更まで重い承認で滞留する。分類別のリードタイムでリスクと速度を両立させる。
【対象ドキュメント】swebok-v4.pdf ch06 SE Operations &gt; 4.2 Change Management(all change requests recorded and classified: emergency, urgent, major, minor)</t>
      </text>
    </comment>
    <comment ref="E77" authorId="0" shapeId="0">
      <text>
        <t>【意図】緊急変更の手続きがないと、障害対応中の応急処置が無記録・無承認で行われ、後から「誰が何を変えたか分からない」状態になる。緊急時の実施権限と事後承認を明文化する。
【対象ドキュメント】swebok-v4.pdf ch06 SE Operations &gt; 4.2 Change Management(emergency classification)</t>
      </text>
    </comment>
    <comment ref="E78" authorId="0" shapeId="0">
      <text>
        <t>【意図】変更記録と実施後レビューがないと、失敗した変更の教訓が蓄積されず、同じ失敗パターンが繰り返される。「すべての変更が統制下で評価・承認・実施・レビューされる」ことを担保する。
【対象ドキュメント】swebok-v4.pdf ch06 SE Operations &gt; 4.2 Change Management(changes assessed, approved, implemented and reviewed in a controlled manner)</t>
      </text>
    </comment>
    <comment ref="E79" authorId="0" shapeId="0">
      <text>
        <t>【意図】変更の衝突管理がないと、同時変更の干渉で原因特定不能な障害が起き、繁忙期の変更で事業影響が最大化する。変更スケジュールの調整と凍結期間を定める。
【対象ドキュメント】swebok-v4.pdf ch06 SE Operations &gt; 4.2 Change Management(change schedule planned)/ 2.1.1(identify potential conflicts)</t>
      </text>
    </comment>
    <comment ref="E80" authorId="0" shapeId="0">
      <text>
        <t>【意図】大規模一括リリースは変更間の相互作用でリスクが乗算的に増え、失敗時の切り分けも困難になる。DevOps が推奨する小さく独立した変更を可能にする方針(またはそうしない理由)を確認する。
【対象ドキュメント】swebok-v4.pdf ch06 SE Operations &gt; 4.2 Change Management(deliver small units of change on demand and independently)</t>
      </text>
    </comment>
    <comment ref="E81" authorId="0" shapeId="0">
      <text>
        <t>【意図】いずれかの層(アプリ/OS/インフラ)の監視が丸ごと欠けると、その層で起きる障害が検知不能な盲点になり、原因特定も他層からの推測頼みになる。SWEBOK が求める全層でのデータ収集を確認する。
【対象ドキュメント】swebok-v4.pdf ch06 SE Operations &gt; 6.4 Monitoring and Telemetry(collect data at all layers)/ 5.1 Incident and Problem Prevention</t>
      </text>
    </comment>
    <comment ref="E82" authorId="0" shapeId="0">
      <text>
        <t>【意図】閾値・重要度・通知先のいずれかが欠けたアラートは、発報されない・誰にも届かない・重要度が判断できないのいずれかで機能しない。アラート定義の完全性を表形式で検証可能にする。
【対象ドキュメント】swebok-v4.pdf ch06 SE Operations &gt; 5.2 Operational Risk Management(automate the alerts / agreed-upon risk tolerance)/ 6.4 Monitoring and Telemetry</t>
      </text>
    </comment>
    <comment ref="E83" authorId="0" shapeId="0">
      <text>
        <t>【意図】対応アクションのないアラートは受信者に判断を丸投げし、放置か場当たり対応を生む。全アラートを Runbook 参照または「対応不要」明示のいずれかに分類し、通知の実効性を保証する。
【対象ドキュメント】swebok-v4.pdf ch06 SE Operations &gt; 6.4 Monitoring and Telemetry + 実務補完(アクショナブルアラート)</t>
      </text>
    </comment>
    <comment ref="E84" authorId="0" shapeId="0">
      <text>
        <t>【意図】SLO を定義しても違反を検知する監視がなければ、未達は月次報告で事後に判明するだけで対処が間に合わない。SLI 計測とバジェット消費の監視を接続する。
【対象ドキュメント】swebok-v4.pdf ch06 SE Operations &gt; 2.3 Software Availability, Continuity, and Service Levels(availability measured and recorded)/ 4.3 Monitor, Measure, Track, and Review</t>
      </text>
    </comment>
    <comment ref="E85" authorId="0" shapeId="0">
      <text>
        <t>【意図】対応不能・常時発報のアラートはオンコールを疲弊させ、本当に重要なアラートが埋もれて見逃される(アラート疲れ)。抑制条件とチューニングプロセスで信号対雑音比を維持する。
【対象ドキュメント】swebok-v4.pdf ch06 SE Operations &gt; 5.2 Operational Risk Management(agreed-upon level of risk tolerance for alerts)+ 実務補完(アラート疲れ対策)</t>
      </text>
    </comment>
    <comment ref="E86" authorId="0" shapeId="0">
      <text>
        <t>【意図】保持期間が短すぎると障害調査や監査で過去データが参照できず、長すぎると保管コストが膨張する。調査・監査要件との整合を根拠にした保持設計を求める。
【対象ドキュメント】swebok-v4.pdf ch06 SE Operations &gt; 6.4 Monitoring and Telemetry / 2.6(controls)</t>
      </text>
    </comment>
    <comment ref="E87" authorId="0" shapeId="0">
      <text>
        <t>【意図】単一のダッシュボードに全情報を詰め込むと、オンコールは障害時に必要な情報を探せず、経営層は読めない。SWEBOK が述べる「ステークホルダー別のダッシュボード」設計を確認する。
【対象ドキュメント】swebok-v4.pdf ch06 SE Operations &gt; 6.4 Monitoring and Telemetry(different dashboards for different stakeholders)</t>
      </text>
    </comment>
    <comment ref="E88" authorId="0" shapeId="0">
      <text>
        <t>【意図】突発障害の検知だけでは、リソース逼迫やエラー率漸増のような「予告された障害」を防げない。テレメトリ分析による早期発見(インシデント予防)の観点を求める。
【対象ドキュメント】swebok-v4.pdf ch06 SE Operations &gt; 5.1 Incident and Problem Prevention(product telemetry with analytics to detect problems as early as possible)</t>
      </text>
    </comment>
    <comment ref="E89" authorId="0" shapeId="0">
      <text>
        <t>【意図】テレメトリは無計画に収集するとログ保管・転送コストがインフラ本体を上回ることがある。収集量・保持のコスト見積もりで観測性と費用のバランスを取る。
【対象ドキュメント】実務補完(オブザーバビリティコスト管理)。SWEBOK 6.4 Monitoring and Telemetry の運用面の補完</t>
      </text>
    </comment>
    <comment ref="E90" authorId="0" shapeId="0">
      <text>
        <t>【意図】手動 hotfix や不正操作による構成ドリフトを放置すると、IaC と実環境が乖離して再現不能な障害を生み、セキュリティ侵害の兆候も見逃す。承認プロセスを迂回した変更を検知して統制の実効性を保つ。
【対象ドキュメント】swebok-v4.pdf ch06 SE Operations &gt; 4.3 Monitor, Measure, Track, and Review — 承認外の構成変更の検知(configuration changes unrelated to approved deployment tasks)</t>
      </text>
    </comment>
    <comment ref="E91" authorId="0" shapeId="0">
      <text>
        <t>【意図】定期報告がないと、サービスレベルの劣化傾向や容量トレンドが意思決定層に届かず、投資判断が障害後の後手に回る。SWEBOK が挙げる報告項目(SLA 達成・セキュリティ・傾向・満足度)を網羅させる。
【対象ドキュメント】swebok-v4.pdf ch06 SE Operations &gt; 4.5 Service Reporting(performance against service-level targets, security breaches, trend information)</t>
      </text>
    </comment>
    <comment ref="E92" authorId="0" shapeId="0">
      <text>
        <t>【意図】タイムラインがない障害報告書では、検知の遅れと復旧の遅れを区別できず、どこを改善すべきか(監視か手順か)が特定できない。時系列記録を必須にして改善点の分析を可能にする。
【対象ドキュメント】swebok-v4.pdf ch06 SE Operations &gt; 4.1 Incident Management(proper analysis and/or post mortems)</t>
      </text>
    </comment>
    <comment ref="E93" authorId="0" shapeId="0">
      <text>
        <t>【意図】直接原因(例: プロセス停止)だけで報告を閉じると、それを生んだ仕組み上の欠陥が残り同種障害が再発する。直接原因と根本原因の区別を強制し、再発防止の深さを担保する。
【対象ドキュメント】swebok-v4.pdf ch06 SE Operations &gt; 3.4 Problem Resolution(analysis of the cause / underlying cause)/ 4.1(find the source of the incident)</t>
      </text>
    </comment>
    <comment ref="E94" authorId="0" shapeId="0">
      <text>
        <t>【意図】担当者・期限のない再発防止策は「今後注意する」で終わり、実行されない。アクションアイテム化と追跡先の記録で、対策の実施を検証可能にする。
【対象ドキュメント】swebok-v4.pdf ch06 SE Operations &gt; 4.1 Incident Management(appropriate solutions must be implemented to prevent similar incidents)</t>
      </text>
    </comment>
    <comment ref="E95" authorId="0" shapeId="0">
      <text>
        <t>【意図】個人を非難する報告文化では、次の障害でメンバーが情報を隠すようになり、正確な原因究明が不可能になる。プロセス・システム改善に焦点を当てた記述で報告の誠実さを守る。
【対象ドキュメント】実務補完(ブレームレスポストモーテム、Google SRE)。SWEBOK 4.1 のポストモーテムを実効化する項目</t>
      </text>
    </comment>
    <comment ref="E96" authorId="0" shapeId="0">
      <text>
        <t>【意図】影響が定量化されていないと、障害の重大性を経営・顧客に正しく伝えられず、再発防止投資の優先順位判断も感覚頼みになる。ユーザー数・時間・SLO 影響の数値記載を求める。
【対象ドキュメント】swebok-v4.pdf ch06 SE Operations &gt; 4.1 Incident Management(assessing the business impact)/ 4.5 Service Reporting</t>
      </text>
    </comment>
    <comment ref="E97" authorId="0" shapeId="0">
      <text>
        <t>【意図】根本原因対策だけでは、次の(別原因の)障害でも検知・復旧が同じだけ遅れる。「もっと早く検知・復旧できたか」の考察を必須にし、監視・Runbook 側の改善につなげる。
【対象ドキュメント】swebok-v4.pdf ch06 SE Operations &gt; 5.1 Incident and Problem Prevention / 4.3 Monitor, Measure, Track, and Review</t>
      </text>
    </comment>
    <comment ref="E98" authorId="0" shapeId="0">
      <text>
        <t>【意図】作成基準がないと、報告書の作成が担当者の裁量になり、学ぶべき重大障害が記録されないか、軽微な事象まで報告義務化されて形骸化する。Severity 基準でポストモーテムの実施を安定させる。
【対象ドキュメント】swebok-v4.pdf ch06 SE Operations &gt; 4.1 Incident Management(post mortems)+ 実務補完(ポストモーテム基準)</t>
      </text>
    </comment>
    <comment ref="E99" authorId="0" shapeId="0">
      <text>
        <t>【意図】共有範囲が狭いと学習効果がチーム内に閉じ、他チームで同種の障害が再発する。
【対象ドキュメント】Google Cloud Well-Architected Framework &gt; 信頼性 &gt; Conduct thorough postmortems &gt; Share the postmortem as widely as possible / Make the postmortem report readable by all intended audiences</t>
      </text>
    </comment>
    <comment ref="E100" authorId="0" shapeId="0">
      <text>
        <t>【意図】反復作業を手動のまま放置すると、遅延・ばらつき・ヒューマンエラーが恒常化し、運用のスケールが人数に比例してしまう。SWEBOK が全編で強調する自動化の方針(対象と優先順位)を確認する。
【対象ドキュメント】swebok-v4.pdf ch06 SE Operations &gt; 1.4 Scripting and Automating / 5.3 Automating Software Engineering Operations</t>
      </text>
    </comment>
    <comment ref="E101" authorId="0" shapeId="0">
      <text>
        <t>【意図】特定個人しかできない作業は、その人の不在・退職が即サービス継続リスクになる。属人作業の棚卸しと Runbook 化・自動化計画で単一障害点(人)を解消する。
【対象ドキュメント】swebok-v4.pdf ch06 SE Operations &gt; 1.4 Scripting and Automating(standardization of operations)+ 実務補完(属人化解消)</t>
      </text>
    </comment>
    <comment ref="E102" authorId="0" shapeId="0">
      <text>
        <t>【意図】ツールの全体像と管理者が不明だと、ライセンス切れ・管理者退職・ツール間の隙間が運用停止の原因になる。また架空・曖昧なツール名は設計が机上の空論である兆候として検出する。
【対象ドキュメント】swebok-v4.pdf ch06 SE Operations &gt; 6. Software Engineering Operations Tools / 6.1 Containers and Virtualization</t>
      </text>
    </comment>
    <comment ref="E103" authorId="0" shapeId="0">
      <text>
        <t>【意図】大組織向け標準を小規模組織にそのまま適用すると、承認・文書のコストが実作業を圧迫して形骸化する。逆に規模に必要な統制が欠ければ事故になる。ISO/IEC 29110 の趣旨に沿った適合度を確認する。
【対象ドキュメント】swebok-v4.pdf ch06 SE Operations &gt; 5.4 Software Engineering Operations for Small Organizations(ISO/IEC 29110)</t>
      </text>
    </comment>
    <comment ref="E104" authorId="0" shapeId="0">
      <text>
        <t>【意図】運用観点のテスト(監視動作・フェイルオーバー)をリリース直前に回すと、不備の修正が間に合わず「監視なしで稼働開始」になる。TDD/ATDD の思想どおり開発早期からの計画を求める。
【対象ドキュメント】swebok-v4.pdf ch06 SE Operations &gt; 3.1 Operational Testing, Verification, and Acceptance(operational testing ongoing during development, not only at the end)</t>
      </text>
    </comment>
    <comment ref="E105" authorId="0" shapeId="0">
      <text>
        <t>【意図】リスク許容度の合意がないと、アラート閾値やデプロイ方式の厳しさが運用チームの独断となり、事業側との認識齟齬(過剰な慎重さ、または想定外の障害受容)を生む。運用リスクを一過性でなく継続的に管理する枠組みを担保する。
【対象ドキュメント】swebok-v4.pdf ch06 SE Operations &gt; 5.2 Operational Risk Management — 継続的な運用リスク管理とリスク許容度の合意(continuous risk management, agreed-upon level of risk tolerance)</t>
      </text>
    </comment>
    <comment ref="E106" authorId="0" shapeId="0">
      <text>
        <t>【意図】コストはクラウド運用の品質特性であり、監視しないと予算超過の検知が請求後になる。
【対象ドキュメント】Azure Well-Architected Framework &gt; コスト最適化の柱 &gt; CO:03 (Collect and review cost data / Automate cost alerts)</t>
      </text>
    </comment>
  </commentList>
</comments>
</file>

<file path=xl/comments/comment7.xml><?xml version="1.0" encoding="utf-8"?>
<comments xmlns="http://schemas.openxmlformats.org/spreadsheetml/2006/main">
  <authors>
    <author>SWEBOKレビューハーネス</author>
  </authors>
  <commentList>
    <comment ref="E2" authorId="0" shapeId="0">
      <text>
        <t>【意図】対象システムと範囲が曖昧なまま保守契約・作業が始まると、障害時に「それはうちの担当外」という責任の押し付け合いや、想定外環境への対応で工数が破綻する事故を防ぐ。
【対象ドキュメント】swebok-v4.pdf ch07 Software Maintenance &gt; 3.2.2 Planning Activities(Scope of software maintenance)</t>
      </text>
    </comment>
    <comment ref="E3" authorId="0" shapeId="0">
      <text>
        <t>【意図】受付から承認までの役割が不明確だと、MR が宙に浮いたまま放置されたり、権限のない担当が独断でリリースして障害を招く。エスカレーション経路の欠落は重大障害時の初動遅延に直結する。
【対象ドキュメント】swebok-v4.pdf ch07 Software Maintenance &gt; 3.2.2 Planning Activities(Identification of the maintenance organization)/ 2.2.5 Organizational Aspects of Maintenance</t>
      </text>
    </comment>
    <comment ref="E4" authorId="0" shapeId="0">
      <text>
        <t>【意図】開発兼任は新規開発の中断や退職時の知識喪失、専任保守は要員の離職リスクと引き継ぎ摩擦という各々の欠点を持つ。根拠なき体制選択は後から知識継承の破綻として表面化するため、トレードオフの明文化を求める。
【対象ドキュメント】swebok-v4.pdf ch07 Software Maintenance &gt; 2.2.5 Organizational Aspects of Maintenance</t>
      </text>
    </comment>
    <comment ref="E5" authorId="0" shapeId="0">
      <text>
        <t>【意図】MR/PR の受付〜リリースの流れが未定義だと、口頭依頼による無記録変更や、トリアージなしの場当たり対応が常態化し、変更の追跡不能・品質低下を招く。
【対象ドキュメント】swebok-v4.pdf ch07 Software Maintenance &gt; 2.1.3 Impact Analysis(MR/PR の提出手続き・識別スキーム)/ 3.2 Software Maintenance Activities and Tasks</t>
      </text>
    </comment>
    <comment ref="E6" authorId="0" shapeId="0">
      <text>
        <t>【意図】SWEBOK は事業計画・保守計画・リリース計画・MR 計画の4階層の計画を求めている。上位計画との対応がないと、個々の MR 対応がリリースサイクルや予算と整合せず、場当たりリリースや予算超過を招く。
【対象ドキュメント】swebok-v4.pdf ch07 Software Maintenance &gt; 3.2.2 Planning Activities(Business/Maintenance/Release/MR planning)</t>
      </text>
    </comment>
    <comment ref="E7" authorId="0" shapeId="0">
      <text>
        <t>【意図】保守コストは人件費以外に教育訓練・SEE 維持・ライセンス等の固有費目を含む。これらを見落とすと年度途中でツール更新費やライセンス更改費が捻出できず、保守基盤自体が陳腐化する。
【対象ドキュメント】swebok-v4.pdf ch07 Software Maintenance &gt; 2.3.2 Maintenance Cost Estimation(ISO/IEC/IEEE 14764 のコスト要素)</t>
      </text>
    </comment>
    <comment ref="E8" authorId="0" shapeId="0">
      <text>
        <t>【意図】初期開発者が去った後に参画する保守者は理解ゼロから始まる。習熟計画がないと属人化した知識が引き継がれず、単純な修正にも過大な調査工数がかかり続ける。
【対象ドキュメント】swebok-v4.pdf ch07 Software Maintenance &gt; 1.2 Nature of Software Maintenance(開発者不在後の参画課題)/ 2.2.2 Staffing</t>
      </text>
    </comment>
    <comment ref="E9" authorId="0" shapeId="0">
      <text>
        <t>【意図】保守は廃棄まで続く長期活動であり、体制や SLA の変化に計画が追随しないと文書と実態が乖離し、監査や引き継ぎ時に「どれが正か」不明になる。改定条件の明示で計画の陳腐化を防ぐ。
【対象ドキュメント】swebok-v4.pdf ch07 Software Maintenance &gt; 3.2.2 Planning Activities(保守フェーズは廃棄まで継続)/ 実務補完(文書管理の一般慣行)</t>
      </text>
    </comment>
    <comment ref="E10" authorId="0" shapeId="0">
      <text>
        <t>【意図】SWEBOK はヘルプデスクを MR の評価・優先度付け・コスト見積りを起動する保守固有の機能と位置付ける。窓口運用が未定義だと問い合わせが MR に変換されず、利用者の問題が黙殺される。
【対象ドキュメント】swebok-v4.pdf ch07 Software Maintenance &gt; 3.2 Software Maintenance Activities and Tasks(Maintenance help desk)</t>
      </text>
    </comment>
    <comment ref="E11" authorId="0" shapeId="0">
      <text>
        <t>【意図】是正/予防/適応/追加/完全化(+緊急)の標準区分がないと、修正と拡張が混在した報告になり「保守=バグ修正」という誤解のもとで是正コストが過大評価され、予算配分判断を誤る。
【対象ドキュメント】swebok-v4.pdf ch07 Software Maintenance &gt; 1.6 Categories of Software Maintenance(ISO/IEC/IEEE 14764 の Corrections/Enhancements 大別)</t>
      </text>
    </comment>
    <comment ref="E12" authorId="0" shapeId="0">
      <text>
        <t>【意図】区分未付与の MR が混じると区分別の工数集計・コスト傾向分析が成立せず、保守投資の説明責任が果たせない。全件分類の徹底が測定・改善の前提になる。
【対象ドキュメント】swebok-v4.pdf ch07 Software Maintenance &gt; 1.6 Categories of Software Maintenance / 2.3 Software Maintenance Costs(区分別コスト提示)</t>
      </text>
    </comment>
    <comment ref="E13" authorId="0" shapeId="0">
      <text>
        <t>【意図】受理/却下の判断根拠が残らないと、却下された要求が繰り返し起票されたり、後日「なぜ対応しなかったのか」を説明できず利用者との信頼を失う。
【対象ドキュメント】swebok-v4.pdf ch07 Software Maintenance &gt; 3.2 Software Maintenance Activities and Tasks(MR acceptance/rejection)</t>
      </text>
    </comment>
    <comment ref="E14" authorId="0" shapeId="0">
      <text>
        <t>【意図】優先度基準がないと声の大きい依頼者の MR が先に処理され、業務影響の大きい問題が後回しになる。SWEBOK も PR の重大度を対応順序の指針とすることを求めている。
【対象ドキュメント】swebok-v4.pdf ch07 Software Maintenance &gt; 2.1.3 Impact Analysis(categorizing and prioritizing MRs/PRs、PR severity)</t>
      </text>
    </comment>
    <comment ref="E15" authorId="0" shapeId="0">
      <text>
        <t>【意図】緊急保守は「是正保守までの一時しのぎ」であり、暫定対処が恒久化すると隠れた欠陥と技術的負債が蓄積する。ワークアラウンドを除去まで追跡することが標準の要求である。
【対象ドキュメント】swebok-v4.pdf ch07 Software Maintenance &gt; 1.6 Categories(Emergency maintenance)/ 2.1.3 Impact Analysis(work-around の除去までの追跡)</t>
      </text>
    </comment>
    <comment ref="E16" authorId="0" shapeId="0">
      <text>
        <t>【意図】起票日・完了日がないと MR あたりの処理時間が算出できず、SLA 遵守の証明も傾向分析による改善もできなくなる。
【対象ドキュメント】swebok-v4.pdf ch07 Software Maintenance &gt; 2.4 Software Maintenance Measurement(期間別 MR 件数・MR あたり工数)</t>
      </text>
    </comment>
    <comment ref="E17" authorId="0" shapeId="0">
      <text>
        <t>【意図】却下のフィードバックがないと利用者は要求が握り潰されたと感じ、正規窓口を迂回した非公式依頼が増えて SCM 外の変更を誘発する。SWEBOK も利用者へのフォローアップフィードバックの決定を求める。
【対象ドキュメント】swebok-v4.pdf ch07 Software Maintenance &gt; 2.1.3 Impact Analysis(follow-up feedback to users)</t>
      </text>
    </comment>
    <comment ref="E18" authorId="0" shapeId="0">
      <text>
        <t>【意図】変更要求はまずソフトウェアの言葉に翻訳・分析される必要がある。何を・なぜ変えるかが書かれていないと、影響分析もレビューも対象を誤り、意図と異なる改修が実装される。
【対象ドキュメント】swebok-v4.pdf ch07 Software Maintenance &gt; 2.1.3 Impact Analysis(change request の分析と翻訳)</t>
      </text>
    </comment>
    <comment ref="E19" authorId="0" shapeId="0">
      <text>
        <t>【意図】影響分析は変更で影響を受ける「すべてのシステムとソフトウェア製品」の特定を求める。観点漏れ(特に他システム・ドキュメント)は、リリース後の連携障害や文書と実装の乖離として跳ね返る。
【対象ドキュメント】swebok-v4.pdf ch07 Software Maintenance &gt; 2.1.3 Impact Analysis</t>
      </text>
    </comment>
    <comment ref="E20" authorId="0" shapeId="0">
      <text>
        <t>【意図】特定方法が書かれていない影響範囲は「勘」と区別できず、レビュー者が妥当性を検証できない。他人が開発した大規模ソフトでは構造知識をツールで補うことが不可欠である。
【対象ドキュメント】swebok-v4.pdf ch07 Software Maintenance &gt; 2.1.3 Impact Analysis / 5. Software Maintenance Tools(依存関係解析・クロスリファレンス)</t>
      </text>
    </comment>
    <comment ref="E21" authorId="0" shapeId="0">
      <text>
        <t>【意図】回帰テストは「修正が意図しない影響を及ぼしていないか」の選択的再テストであり、影響分析と紐付かない範囲選定は、影響箇所のテスト漏れ(デグレード見逃し)を生む。
【対象ドキュメント】swebok-v4.pdf ch07 Software Maintenance &gt; 2.1.2 Testing(Regression testing)/ 2.1.3 Impact Analysis</t>
      </text>
    </comment>
    <comment ref="E22" authorId="0" shapeId="0">
      <text>
        <t>【意図】影響分析は変更実施に必要な資源見積りの作成を含む。実装のみの見積りだとテスト・文書更新が「サービス残業」化し、文書未更新や試験省略の温床になる。
【対象ドキュメント】swebok-v4.pdf ch07 Software Maintenance &gt; 2.1.3 Impact Analysis(資源見積り)/ 2.3.2 Maintenance Cost Estimation(MR ごとの工数・期間見積り)</t>
      </text>
    </comment>
    <comment ref="E23" authorId="0" shapeId="0">
      <text>
        <t>【意図】SWEBOK は影響分析で変更のリスク(性能・安全・セキュリティへの影響を含む)の判定を求める。リスク未評価の変更は、機能的には正しくても性能劣化やセキュリティホールを持ち込む。
【対象ドキュメント】swebok-v4.pdf ch07 Software Maintenance &gt; 2.1.3 Impact Analysis(リスクと性能・安全・セキュリティ影響の考慮)</t>
      </text>
    </comment>
    <comment ref="E24" authorId="0" shapeId="0">
      <text>
        <t>【意図】スキーマ・永続データはコードと違い切戻しが困難で、移行ミスは業務データ破損という不可逆な事故になる。影響有無と移行/切戻し手順の事前確認で不可逆リスクを抑える。
【対象ドキュメント】実務補完(2.1.3 Impact Analysis の適用詳細化、4.3 のデータリバースエンジニアリングが背景)</t>
      </text>
    </comment>
    <comment ref="E25" authorId="0" shapeId="0">
      <text>
        <t>【意図】変更は連携先システムや API 利用者に波及する。通知要否の判定を落とすと、自システムは正常でも利用者側が予告なく壊れ、信頼問題と緊急対応を誘発する。
【対象ドキュメント】swebok-v4.pdf ch07 Software Maintenance &gt; 2.1.3 Impact Analysis(影響を受ける全システムの特定、利用者への報告事項の識別)</t>
      </text>
    </comment>
    <comment ref="E26" authorId="0" shapeId="0">
      <text>
        <t>【意図】影響分析の結論は複数案の比較と実施推奨であり、承認記録がないと「誰の判断で本番を変えたのか」が不明になり、変更管理(SCM)の承認統制が形骸化する。
【対象ドキュメント】swebok-v4.pdf ch07 Software Maintenance &gt; 2.1.3 Impact Analysis(course of action の推奨)/ 3.2.3 Configuration Management(承認された変更のみ実施)</t>
      </text>
    </comment>
    <comment ref="E27" authorId="0" shapeId="0">
      <text>
        <t>【意図】保守は新機能開発と資源を奪い合うため、「変えない」判断も経営判断として必要である。放置時影響が書かれていないと、見送り判断が根拠なく先送りされ技術的負債化する。
【対象ドキュメント】swebok-v4.pdf ch07 Software Maintenance &gt; 2.2.1 Alignment with Organizational Objectives</t>
      </text>
    </comment>
    <comment ref="E28" authorId="0" shapeId="0">
      <text>
        <t>【意図】具体箇所に紐付かない負債項目(「コードが汚い」等)は返済作業に着手できず、台帳が愚痴リストと化す。ツール計測や箇所特定により返済可能な単位で管理させる。
【対象ドキュメント】swebok-v4.pdf ch07 Software Maintenance &gt; 2.3.1 Technical Debt Cost Estimation(サイズ・複雑度・違反数等の指標による計測)</t>
      </text>
    </comment>
    <comment ref="E29" authorId="0" shapeId="0">
      <text>
        <t>【意図】SWEBOK は「現在の品質・負債の程度・品質向上投資の節約効果・事業影響」の把握を求める。リスクと返済コストがないと投資対効果を比較できず、負債返済は永遠に新機能に負ける。
【対象ドキュメント】swebok-v4.pdf ch07 Software Maintenance &gt; 2.3.1 Technical Debt Cost Estimation</t>
      </text>
    </comment>
    <comment ref="E30" authorId="0" shapeId="0">
      <text>
        <t>【意図】負債の分類がないと、コード品質の問題とプロセス・チームの問題が混同され、対処先を誤る。SWEBOK も負債を単独でなく根本原因の検討とともに扱うことを求める。
【対象ドキュメント】swebok-v4.pdf ch07 Software Maintenance &gt; 2.3.1 Technical Debt Cost Estimation(根本原因の検討)/ 実務補完(負債分類の実務慣行)</t>
      </text>
    </comment>
    <comment ref="E31" authorId="0" shapeId="0">
      <text>
        <t>【意図】計測方法が未定義だと負債の増減が判定できず、返済活動の効果を示せない。複雑度・違反数などツールで取得可能な指標の明示が改善サイクルの前提になる。
【対象ドキュメント】swebok-v4.pdf ch07 Software Maintenance &gt; 2.3.1 Technical Debt Cost Estimation / 2.4 Software Maintenance Measurement(複雑度・技術的負債の計測ツール)</t>
      </text>
    </comment>
    <comment ref="E32" authorId="0" shapeId="0">
      <text>
        <t>【意図】「すべての技術的負債が緊急ではない」— 関連性・組織目標との整合を無視した一律返済は投資の無駄になる。優先順位基準により、事業影響の大きい負債から返済させる。
【対象ドキュメント】swebok-v4.pdf ch07 Software Maintenance &gt; 2.1.4 Maintainability(Code quality versus relevance / Alignment with organizational objectives)</t>
      </text>
    </comment>
    <comment ref="E33" authorId="0" shapeId="0">
      <text>
        <t>【意図】状態・日付のない台帳は返済の進捗が見えず、Lehman の法則が示す「対処しなければ複雑さは増大し続ける」状況を放置しているのと同じになる。
【対象ドキュメント】swebok-v4.pdf ch07 Software Maintenance &gt; 1.5 Evolution of Software(Increasing Complexity)/ 実務補完(台帳管理の実務)</t>
      </text>
    </comment>
    <comment ref="E34" authorId="0" shapeId="0">
      <text>
        <t>【意図】保守性は「修正されうる能力」として開発中から仕様化・レビュー・統制すべき品質特性であり、モジュール性・解析性等の計測可能な特性で評価しないと、保守性の劣化に気付けない。
【対象ドキュメント】swebok-v4.pdf ch07 Software Maintenance &gt; 2.1.4 Maintainability / 2.4 Software Maintenance Measurement(Modularity/Reusability/Analyzability/Modifiability/Testability)</t>
      </text>
    </comment>
    <comment ref="E35" authorId="0" shapeId="0">
      <text>
        <t>【意図】負債は時間制約下の即席対応・レビュー省略から蓄積する。ISO/IEC/IEEE 14764 が挙げる可読性確保・複雑度低減・インスペクション等の予防策への参照がないと、返済と同じ速度で新規負債が作られる。
【対象ドキュメント】swebok-v4.pdf ch07 Software Maintenance &gt; 2.3.1 Technical Debt Cost Estimation(14764 の保守性向上策)</t>
      </text>
    </comment>
    <comment ref="E36" authorId="0" shapeId="0">
      <text>
        <t>【意図】リファクタリングの定義は「振る舞いを変えずに再構成する」ことであり、その保証はテストしかない。テスト不備のまま実施すると、改善のつもりの変更がデグレードとして本番に届く。
【対象ドキュメント】swebok-v4.pdf ch07 Software Maintenance &gt; 4.2 Software Reengineering(Refactoring)/ 2.1.2 Testing</t>
      </text>
    </comment>
    <comment ref="E37" authorId="0" shapeId="0">
      <text>
        <t>【意図】機能変更とリファクタリングが混在すると、障害発生時にどちらが原因か切り分けられず、レビューも回帰テスト範囲の判断も困難になる。振る舞い不変の検証可能性を守るための分離である。
【対象ドキュメント】swebok-v4.pdf ch07 Software Maintenance &gt; 4.2 Software Reengineering(Refactoring の定義)/ 実務補完(Fowler のリファクタリング原則)</t>
      </text>
    </comment>
    <comment ref="E38" authorId="0" shapeId="0">
      <text>
        <t>【意図】現状の計測値がないと「何が問題で着手するのか」が主観になり、完了後の改善も示せない。負債返済の投資判断には現状品質の定量把握が必要である。
【対象ドキュメント】swebok-v4.pdf ch07 Software Maintenance &gt; 2.3.1 Technical Debt Cost Estimation(現在の品質・負債程度の把握)</t>
      </text>
    </comment>
    <comment ref="E39" authorId="0" shapeId="0">
      <text>
        <t>【意図】完了基準が曖昧なリファクタリングは際限なく続くか中途半端に終わり、費やした工数の正当性を示せない。目標値と回帰テスト全通過という検証可能な条件で「終わり」を定義させる。
【対象ドキュメント】swebok-v4.pdf ch07 Software Maintenance &gt; 4.2 Software Reengineering / 2.4 Software Maintenance Measurement</t>
      </text>
    </comment>
    <comment ref="E40" authorId="0" shapeId="0">
      <text>
        <t>【意図】大きな一括変更は失敗時の切り分けと切戻しが困難になる。CI の文脈での継続的リファクタリングのように、常にテストが通る小さなステップに分割することで、途中中断してもリリース可能な状態を保つ。
【対象ドキュメント】swebok-v4.pdf ch07 Software Maintenance &gt; 4.2 Software Reengineering(継続的リファクタリングと CI)</t>
      </text>
    </comment>
    <comment ref="E41" authorId="0" shapeId="0">
      <text>
        <t>【意図】台帳と紐付かないリファクタリングは「なぜやるのか」の説明責任を欠き、負債側から見ると返済実績が記録されず台帳が実態と乖離する。
【対象ドキュメント】swebok-v4.pdf ch07 Software Maintenance &gt; 2.3.1 Technical Debt Cost Estimation / 実務補完(負債台帳との追跡)</t>
      </text>
    </comment>
    <comment ref="E42" authorId="0" shapeId="0">
      <text>
        <t>【意図】保守活動は新機能開発とクライアントの承認・資源を奪い合う。調整方針がないと、リファクタリングは常に後回しになるか、逆にリリース直前に強行されて品質リスクとなる。
【対象ドキュメント】swebok-v4.pdf ch07 Software Maintenance &gt; 2. Key Issues(Agile 環境での保守と開発の競合)/ 2.2.1 Alignment with Organizational Objectives</t>
      </text>
    </comment>
    <comment ref="E43" authorId="0" shapeId="0">
      <text>
        <t>【意図】回帰テストは修正が意図しない影響を及ぼしていないことの唯一の証拠であり、結果記録がないと「テストした」という主張を検証できず、Fail 放置は既知の欠陥を黙って出荷することになる。
【対象ドキュメント】swebok-v4.pdf ch07 Software Maintenance &gt; 2.1.2 Testing(Regression testing)</t>
      </text>
    </comment>
    <comment ref="E44" authorId="0" shapeId="0">
      <text>
        <t>【意図】大規模ソフトの全量再テストは時間・工数とも高コストであるため範囲縮小は正当だが、影響分析に基づかない縮小は単なるテスト省略であり、デグレード流出リスクをそのまま受け入れることになる。
【対象ドキュメント】swebok-v4.pdf ch07 Software Maintenance &gt; 2.1.2 Testing(全量テストのコストと選択的再テスト)</t>
      </text>
    </comment>
    <comment ref="E45" authorId="0" shapeId="0">
      <text>
        <t>【意図】保守では小さな変更が高頻度に発生するため、手動回帰テストは早晩追いつかなくなる。自動化状況を把握していないと、テスト工数がボトルネック化してリリース速度と品質の両方を失う。
【対象ドキュメント】swebok-v4.pdf ch07 Software Maintenance &gt; 4.4 Continuous Integration, Delivery, Testing and Deployment(Continuous testing)</t>
      </text>
    </comment>
    <comment ref="E46" authorId="0" shapeId="0">
      <text>
        <t>【意図】CI は問題のある変更を可能な限り早期に自動検出するための実践であり、マージ条件にテストが含まれないと、壊れた変更が共有ラインに滞留し統合エラーの発見が遅れる。
【対象ドキュメント】swebok-v4.pdf ch07 Software Maintenance &gt; 4.4 Continuous Integration, Delivery, Testing and Deployment</t>
      </text>
    </comment>
    <comment ref="E47" authorId="0" shapeId="0">
      <text>
        <t>【意図】重要機能を担うソフトはテストのためにオフラインにできないという保守固有の制約がある。本番相当環境の方針がないと、本番でしか再現しない問題を検証できず一発勝負のリリースになる。
【対象ドキュメント】swebok-v4.pdf ch07 Software Maintenance &gt; 2.1.2 Testing(稼働中ソフトをオフラインにする困難)</t>
      </text>
    </comment>
    <comment ref="E48" authorId="0" shapeId="0">
      <text>
        <t>【意図】SWEBOK は保守者の継続活動に脆弱性評価を明記し、保守の目的にセキュリティ脅威の予防を含める。定期スキャンがないと、既知脆弱性を抱えた依存ライブラリが放置され、攻撃可能な状態が継続する。
【対象ドキュメント】swebok-v4.pdf ch07 Software Maintenance &gt; 3.2.1 Supporting and Monitoring Activities(vulnerability assessments)/ 1.3 Need for Software Maintenance(Prevent security threats)</t>
      </text>
    </comment>
    <comment ref="E49" authorId="0" shapeId="0">
      <text>
        <t>【意図】小さな変更が高頻度に発生する保守では、手動デプロイは作業ミスによるリリース事故と リードタイム悪化の主要因になる。自動化状況の可視化により信頼性と処理速度の改善余地を特定する。
【対象ドキュメント】swebok-v4.pdf ch07 Software Maintenance &gt; 4.4 Continuous Delivery / Continuous Deployment(リリース・デプロイの自動化)</t>
      </text>
    </comment>
    <comment ref="E50" authorId="0" shapeId="0">
      <text>
        <t>【意図】「MR/PR の追跡だけでは不十分で、製品と基盤へのあらゆる変更が統制されなければならない」が標準の要求。SCM 外の本番直接修正は、構成の実態不明化と再現不能な障害の温床になる。
【対象ドキュメント】swebok-v4.pdf ch07 Software Maintenance &gt; 3.2.3 Configuration Management</t>
      </text>
    </comment>
    <comment ref="E51" authorId="0" shapeId="0">
      <text>
        <t>【意図】SCM は識別・承認・実装・リリースの各段階の検証・監査可能性を求める。リリースと MR の双方向追跡が切れると、障害時に「この不具合はどの変更で入ったか」を特定できず原因調査が長期化する。
【対象ドキュメント】swebok-v4.pdf ch07 Software Maintenance &gt; 3.2.3 Configuration Management / 3.2 Activities and Tasks(要求の追跡)</t>
      </text>
    </comment>
    <comment ref="E52" authorId="0" shapeId="0">
      <text>
        <t>【意図】SWEBOK はリリース計画でリスク評価とバックアウト計画(back-out plan)の策定を明示的に求める。切戻し手順のないリリースは、問題発生時に復旧手段がなく障害を長時間化させる。
【対象ドキュメント】swebok-v4.pdf ch07 Software Maintenance &gt; 3.2.2 Planning Activities(リリースのリスク評価と back-out plan)</t>
      </text>
    </comment>
    <comment ref="E53" authorId="0" shapeId="0">
      <text>
        <t>【意図】緊急保守は計画外で実施されるからこそ、事前に「何を省略してよく、何は省略不可か」を決めておかないと、緊急時の混乱の中で承認もテストも全部飛ばす運用が常態化する。
【対象ドキュメント】swebok-v4.pdf ch07 Software Maintenance &gt; 1.6 Categories(Emergency maintenance)/ 実務補完(緊急変更プロセスの実務)</t>
      </text>
    </comment>
    <comment ref="E54" authorId="0" shapeId="0">
      <text>
        <t>【意図】保守者はベースライン変更に応じて文書を更新する責務を負う。文書とコードの乖離は次の保守者の「限られた理解」問題を悪化させ、理解工数(保守工数の大半)を膨張させる。
【対象ドキュメント】swebok-v4.pdf ch07 Software Maintenance &gt; 3.2 Activities and Tasks(ベースライン変更に伴う文書更新)/ 2.1.1 Limited Understanding</t>
      </text>
    </comment>
    <comment ref="E55" authorId="0" shapeId="0">
      <text>
        <t>【意図】保守 SCM の特徴は運用環境で統制すべき小さな変更の多さにある。ブランチ・バージョン規則が実リポジトリと乖離すると、どの版が本番かの識別を誤りリリース事故につながる。
【対象ドキュメント】swebok-v4.pdf ch07 Software Maintenance &gt; 3.2.3 Configuration Management / 5. Software Maintenance Tools(バージョニングツール)</t>
      </text>
    </comment>
    <comment ref="E56" authorId="0" shapeId="0">
      <text>
        <t>【意図】利用者合意のないリリース内容は「頼んだものが入っていない」という期待齟齬を生み、競合未調整の MR 同士は結合時のコンフリクトや相互デグレードとして表面化する。
【対象ドキュメント】swebok-v4.pdf ch07 Software Maintenance &gt; 3.2.2 Planning Activities のリリース/バージョン計画(利用者との内容合意・競合特定・代替案)</t>
      </text>
    </comment>
    <comment ref="E57" authorId="0" shapeId="0">
      <text>
        <t>【意図】SWEBOK は SLI/SLO/SLA を第三者のサービスと品質目標を記述する契約的合意と位置付ける。測定不能な表現の SLA は達成/未達を判定できず、紛争時にどちらの解釈も成り立ってしまう。
【対象ドキュメント】swebok-v4.pdf ch07 Software Maintenance &gt; 3.2 Activities and Tasks(Maintenance SLIs, SLOs, SLAs)</t>
      </text>
    </comment>
    <comment ref="E58" authorId="0" shapeId="0">
      <text>
        <t>【意図】体制の裏付けのない SLA は署名した瞬間から未達が確定しており、違約や恒常的残業として顕在化する。対応時間・復旧目標と要員・当番体制の整合を事前に検証させる。
【対象ドキュメント】swebok-v4.pdf ch07 Software Maintenance &gt; 2.2.4 Supplier Management(SLA の条件決定の課題)/ 2.2.2 Staffing</t>
      </text>
    </comment>
    <comment ref="E59" authorId="0" shapeId="0">
      <text>
        <t>【意図】アウトソーシングの主要課題は保守サービスの範囲・SLA 条件・契約詳細の決定である。受入基準がないと、成果物の品質を検収時に判定できず、品質問題が発覚しても契約上の是正を求められない。
【対象ドキュメント】swebok-v4.pdf ch07 Software Maintenance &gt; 2.2.4 Supplier Management</t>
      </text>
    </comment>
    <comment ref="E60" authorId="0" shapeId="0">
      <text>
        <t>【意図】シングルソースは統合管理が容易だがロックインを生み、マルチソーシングは XaaS/API 時代に有効だが統合責任が曖昧になる。方針が明文化されていないと、供給者の撤退・値上げ時に交渉力を失う。
【対象ドキュメント】swebok-v4.pdf ch07 Software Maintenance &gt; 2.2.4 Supplier Management(Single source or partnership / Multi-sourcing)</t>
      </text>
    </comment>
    <comment ref="E61" authorId="0" shapeId="0">
      <text>
        <t>【意図】供給者管理は供給者のパフォーマンスの適切な管理を求める。SLO 達成状況の定期報告がないと、サービス劣化が契約更改まで放置され、利用者側で問題が顕在化してから初めて気付くことになる。
【対象ドキュメント】swebok-v4.pdf ch07 Software Maintenance &gt; 2.2.4 Supplier Management / 3.2.1 Supporting and Monitoring Activities(顧客満足の監視)</t>
      </text>
    </comment>
    <comment ref="E62" authorId="0" shapeId="0">
      <text>
        <t>【意図】SWEBOK は保守のソフトウェア・ハードウェアのライセンスと契約を保守固有の管理対象に挙げ、ライセンス保守費をコスト要素に含める。期限切れの見逃しはサポート喪失や法的リスクに直結する。
【対象ドキュメント】swebok-v4.pdf ch07 Software Maintenance &gt; 3.2 Activities and Tasks(licenses and contracts)/ 2.3.2 Maintenance Cost Estimation(ライセンス費)</t>
      </text>
    </comment>
    <comment ref="E63" authorId="0" shapeId="0">
      <text>
        <t>【意図】測定項目・頻度・データ源が未定義だと、保守は「多大な資源を消費するが便益が見えない活動」のままとなり、予算削減の標的になる。測定は保守の価値を可視化する唯一の手段である。
【対象ドキュメント】swebok-v4.pdf ch07 Software Maintenance &gt; 2.4 Software Maintenance Measurement</t>
      </text>
    </comment>
    <comment ref="E64" authorId="0" shapeId="0">
      <text>
        <t>【意図】定義だけあって実測がない測定プログラムは形骸化の典型で、見積り改善にも傾向分析にも使えない。SWEBOK も履歴測定データをコスト見積りの入力とすることを求める。
【対象ドキュメント】swebok-v4.pdf ch07 Software Maintenance &gt; 2.4 Software Maintenance Measurement / 2.3.2 Maintenance Cost Estimation(履歴データの活用)</t>
      </text>
    </comment>
    <comment ref="E65" authorId="0" shapeId="0">
      <text>
        <t>【意図】測定結果が計画・台帳へ還流しないと、測るだけで何も変わらない「メトリクス劇場」になる。傾向分析を改善と予防保守へつなげることが測定の目的である。
【対象ドキュメント】swebok-v4.pdf ch07 Software Maintenance &gt; 2.4 Software Maintenance Measurement(カテゴリ別の収集・分析・傾向把握による改善)</t>
      </text>
    </comment>
    <comment ref="E66" authorId="0" shapeId="0">
      <text>
        <t>【意図】閾値がないと指標の悪化が「そういうものか」と黙認され、対応が手遅れになる。超過時アクションの事前定義により、悪化検知から是正までの判断遅延を防ぐ。
【対象ドキュメント】実務補完(2.4 Measurement の運用詳細化、SLO 運用の実務)</t>
      </text>
    </comment>
    <comment ref="E67" authorId="0" shapeId="0">
      <text>
        <t>【意図】SWEBOK は保守結果管理の重要活動として顧客満足の監視を明記する。収集チャネルがないと、利用者の不満は解約や非公式ルートの苦情という形で初めて表面化する。
【対象ドキュメント】swebok-v4.pdf ch07 Software Maintenance &gt; 3.2.1 Supporting and Monitoring Activities(顧客満足の監視)</t>
      </text>
    </comment>
    <comment ref="E68" authorId="0" shapeId="0">
      <text>
        <t>【意図】修正と拡張を混ぜた報告は「保守=バグ修正で高コスト」という誤解を生み、予算削減や投資判断の誤りを招く。区分別の傾向提示により保守費の使途を説明可能にする。
【対象ドキュメント】swebok-v4.pdf ch07 Software Maintenance &gt; 2.3 / 2.4 保守区分別のコスト・工数の傾向分析(cost trends by categories of maintenance)</t>
      </text>
    </comment>
    <comment ref="E69" authorId="0" shapeId="0">
      <text>
        <t>【意図】保守の目的には技術的陳腐化の解消とソフトウェアの退役が含まれる。EOL 期限が一覧化されていないと、パッチ提供終了後に脆弱性を抱えたまま稼働を続ける事態に気付かないまま陥る。
【対象ドキュメント】swebok-v4.pdf ch07 Software Maintenance &gt; 1.3 Need for Software Maintenance(技術的陳腐化の解消・退役)</t>
      </text>
    </comment>
    <comment ref="E70" authorId="0" shapeId="0">
      <text>
        <t>【意図】移行方式は業務影響・コスト・リスクのトレードオフであり、根拠なき一括切替は失敗時に業務全停止を招く。比較検討の記録により、リスクを理解した上での経営判断であることを担保する。
【対象ドキュメント】swebok-v4.pdf ch07 Software Maintenance &gt; 3.1 Software Maintenance Processes(Transition/Disposal)/ 実務補完(移行方式選定の実務)</t>
      </text>
    </comment>
    <comment ref="E71" authorId="0" shapeId="0">
      <text>
        <t>【意図】リリース計画のバックアウト計画の考え方は移行ではさらに重要になる。切戻し条件(判定時刻・基準)が曖昧だと、移行トラブル時に「もう少し粘るか戻すか」で紛糾し、復旧限界時刻を超過する。
【対象ドキュメント】swebok-v4.pdf ch07 Software Maintenance &gt; 3.2.2 Planning Activities(back-out plan)の移行への適用</t>
      </text>
    </comment>
    <comment ref="E72" authorId="0" shapeId="0">
      <text>
        <t>【意図】データ移行の誤りは業務データの破損・欠損という不可逆な事故になる。件数・整合性の検証方法を事前定義しないと、移行成功の判定が主観になり欠損の発見が業務障害後になる。
【対象ドキュメント】実務補完(4.3 Reverse Engineering のデータリバースエンジニアリングが基礎知識)</t>
      </text>
    </comment>
    <comment ref="E73" authorId="0" shapeId="0">
      <text>
        <t>【意図】リリース計画では全ステークホルダーへの通知が求められる。停止時間が未通知の移行は、利用者側の業務計画と衝突し、技術的に成功しても業務上は事故になる。
【対象ドキュメント】swebok-v4.pdf ch07 Software Maintenance &gt; 3.2.2 Planning Activities(Inform all stakeholders)</t>
      </text>
    </comment>
    <comment ref="E74" authorId="0" shapeId="0">
      <text>
        <t>【意図】廃棄はソフトウェア保守プロセスが接続するライフサイクルの終端であり、保存義務データの喪失や契約・ライセンスの解約漏れは、システム停止後に法的・金銭的な問題として残り続ける。
【対象ドキュメント】swebok-v4.pdf ch07 Software Maintenance &gt; 3.1 Software Maintenance Processes(Disposal)/ 3.2 Activities and Tasks(licenses and contracts)</t>
      </text>
    </comment>
    <comment ref="E75" authorId="0" shapeId="0">
      <text>
        <t>【意図】EOL 対応は費用がかかるため放置されがちだが、放置リスク(パッチ停止・サポート喪失)を明文化しないと、経営層が「動いているから問題ない」と判断し、対応予算が確保されない。
【対象ドキュメント】swebok-v4.pdf ch07 Software Maintenance &gt; 1.3 Need for Software Maintenance(セキュリティ脅威の予防・技術的陳腐化)/ 2.2.1 Alignment with Organizational Objectives</t>
      </text>
    </comment>
    <comment ref="E76" authorId="0" shapeId="0">
      <text>
        <t>【意図】新旧並行期間は障害の原因切り分けが最も混乱する期間であり、旧システム保守の終了条件がないと、いつまでも二重保守のコストを払い続けることになる。
【対象ドキュメント】swebok-v4.pdf ch07 Software Maintenance &gt; 3.1 Software Maintenance Processes(Transition と Operation の並行)/ 実務補完(並行稼働運用の実務)</t>
      </text>
    </comment>
    <comment ref="E77" authorId="0" shapeId="0">
      <text>
        <t>【意図】保守工数の大半はソフトウェア理解に費やされ、実態と乖離した文書は理解を助けるどころか誤導する。棚卸しと鮮度評価により「信じてよい文書」を保守者が判別できるようにする。
【対象ドキュメント】swebok-v4.pdf ch07 Software Maintenance &gt; 2.1.1 Limited Understanding(理解要因としての documentation)/ 4.1 Program Comprehension</t>
      </text>
    </comment>
    <comment ref="E78" authorId="0" shapeId="0">
      <text>
        <t>【意図】調査で得た構造理解を残さないと、次の保守者が同じ調査を繰り返す。再文書化・設計回復はリバースエンジニアリングの成果として明示されており、理解コストの再発を防ぐ投資である。
【対象ドキュメント】swebok-v4.pdf ch07 Software Maintenance &gt; 4.3 Reverse Engineering(Re-documentation / Design recovery / コールグラフ等の生成)</t>
      </text>
    </comment>
    <comment ref="E79" authorId="0" shapeId="0">
      <text>
        <t>【意図】SWEBOK は静的解析・動的解析・依存関係解析・可視化などを保守固有のツール群として挙げる。ツールと適用範囲の記録がないと、解析結果の妥当性を検証できず、追試も引き継ぎもできない。
【対象ドキュメント】swebok-v4.pdf ch07 Software Maintenance &gt; 5. Software Maintenance Tools / 4.5 Visualizing Maintenance</t>
      </text>
    </comment>
    <comment ref="E80" authorId="0" shapeId="0">
      <text>
        <t>【意図】組織構造がどうであれ「保守作業と全変更の質の高い文書を保持する」ことが SWEBOK の要求である。知見が個人に留まると、担当者の離任で組織の理解度がリセットされる。
【対象ドキュメント】swebok-v4.pdf ch07 Software Maintenance &gt; 2.2.5 Organizational Aspects of Maintenance(保守作業の文書保持)</t>
      </text>
    </comment>
    <comment ref="E81" authorId="0" shapeId="0">
      <text>
        <t>【意図】MR/PR や保守区分などの用語が標準とずれると、区分別集計の比較可能性が失われ、委託先・監査者との会話で誤解が生じる。標準用語との整合が測定と契約の共通言語を守る。
【対象ドキュメント】swebok-v4.pdf ch07 Software Maintenance &gt; 1.1 Definitions and Terminology(ISO/IEC/IEEE 14764 の用語)</t>
      </text>
    </comment>
    <comment ref="E82" authorId="0" shapeId="0">
      <text>
        <t>【意図】ISO/IEC/IEEE 14764 は保守プロセスを保守準備・保守実施・ロジスティクス支援・結果管理で構成する。この骨格との対応がないと、ロジスティクス支援や結果管理といった地味だが必須の活動が計画から抜ける。
【対象ドキュメント】swebok-v4.pdf ch07 Software Maintenance &gt; 3.1 Software Maintenance Processes(Prepare / Perform / Logistics support / Manage results)</t>
      </text>
    </comment>
    <comment ref="E83" authorId="0" shapeId="0">
      <text>
        <t>【意図】Transition は開発から保守チームへソフトウェアを段階的に移管する統制された活動であり、引き継ぎ成果物の受領確認がないと、保守開始後に「テスト資産がない」「環境が再現できない」ことが発覚する。
【対象ドキュメント】swebok-v4.pdf ch07 Software Maintenance &gt; 3.2 Activities and Tasks(Transition)</t>
      </text>
    </comment>
    <comment ref="E84" authorId="0" shapeId="0">
      <text>
        <t>【意図】「保守すれば品質が上がると期待するだけでは不十分」であり、SQA・V&amp;V・レビュー・監査を他プロセスと連動して選択することが求められる。組み込みがないと小さな変更の品質が個人任せになる。
【対象ドキュメント】swebok-v4.pdf ch07 Software Maintenance &gt; 3.2.4 Software Quality / 3.2.1 Supporting and Monitoring Activities</t>
      </text>
    </comment>
    <comment ref="E85" authorId="0" shapeId="0">
      <text>
        <t>【意図】保守は開発・運用と知識・ツールを共有し、緊急パッチと次リリース開発が並走する。連携方法が未定義だと、運用のインシデントが保守に届かず、開発中案件との変更競合がマージ時に発覚する。
【対象ドキュメント】swebok-v4.pdf ch07 Software Maintenance &gt; 1.1 Definitions and Terminology(開発・運用との知識共有)/ 2. Key Issues(次リリース開発と緊急パッチの並走)</t>
      </text>
    </comment>
    <comment ref="E86" authorId="0" shapeId="0">
      <text>
        <t>【意図】保守プロセス改善は保守成熟度モデルに支えられると SWEBOK は述べる。振り返りの仕組みがないと、同じ種類の手戻り・障害対応が改善されないまま繰り返される。
【対象ドキュメント】swebok-v4.pdf ch07 Software Maintenance &gt; 3.1 Software Maintenance Processes(保守成熟度モデルによるプロセス改善)/ 3.2.4 Software Quality(継続的改善)</t>
      </text>
    </comment>
    <comment ref="E87" authorId="0" shapeId="0">
      <text>
        <t>【意図】監視と保守が接続されていないと、容量逼迫や可用性劣化の予兆が検知されても予防保守として起票されず、障害になってから緊急保守で対処する後手の運用が固定化する。
【対象ドキュメント】swebok-v4.pdf ch07 Software Maintenance &gt; 1.2 Nature of Software Maintenance(稼働ソフトウェアのサーベイランス: 容量・継続性・可用性の監視)</t>
      </text>
    </comment>
  </commentList>
</comments>
</file>

<file path=xl/comments/comment8.xml><?xml version="1.0" encoding="utf-8"?>
<comments xmlns="http://schemas.openxmlformats.org/spreadsheetml/2006/main">
  <authors>
    <author>SWEBOKレビューハーネス</author>
  </authors>
  <commentList>
    <comment ref="E2" authorId="0" shapeId="0">
      <text>
        <t>【意図】SCMの拠り所となる計画が未承認のままだと、ブランチ運用や変更フローがメンバーごとにバラバラになり、監査時に「合意されたプロセス」を示せなくなる。承認記録は契約・規制対応の第一の証跡でもある。
【対象ドキュメント】swebok-v4.pdf ch08 Software Configuration Management &gt; 1.4 SCM Plan / 1.3 Planning for SCM</t>
      </text>
    </comment>
    <comment ref="E3" authorId="0" shapeId="0">
      <text>
        <t>【意図】担当が曖昧だと構成監査やベースライン確立が「誰の仕事でもない」まま放置され、リリース直前に未管理のCIが発覚する。役割の明確化はSWEBOKが混乱防止のために明示的に要求している。
【対象ドキュメント】swebok-v4.pdf ch08 Software Configuration Management &gt; 1.3.1 SCM Organization and Responsibilities</t>
      </text>
    </comment>
    <comment ref="E4" authorId="0" shapeId="0">
      <text>
        <t>【意図】変更の承認権限者が不明だと、重要変更が独断でマージされたり、逆に軽微な変更まで停滞したりする。小規模でも個人+記録方法を定めておかないと事後に判断根拠をたどれない。
【対象ドキュメント】swebok-v4.pdf ch08 Software Configuration Management &gt; 3.1.1 Software Configuration Control Board (CCB/SCCB)</t>
      </text>
    </comment>
    <comment ref="E5" authorId="0" shapeId="0">
      <text>
        <t>【意図】契約で構成監査が要求されているのに見落とすと、納品時に監査証跡を遡って作れず受入拒否や契約違反になる。規制産業では公共安全に関わる外部制約がSCM設計を規定する。
【対象ドキュメント】swebok-v4.pdf ch08 Software Configuration Management &gt; 1.2 Constraints and Guidance for the SCM Process</t>
      </text>
    </comment>
    <comment ref="E6" authorId="0" shapeId="0">
      <text>
        <t>【意図】ツールが特定されていないと、メンバーが各自バラバラの場所に成果物を置き、CIの一元管理と履歴追跡が崩壊する。SCMは単一ツールでなくワークベンチ(ツール一式)を要するというのがSWEBOKの立場。
【対象ドキュメント】swebok-v4.pdf ch08 Software Configuration Management &gt; 1.3.3 Tool Selection and Implementation / 7. SCM Tools</t>
      </text>
    </comment>
    <comment ref="E7" authorId="0" shapeId="0">
      <text>
        <t>【意図】外部受領物を無検証・無識別で取り込むと、どのバージョンを組み込んだか不明になり、不具合時の切り分けや再現ビルドができなくなる。委託先SCMへの要求と遵守監視も必要になる。
【対象ドキュメント】swebok-v4.pdf ch08 Software Configuration Management &gt; 1.3.4 Vendor/Subcontractor Control</t>
      </text>
    </comment>
    <comment ref="E8" authorId="0" shapeId="0">
      <text>
        <t>【意図】インタフェース仕様が片側の判断だけで変わると、結合時に初めて不整合が発覚し大きな手戻りになる。双方の変更管理を通す手続きがその防波堤となる。
【対象ドキュメント】swebok-v4.pdf ch08 Software Configuration Management &gt; 1.3.5 Interface Control</t>
      </text>
    </comment>
    <comment ref="E9" authorId="0" shapeId="0">
      <text>
        <t>【意図】ベースライン確立や監査の時期がマイルストーンと紐付いていないと、リリース判定時に「固定された構成」が存在せず、何をテストし何を出荷したのか特定できなくなる。
【対象ドキュメント】swebok-v4.pdf ch08 Software Configuration Management &gt; 1.3.2 SCM Resources and Schedules</t>
      </text>
    </comment>
    <comment ref="E10" authorId="0" shapeId="0">
      <text>
        <t>【意図】SCMPは「生きた文書」であり、CI/CD導入やブランチ戦略変更に追随して改訂されないと実態と乖離し、誰も参照しない死文書になる。改訂手続きがないと乖離が固定化する。
【対象ドキュメント】swebok-v4.pdf ch08 Software Configuration Management &gt; 1.4 SCM Plan (living document / SCMP Maintenance)</t>
      </text>
    </comment>
    <comment ref="E11" authorId="0" shapeId="0">
      <text>
        <t>【意図】測定がないと変更処理の滞留やビルド破損の常態化に気づけず、承認レベルの最適化や工数見積りの改善もできない。測定はSCMプロセス改善の入力であるとSWEBOKは位置づける。
【対象ドキュメント】swebok-v4.pdf ch08 Software Configuration Management &gt; 1.5.1 SCM Measures and Measurement</t>
      </text>
    </comment>
    <comment ref="E12" authorId="0" shapeId="0">
      <text>
        <t>【意図】計画と運用実態は時間とともに乖離する。プロセス内監査がないと「文書上は保護されているが実際はforce push可能」のような形骸化を検出できない。
【対象ドキュメント】swebok-v4.pdf ch08 Software Configuration Management &gt; 1.5 Surveillance of SCM / 1.5.2 In-Process Audits of SCM</t>
      </text>
    </comment>
    <comment ref="E13" authorId="0" shapeId="0">
      <text>
        <t>【意図】新規参画者が変更フローを知らないままコミットすると、保護ルール違反や誤ブランチへのマージ事故が起きる。SWEBOKは計画実施のための訓練要件の特定を求めている。
【対象ドキュメント】swebok-v4.pdf ch08 Software Configuration Management &gt; 1.3.2 SCM Resources and Schedules (training requirements)</t>
      </text>
    </comment>
    <comment ref="E14" authorId="0" shapeId="0">
      <text>
        <t>【意図】SCI選定を怠ると、コード以外の計画書・テスト資料・構成データ等が管理外に置かれ、変更しても誰も気づかず不整合が蓄積する。SCI識別は他のすべてのSCM活動の基盤である。
【対象ドキュメント】swebok-v4.pdf ch08 Software Configuration Management &gt; 2.1 Identifying Items to Be Controlled / 2.1.2 Software Configuration Item</t>
      </text>
    </comment>
    <comment ref="E15" authorId="0" shapeId="0">
      <text>
        <t>【意図】版管理外の「手元の最新版」が正になると、リリースした内容を後から特定・再現できず、変更の巻き戻しも不可能になる。完全性の保証はSCMの定義そのものに含まれる。
【対象ドキュメント】swebok-v4.pdf ch08 Software Configuration Management &gt; 2.1 Identifying Items to Be Controlled / 2.6 Software Libraries</t>
      </text>
    </comment>
    <comment ref="E16" authorId="0" shapeId="0">
      <text>
        <t>【意図】識別子スキームがないと状況記録(SCSA)で何を収集・追跡すべきか定まらず、CIの参照が「あのファイル」のような口頭伝承になり誤参照事故を招く。
【対象ドキュメント】swebok-v4.pdf ch08 Software Configuration Management &gt; 2.2 Configuration Item Identifiers and Attributes</t>
      </text>
    </comment>
    <comment ref="E17" authorId="0" shapeId="0">
      <text>
        <t>【意図】ベースラインは正式承認された固定点であり、以後の変更を正式な変更管理に通すための起点。これがないと「どの状態からの変更か」が定義できず、変更管理全体が空回りする。
【対象ドキュメント】swebok-v4.pdf ch08 Software Configuration Management &gt; 2.3 Baseline Identification / 2.4 Baseline Attributes</t>
      </text>
    </comment>
    <comment ref="E18" authorId="0" shapeId="0">
      <text>
        <t>【意図】障害調査や再リリース時に過去構成を完全再現できないと、原因特定が推測頼みになり修正の検証もできない。ベースラインは構成するCIの版まで一意に固定されて初めて意味を持つ。
【対象ドキュメント】swebok-v4.pdf ch08 Software Configuration Management &gt; 2.3 Baseline Identification / 6.1 Software Building (再現ビルド)</t>
      </text>
    </comment>
    <comment ref="E19" authorId="0" shapeId="0">
      <text>
        <t>【意図】浮動参照(latest等)を許すと、同じコミットからビルドしても日によって成果物が変わり、テスト済みと本番投入物が別物になる事故が起きる。依存関係もSCIとして版固定すべき対象である。
【対象ドキュメント】swebok-v4.pdf ch08 Software Configuration Management &gt; 2.1.2 Software Configuration Item / 2.5 Relationships Scheme Definition</t>
      </text>
    </comment>
    <comment ref="E20" authorId="0" shapeId="0">
      <text>
        <t>【意図】依存・派生・継承(succession)・バリアントの関係を追跡しないと、あるCIの変更が他のCIに波及することを影響分析で見抜けず、想定外の破壊を招く。関係追跡はCR判断を支える情報である。
【対象ドキュメント】swebok-v4.pdf ch08 Software Configuration Management &gt; 2.5 Relationships Scheme Definition</t>
      </text>
    </comment>
    <comment ref="E21" authorId="0" shapeId="0">
      <text>
        <t>【意図】SBOMはビルドに含まれるコンポーネントと供給網関係の公式記録であり、これがないと脆弱性公表時に自製品への影響を即答できず、顧客・規制当局への説明責任を果たせない。
【対象ドキュメント】swebok-v4.pdf ch08 Software Configuration Management &gt; 2.5 Relationships Scheme Definition (SBOM) / 6.1 Software Building</t>
      </text>
    </comment>
    <comment ref="E22" authorId="0" shapeId="0">
      <text>
        <t>【意図】リポジトリの責務分担が不明だと、同じ資産が複数箇所に重複して置かれ「どちらが正か」の混乱が生じる。構成識別のラベリング戦略はリポジトリ構造の文書化から始まる。
【対象ドキュメント】swebok-v4.pdf ch08 Software Configuration Management &gt; 2.1 Identifying Items to Be Controlled / 2.6 Software Libraries</t>
      </text>
    </comment>
    <comment ref="E23" authorId="0" shapeId="0">
      <text>
        <t>【意図】開発中成果物と配布可能ベースラインが混在すると、未検証ビルドが誤って本番デプロイされる事故が起きる。SWEBOKは配布可能物を保持する definitive media library の区別を求めている。
【対象ドキュメント】swebok-v4.pdf ch08 Software Configuration Management &gt; 2.6 Software Libraries (definitive media library)</t>
      </text>
    </comment>
    <comment ref="E24" authorId="0" shapeId="0">
      <text>
        <t>【意図】文書CIの版表記が不統一だと、レビューアや監査人が「最新の承認版」を誤認し、旧仕様に基づく実装・判断ミスが生じる。ベースラインはメディア種別を問わず適用される。
【対象ドキュメント】swebok-v4.pdf ch08 Software Configuration Management &gt; 2.3 Baseline Identification / 2.1.2 Software Configuration Item (文書もSCI)</t>
      </text>
    </comment>
    <comment ref="E25" authorId="0" shapeId="0">
      <text>
        <t>【意図】ホスティング障害・誤削除・アカウント侵害でリポジトリを喪失すると、全SCIとその履歴が失われ再現ビルドも変更追跡も不可能になる。SaaS任せの場合もその前提を明示しておかないと復旧計画が空白になる。
【対象ドキュメント】swebok-v4.pdf ch08 Software Configuration Management &gt; 2.6 Software Libraries — ライブラリのバックアップ設備(backup facilities)</t>
      </text>
    </comment>
    <comment ref="E26" authorId="0" shapeId="0">
      <text>
        <t>【意図】ブランチ・マージ戦略は多くのSCM活動に影響するため慎重に計画し周知すべき、とSWEBOKは明記する。明文化がないと各自の流儀でブランチが乱立し、統合時に大規模コンフリクトが発生する。
【対象ドキュメント】swebok-v4.pdf ch08 Software Configuration Management &gt; 1.3 Planning for SCM (branching and merging strategies)</t>
      </text>
    </comment>
    <comment ref="E27" authorId="0" shapeId="0">
      <text>
        <t>【意図】リリース頻度や並行保守数に合わないフロー(例: 常時デプロイなのにGit Flow)を選ぶと、マージ作業自体がボトルネック化する。計画はプロジェクトの性質と整合すべきというのがSWEBOKの要求。
【対象ドキュメント】swebok-v4.pdf ch08 Software Configuration Management &gt; 1.3 Planning for SCM (プロジェクト特性との整合)</t>
      </text>
    </comment>
    <comment ref="E28" authorId="0" shapeId="0">
      <text>
        <t>【意図】ブランチの起点・マージ先・寿命が定義されていないと、長期間放置されたブランチからの誤マージや、hotfixの本流反映漏れ(次リリースでのデグレ)が起きる。
【対象ドキュメント】swebok-v4.pdf ch08 Software Configuration Management &gt; 1.3 Planning for SCM (branching and merging strategies)</t>
      </text>
    </comment>
    <comment ref="E29" authorId="0" shapeId="0">
      <text>
        <t>【意図】リリース対象ブランチはベースラインの実体であり、保護がないとレビュー・CIを迂回した変更や履歴改変(force push)で正式承認済み構成の完全性が破壊される。
【対象ドキュメント】swebok-v4.pdf ch08 Software Configuration Management &gt; 2.3 Baseline Identification / 3. Software Configuration Change Control(承認済み変更のみの保証)</t>
      </text>
    </comment>
    <comment ref="E30" authorId="0" shapeId="0">
      <text>
        <t>【意図】マージ方式が混在すると履歴の追跡性が損なわれ、「この変更はどのCRから来たか」の遡及や部分的な巻き戻しが困難になる。マージは複数人が同一CIを変更する際の要となる操作である。
【対象ドキュメント】swebok-v4.pdf ch08 Software Configuration Management &gt; 1.3 Planning for SCM (merging) / 3.2 Implementing Software Changes</t>
      </text>
    </comment>
    <comment ref="E31" authorId="0" shapeId="0">
      <text>
        <t>【意図】緊急時の手順が未定義だと、場当たり的な直接修正が行われ、全保守ブランチへの反映漏れや事後の変更記録欠落を招く。SWEBOKも変更フローに「緊急パス(事後にプロセス実施)」の存在を明示している。
【対象ドキュメント】swebok-v4.pdf ch08 Software Configuration Management &gt; 3.1 Requesting, Evaluating, and Approving Software Changes (Emergency Path, Figure 8.3)</t>
      </text>
    </comment>
    <comment ref="E32" authorId="0" shapeId="0">
      <text>
        <t>【意図】長命ブランチは上流との乖離が蓄積し、同期を怠ると統合時に解決不能規模のコンフリクトが発生する。並行開発ストリームの管理はバージョン管理計画の一部である。
【対象ドキュメント】swebok-v4.pdf ch08 Software Configuration Management &gt; 2.6 Software Libraries (複数開発ストリーム) / 1.3 Planning for SCM</t>
      </text>
    </comment>
    <comment ref="E33" authorId="0" shapeId="0">
      <text>
        <t>【意図】コミットメッセージに課題IDがないと、変更とCRの対応が切れ、SCSAが要求する「実装済み変更の状況」を機械的に集計できなくなる。
【対象ドキュメント】swebok-v4.pdf ch08 Software Configuration Management &gt; 3.2 Implementing Software Changes(変更の文書化) / 4.1 SCSA情報</t>
      </text>
    </comment>
    <comment ref="E34" authorId="0" shapeId="0">
      <text>
        <t>【意図】マージ前提条件が曖昧だと、未レビュー・CI不通過の変更が統合ブランチに入り込み、ベースラインの品質保証(承認済み変更のみが入っている状態)が崩れる。
【対象ドキュメント】swebok-v4.pdf ch08 Software Configuration Management &gt; 3.2 Implementing Software Changes(承認された変更のみの確認) / 6.1 Software Building (CI)</t>
      </text>
    </comment>
    <comment ref="E35" authorId="0" shapeId="0">
      <text>
        <t>【意図】マージ済みブランチが放置されると、廃止済みブランチへの誤コミットや誤った起点からのブランチ作成を招き、リポジトリの見通しが悪化する。
【対象ドキュメント】実務補完(Git運用プラクティス。SWEBOK 1.3のブランチ戦略計画の具体化)</t>
      </text>
    </comment>
    <comment ref="E36" authorId="0" shapeId="0">
      <text>
        <t>【意図】版番号の各桁の意味が共有されていないと、互換性破壊を含む変更がPATCH番号で出荷され、利用者側の想定外障害を引き起こす。版はCIの継承(succession)を追跡する基本手段である。
【対象ドキュメント】swebok-v4.pdf ch08 Software Configuration Management &gt; 2.5 Relationships Scheme Definition (Succession) / 2.2 CI識別子。体系例は実務補完(SemVer)</t>
      </text>
    </comment>
    <comment ref="E37" authorId="0" shapeId="0">
      <text>
        <t>【意図】何が互換性破壊かの判定基準がないと、バージョン番号のインクリメント判断が属人化し、利用側の移行計画(いつ対応工数を確保すべきか)が立てられなくなる。
【対象ドキュメント】実務補完(SemVer)。SWEBOK 1.3.5 Interface Control(インタフェース変更の管理)の具体化</t>
      </text>
    </comment>
    <comment ref="E38" authorId="0" shapeId="0">
      <text>
        <t>【意図】タグの形式・作成者・タイミングが不定だと、ベースラインの確立が再現不能な手作業になり、「タグ付け忘れ」でリリース構成を特定できないリリースが生まれる。
【対象ドキュメント】swebok-v4.pdf ch08 Software Configuration Management &gt; 2.3 Baseline Identification / 2.4 Baseline Attributes</t>
      </text>
    </comment>
    <comment ref="E39" authorId="0" shapeId="0">
      <text>
        <t>【意図】同一バージョン番号の中身が差し替わると、障害報告のバージョン情報が信用できなくなり、調査・再現・顧客説明のすべてが破綻する。ベースラインは正式変更手続き以外で変更してはならない。
【対象ドキュメント】swebok-v4.pdf ch08 Software Configuration Management &gt; 2.3 Baseline Identification(ベースラインの固定性)</t>
      </text>
    </comment>
    <comment ref="E40" authorId="0" shapeId="0">
      <text>
        <t>【意図】プレリリース識別子の用法が曖昧だと、検証用ビルドが本番相当と誤認されて顧客環境に導入される事故が起きる。パッケージングでは用途に応じた正しいバリアント選択が求められる。
【対象ドキュメント】swebok-v4.pdf ch08 Software Configuration Management &gt; 6.2 Software Release Management(パッケージングとバリアント選択)</t>
      </text>
    </comment>
    <comment ref="E41" authorId="0" shapeId="0">
      <text>
        <t>【意図】モジュール間の互換組合せが管理されていないと、個別には正しいバージョン同士の組合せで初めて発生する不整合を検出できない。CI間の依存関係追跡はまさにこのための仕組みである。
【対象ドキュメント】swebok-v4.pdf ch08 Software Configuration Management &gt; 2.5 Relationships Scheme Definition (Dependencies)</t>
      </text>
    </comment>
    <comment ref="E42" authorId="0" shapeId="0">
      <text>
        <t>【意図】保守対象バージョンが無限定だと、hotfixの反映先が際限なく増え保守コストが破綻する。数リリース前の版を使う利用者への対応(アップグレード手順等)はリリース管理の考慮事項である。
【対象ドキュメント】swebok-v4.pdf ch08 Software Configuration Management &gt; 6.2 Software Release Management(旧版利用者への対応)。EOL基準は実務補完</t>
      </text>
    </comment>
    <comment ref="E43" authorId="0" shapeId="0">
      <text>
        <t>【意図】内部版と顧客提示版の対応が記録されていないと、顧客からの障害報告を内部ビルドに突き合わせられず、初動調査で時間を失う。
【対象ドキュメント】swebok-v4.pdf ch08 Software Configuration Management &gt; 6.2 Software Release Management (VDD/配布物の識別)。対応表運用は実務補完</t>
      </text>
    </comment>
    <comment ref="E44" authorId="0" shapeId="0">
      <text>
        <t>【意図】SWEBOKはSCR処理の正式な流れ(起票→評価→CCB判断→実装→検証)を図示して要求している。フローが未定義だと変更が口頭依頼で始まり、影響分析や承認を飛ばした変更が本番に到達する。
【対象ドキュメント】swebok-v4.pdf ch08 Software Configuration Management &gt; 3.1 Requesting, Evaluating, and Approving Software Changes (Figure 8.3)</t>
      </text>
    </comment>
    <comment ref="E45" authorId="0" shapeId="0">
      <text>
        <t>【意図】CRに理由・影響範囲・対象ベースラインが書かれていないと、承認者は判断材料を都度聞き直すことになり、記録としても後から「なぜこの変更をしたか」を説明できない。
【対象ドキュメント】swebok-v4.pdf ch08 Software Configuration Management &gt; 3.1.3 Software Change Request Forms Definition</t>
      </text>
    </comment>
    <comment ref="E46" authorId="0" shapeId="0">
      <text>
        <t>【意図】SWEBOKは「CRはライフサイクルの任意時点で誰でも起票できる」と明記する。起票経路を狭めると、現場が発見した欠陥や改善が正式ルートに乗らず、非公式な直接修正が横行する。
【対象ドキュメント】swebok-v4.pdf ch08 Software Configuration Management &gt; 3.1 Requesting, Evaluating, and Approving Software Changes</t>
      </text>
    </comment>
    <comment ref="E47" authorId="0" shapeId="0">
      <text>
        <t>【意図】承認記録が残らないと、構成監査で「承認された変更のみが実装されている」ことを証明できず、問題発生時に判断の経緯・責任をたどれない。CCBの決定の記録はツールで捕捉すべき要件である。
【対象ドキュメント】swebok-v4.pdf ch08 Software Configuration Management &gt; 3.1.2 Software Change Request Process(CCB決定の捕捉)</t>
      </text>
    </comment>
    <comment ref="E48" authorId="0" shapeId="0">
      <text>
        <t>【意図】影響分析(技術評価)の観点が定義されていないと、分析の深さが担当者任せになり、他CI・他システムへの波及やコスト影響を見落としたまま承認される。
【対象ドキュメント】swebok-v4.pdf ch08 Software Configuration Management &gt; 3.1 Requesting, Evaluating, and Approving Software Changes(impact analysis)</t>
      </text>
    </comment>
    <comment ref="E49" authorId="0" shapeId="0">
      <text>
        <t>【意図】複数の承認済みSCRが並行実装される中で、どのSCRがどの版・ベースラインに入ったかを追跡する手段の提供をSWEBOKは必須とする。これがないとリリースノートが作れず、修正漏れの版を出荷する。
【対象ドキュメント】swebok-v4.pdf ch08 Software Configuration Management &gt; 3.2 Implementing Software Changes</t>
      </text>
    </comment>
    <comment ref="E50" authorId="0" shapeId="0">
      <text>
        <t>【意図】緊急パスの条件と事後手続きが未定義だと、「緊急」を口実に通常フローが常態的に迂回され、変更記録の欠落が蓄積する。SWEBOKも緊急パスには事後の変更プロセス実施が伴うとしている。
【対象ドキュメント】swebok-v4.pdf ch08 Software Configuration Management &gt; 3.1 Requesting, Evaluating, and Approving Software Changes (Emergency Path)</t>
      </text>
    </comment>
    <comment ref="E51" authorId="0" shapeId="0">
      <text>
        <t>【意図】SWEBOKはCIの重要度・変更の性質・時期に応じた多段階の変更権限を認めている。層別がないと軽微修正まで重い承認を要して開発が停滞するか、逆に重要変更が軽い承認で通ってしまう。
【対象ドキュメント】swebok-v4.pdf ch08 Software Configuration Management &gt; 3.1.1 Software Configuration Control Board(複数レベルの変更権限)</t>
      </text>
    </comment>
    <comment ref="E52" authorId="0" shapeId="0">
      <text>
        <t>【意図】要求を満たせない箇所を非公式に「見なかったこと」にすると、契約不適合が出荷後に発覚する。逸脱・ウェーバーは事前/事後の正式な書面承認プロセスであり、該当時は必須となる。
【対象ドキュメント】swebok-v4.pdf ch08 Software Configuration Management &gt; 3.3 Deviations and Waivers</t>
      </text>
    </comment>
    <comment ref="E53" authorId="0" shapeId="0">
      <text>
        <t>【意図】却下・延期CRの記録がないと、同じ提案が繰り返し議論されて工数を浪費し、延期案件が忘れ去られて要求の取りこぼしになる。CRの判断は accept/modify/defer/reject の全結果を記録対象とする。
【対象ドキュメント】swebok-v4.pdf ch08 Software Configuration Management &gt; 3.1 Requesting, Evaluating, and Approving Software Changes(deferやrejectの記録)</t>
      </text>
    </comment>
    <comment ref="E54" authorId="0" shapeId="0">
      <text>
        <t>【意図】本番への直接変更を許すと、リポジトリと本番実態が乖離し、次回デプロイで手動修正が上書きされる事故や、変更の完全な追跡不能を招く。CIの完全性保証というSCMの目的が根本から崩れる。
【対象ドキュメント】swebok-v4.pdf ch08 Software Configuration Management &gt; 3. Software Configuration Change Control(全変更の統制)。運用形態は実務補完(GitOps)</t>
      </text>
    </comment>
    <comment ref="E55" authorId="0" shapeId="0">
      <text>
        <t>【意図】CR状態・ベースライン状況・実装済み変更はSWEBOKが列挙するSCSAの基本情報であり、これらの記録場所が決まっていないと管理判断(リリース可否等)が担当者の記憶頼みになる。
【対象ドキュメント】swebok-v4.pdf ch08 Software Configuration Management &gt; 4.1 Software Configuration Status Information</t>
      </text>
    </comment>
    <comment ref="E56" authorId="0" shapeId="0">
      <text>
        <t>【意図】SWEBOKは開発・運用・保守・管理・品質・セキュリティ等の多様な受け手への報告を想定している。宛先ごとの参照手段が決まっていないと、必要な人に構成情報が届かず判断が遅れる。
【対象ドキュメント】swebok-v4.pdf ch08 Software Configuration Management &gt; 4.2 Software Configuration Status Reporting</t>
      </text>
    </comment>
    <comment ref="E57" authorId="0" shapeId="0">
      <text>
        <t>【意図】手作業の二重転記は転記漏れ・陳腐化で必ず実態と乖離し、信頼されない台帳の保守に工数だけが浪費される。SWEBOKもツールによる自動的なSCSA支援と使いやすい形式の報告を前提とする。
【対象ドキュメント】swebok-v4.pdf ch08 Software Configuration Management &gt; 4.1 Software Configuration Status Information(自動化ツールによる支援)</t>
      </text>
    </comment>
    <comment ref="E58" authorId="0" shapeId="0">
      <text>
        <t>【意図】ハッシュ・署名がないと、配布経路での改竄や成果物の取り違えを検出できず、PCA(物理構成監査)で「保管物=出荷物」を証明する手段も失う。SWEBOKは完全性指標(SHA等)をSCSA情報に含める。
【対象ドキュメント】swebok-v4.pdf ch08 Software Configuration Management &gt; 4.2 SCSA Reporting(Indicators of integrity) / 2.6 Software Libraries(暗号学的ハッシュ)</t>
      </text>
    </comment>
    <comment ref="E59" authorId="0" shapeId="0">
      <text>
        <t>【意図】構成状況情報には脆弱性・未修正欠陥等の攻撃者に有用な情報が含まれ得るため、SWEBOKは情報自体の保護を求めている。無防備だと情報漏えいや記録の改竄リスクが生じる。
【対象ドキュメント】swebok-v4.pdf ch08 Software Configuration Management &gt; 4.1 Software Configuration Status Information(情報のセキュリティ確保)</t>
      </text>
    </comment>
    <comment ref="E60" authorId="0" shapeId="0">
      <text>
        <t>【意図】逸脱・ウェーバー・未解決欠陥はリリース判定の重要な入力であり、SWEBOKもSCSA情報の一部として明示する。判定時に参照できないと、要求未達を知らないままの出荷承認が起きる。
【対象ドキュメント】swebok-v4.pdf ch08 Software Configuration Management &gt; 4.1 Software Configuration Status Information(Deviations and waivers)</t>
      </text>
    </comment>
    <comment ref="E61" authorId="0" shapeId="0">
      <text>
        <t>【意図】FCA/PCAは契約(特にクリティカルソフトウェア)で要求され得る正式監査であり、要否判断を怠ると納品段階で監査未実施が発覚し受入が止まる。不要な場合も根拠の記録が説明責任を支える。
【対象ドキュメント】swebok-v4.pdf ch08 Software Configuration Management &gt; 5. Software Configuration Auditing</t>
      </text>
    </comment>
    <comment ref="E62" authorId="0" shapeId="0">
      <text>
        <t>【意図】FCAは成果物が仕様と一致することの独立確認であり、V&amp;V結果を入力とする。実施方法が未定義だと監査が形式だけになり、仕様不適合品がベースライン化・出荷される。
【対象ドキュメント】swebok-v4.pdf ch08 Software Configuration Management &gt; 5.1 Software Functional Configuration Audit</t>
      </text>
    </comment>
    <comment ref="E63" authorId="0" shapeId="0">
      <text>
        <t>【意図】PCAは設計・参照文書と実際に作られた(as-built)成果物の一致確認。これを怠ると、文書と実物が食い違ったまま納品され、保守フェーズで文書が信用できなくなる。
【対象ドキュメント】swebok-v4.pdf ch08 Software Configuration Management &gt; 5.2 Software Physical Configuration Audit</t>
      </text>
    </comment>
    <comment ref="E64" authorId="0" shapeId="0">
      <text>
        <t>【意図】開発途中のプロセス内監査がないと、ベースライン項目と進化する文書の乖離や運用の逸脱が最終監査まで発見されず、是正コストが膨らむ。SWEBOKは開発中の随時監査を推奨する。
【対象ドキュメント】swebok-v4.pdf ch08 Software Configuration Management &gt; 5.3 In-Process Audits of a Software Baseline / 1.5.2 In-Process Audits of SCM</t>
      </text>
    </comment>
    <comment ref="E65" authorId="0" shapeId="0">
      <text>
        <t>【意図】指摘の記録・是正期限・確認者がないと、監査が「指摘して終わり」になり同じ不備が再発する。監査は明確に定義されたプロセスに従って実施・計画されるべきとSWEBOKは要求する。
【対象ドキュメント】swebok-v4.pdf ch08 Software Configuration Management &gt; 5. Software Configuration Auditing(監査の計画的実施)。是正フォローは実務補完(ISO 19011等)</t>
      </text>
    </comment>
    <comment ref="E66" authorId="0" shapeId="0">
      <text>
        <t>【意図】SWEBOKはCIレビューの実施方法と期待結果を品質計画に記述すべきとする。品質計画側と矛盾すると、同じ成果物に二重基準のレビューが課され、どちらの合格をもって承認とするか混乱する。
【対象ドキュメント】swebok-v4.pdf ch08 Software Configuration Management &gt; 5.3 In-Process Audits(品質計画への記述) / SCMとSQAの関係(Introduction)</t>
      </text>
    </comment>
    <comment ref="E67" authorId="0" shapeId="0">
      <text>
        <t>【意図】ビルド手順(build instructions)自体がSCM管理下にないと、パイプラインの変更が無審査で本番デプロイ経路を書き換え可能になり、過去リリースの再現に必要な手順も失われる。
【対象ドキュメント】swebok-v4.pdf ch08 Software Configuration Management &gt; 6.1 Software Building(build instructionsのSCM管理)</t>
      </text>
    </comment>
    <comment ref="E68" authorId="0" shapeId="0">
      <text>
        <t>【意図】SWEBOKは継続的インテグレーションを「コミット契機でビルド・静的解析・テストのパイプラインが自動起動する」形態として記述する。自動化がないと統合の検証が遅れ、壊れた状態が長期化する。
【対象ドキュメント】swebok-v4.pdf ch08 Software Configuration Management &gt; 6.1 Software Building(continuous integration)</t>
      </text>
    </comment>
    <comment ref="E69" authorId="0" shapeId="0">
      <text>
        <t>【意図】SWEBOKは過去リリースの正確な再ビルドのため、ビルドツールと手順の版もSCM管理下に置くことを要求する。再現不能だと障害調査時に「当時のバイナリ」を作れず、修正の検証も不可能になる。
【対象ドキュメント】swebok-v4.pdf ch08 Software Configuration Management &gt; 6.1 Software Building(正確な再ビルドとツール版管理)</t>
      </text>
    </comment>
    <comment ref="E70" authorId="0" shapeId="0">
      <text>
        <t>【意図】品質ゲートが強制されていないと、テスト失敗中の変更が「後で直す」と統合され、ベースラインに承認外の欠陥が混入する。CIは静的解析・単体テスト・カバレッジ検証と組み合わせるのが標準形。
【対象ドキュメント】swebok-v4.pdf ch08 Software Configuration Management &gt; 6.1 Software Building(静的解析・テストの組込み) / 3.2(承認済み変更のみの保証)</t>
      </text>
    </comment>
    <comment ref="E71" authorId="0" shapeId="0">
      <text>
        <t>【意図】ビルド成果物(バイナリ)が識別子なしで散在すると、デプロイ物とソースの対応が切れ、リリース検証やPCAができない。バイナリはビルド由来のリポジトリに保管し再取得可能とすべきである。
【対象ドキュメント】swebok-v4.pdf ch08 Software Configuration Management &gt; 2.6 Software Libraries(バイナリリポジトリ) / 7. SCM Tools(repository)</t>
      </text>
    </comment>
    <comment ref="E72" authorId="0" shapeId="0">
      <text>
        <t>【意図】パイプライン定義は全員が閲覧するリポジトリに置かれるため、平文シークレットは即座に漏えいし、本番環境への不正アクセスに直結する。ライブラリ管理のセキュリティはSCMの重要側面である。
【対象ドキュメント】実務補完(CI/CDセキュリティ)。SWEBOK 2.6(ライブラリのアクセス制御・セキュリティ)の延長</t>
      </text>
    </comment>
    <comment ref="E73" authorId="0" shapeId="0">
      <text>
        <t>【意図】環境昇格の順序と承認ゲートがないと、検証環境を経ない成果物が本番に到達し得る。ビルド成果物はテスト・ステージ・本番へ段階的にデプロイされるというのがSWEBOKの想定である。
【対象ドキュメント】swebok-v4.pdf ch08 Software Configuration Management &gt; 6.2 Software Release Management(continuous delivery) / 2.6(test/stage/productionへの展開)</t>
      </text>
    </comment>
    <comment ref="E74" authorId="0" shapeId="0">
      <text>
        <t>【意図】SWEBOKはビルドに含めた成果物を列挙するSBOMを重要なCM出力と位置づける。ビルド時に自動生成しないと、後から人手で作る羽目になり正確性が保証できない。
【対象ドキュメント】swebok-v4.pdf ch08 Software Configuration Management &gt; 6.1 Software Building(SBOMはCMの重要な出力)</t>
      </text>
    </comment>
    <comment ref="E75" authorId="0" shapeId="0">
      <text>
        <t>【意図】依存ライブラリの既知脆弱性を検出せずに出荷すると、公表済み脆弱性を含む製品を顧客環境に配ることになる。SBOM/依存関係管理と対になる継続的検証である。
【対象ドキュメント】実務補完(OWASP/SCA)。SWEBOK 2.5(SBOM)・4.2(セキュリティ状況指標)の実装手段</t>
      </text>
    </comment>
    <comment ref="E76" authorId="0" shapeId="0">
      <text>
        <t>【意図】統合ブランチのビルド破損が放置されると、全員の統合・検証が止まり、破損の上に変更が積み重なって原因特定が困難になる。失敗の通知先と修復優先ルールが被害を局所化する。
【対象ドキュメント】実務補完(CI運用プラクティス)。SWEBOK 6.1(continuous integration)の運用面の具体化</t>
      </text>
    </comment>
    <comment ref="E77" authorId="0" shapeId="0">
      <text>
        <t>【意図】パイプラインの実行時間・成功率はSCMプロセスの健全性を示す代表的な測定値であり、把握できないとビルドの遅延・不安定化という改善機会に気づけない。
【対象ドキュメント】swebok-v4.pdf ch08 Software Configuration Management &gt; 1.5.1 SCM Measures and Measurement</t>
      </text>
    </comment>
    <comment ref="E78" authorId="0" shapeId="0">
      <text>
        <t>【意図】リリース手順が特定個人の暗黙知だと、その人の不在時にリリース・緊急修正が実施できず、手順の抜けによる配布事故も防げない。再現可能な手順化はリリース管理の基本要求である。
【対象ドキュメント】swebok-v4.pdf ch08 Software Configuration Management &gt; 6.2 Software Release Management / 6.1 Software Building</t>
      </text>
    </comment>
    <comment ref="E79" authorId="0" shapeId="0">
      <text>
        <t>【意図】SWEBOKは「いつリリースを出すか」の判断(対処する問題の重大度、過去リリースの欠陥密度等)をリリース管理の関心事とする。判定基準がないと出荷可否が声の大きさで決まる。
【対象ドキュメント】swebok-v4.pdf ch08 Software Configuration Management &gt; 6.2 Software Release Management(リリース発行判断)</t>
      </text>
    </comment>
    <comment ref="E80" authorId="0" shapeId="0">
      <text>
        <t>【意図】パッケージング(何を配布物に含めるか、正しいバリアントの選択)が定義されていないと、必要な構成データや文書が欠けた不完全なパッケージが届き、導入現場で障害になる。
【対象ドキュメント】swebok-v4.pdf ch08 Software Configuration Management &gt; 6.2 Software Release Management(packaging)</t>
      </text>
    </comment>
    <comment ref="E81" authorId="0" shapeId="0">
      <text>
        <t>【意図】VDD(版内容記述書)とリリースノートは、配布物の物理的内容・新機能・既知の問題・導入手順を利用者に伝える正式文書。項目が未定義だと版ごとに品質がばらつき、利用者が変更内容を把握できない。
【対象ドキュメント】swebok-v4.pdf ch08 Software Configuration Management &gt; 6.2 Software Release Management(VDD・release notes)</t>
      </text>
    </comment>
    <comment ref="E82" authorId="0" shapeId="0">
      <text>
        <t>【意図】ロールバック手順(特にDBマイグレーションや構成データの扱い)が未定義だと、リリース障害時に即応できず被害が拡大する。以前のベースラインへの復元はSCMツールが支える基本操作である。
【対象ドキュメント】swebok-v4.pdf ch08 Software Configuration Management &gt; 3.2 Implementing Software Changes(以前のベースラインへの復元) / 6.2 Release Management</t>
      </text>
    </comment>
    <comment ref="E83" authorId="0" shapeId="0">
      <text>
        <t>【意図】SWEBOKは復旧・テスト・保守のために過去リリースの再現を通常必要とする、と明記する。再現できないと旧版利用顧客の障害に対する調査・パッチ提供が不可能になる。
【対象ドキュメント】swebok-v4.pdf ch08 Software Configuration Management &gt; 6.1 Software Building(previous releasesの再現)</t>
      </text>
    </comment>
    <comment ref="E84" authorId="0" shapeId="0">
      <text>
        <t>【意図】デプロイ直後の検証項目がないと、リリース起因の障害を利用者からの申告で知ることになり、対応が後手に回る。リリース検証はバイナリリポジトリからの成果物再取得を含むプロセスとして想定される。
【対象ドキュメント】swebok-v4.pdf ch08 Software Configuration Management &gt; 7. SCM Tools(release verification process)。スモークテストの具体化は実務補完</t>
      </text>
    </comment>
    <comment ref="E85" authorId="0" shapeId="0">
      <text>
        <t>【意図】SWEBOKはプラットフォーム別・機能別バリアントの存在を前提に、正しいバリアントの選択と特定版の再作成を必要としている。バリアント管理を怠ると別プラットフォーム向け成果物の取り違えが起きる。
【対象ドキュメント】swebok-v4.pdf ch08 Software Configuration Management &gt; 6. Software Release Management and Delivery(バリアント) / 2.5(Variants関係)</t>
      </text>
    </comment>
    <comment ref="E86" authorId="0" shapeId="0">
      <text>
        <t>【意図】リリース周期・凍結方針が共有されていないと、リリース直前の駆け込み変更で検証済み構成が壊れ、リリース日程も安定しない。「いつ出すか」の方針はリリース管理の中心的関心である。
【対象ドキュメント】swebok-v4.pdf ch08 Software Configuration Management &gt; 6.2 Software Release Management(when to issue a release)。凍結運用は実務補完</t>
      </text>
    </comment>
    <comment ref="E87" authorId="0" shapeId="0">
      <text>
        <t>【意図】SWEBOKは配布先(顧客・対象システム)への追跡と、新規発見問題の顧客通知義務のケースに言及する。通知方法が未定義だと、重要な既知問題やセキュリティ修正が利用者に届かない。
【対象ドキュメント】swebok-v4.pdf ch08 Software Configuration Management &gt; 6.2 Software Release Management(顧客への問題通知)</t>
      </text>
    </comment>
    <comment ref="E88" authorId="0" shapeId="0">
      <text>
        <t>【意図】重大欠陥や脆弱性が発覚した際、影響を受ける配布先を特定できないと、通知・パッチ適用の対象が絞れず全顧客対応か対応漏れかの二択に陥る。
【対象ドキュメント】swebok-v4.pdf ch08 Software Configuration Management &gt; 6.2 Software Release Management — 配布状況の追跡(distribution tracking)</t>
      </text>
    </comment>
    <comment ref="E89" authorId="0" shapeId="0">
      <text>
        <t>【意図】一斉リリースは不具合の影響を全ユーザーへ即時拡大させ、切り戻し判断も属人化する。
【対象ドキュメント】Azure Well-Architected Framework &gt; オペレーショナルエクセレンスの柱 &gt; OE:11 (Safe deployment practices &gt; Adopt a progressive exposure model / Implement failure-detection mechanisms)</t>
      </text>
    </comment>
    <comment ref="E90" authorId="0" shapeId="0">
      <text>
        <t>【意図】SWEBOKはCR支援ツールと問題報告システムの連携、リリース内容とSCRの対応付けを求める。連携が切れていると、課題→コミット→ビルド→リリースのトレースが手作業になり、追跡性が事実上失われる。
【対象ドキュメント】swebok-v4.pdf ch08 Software Configuration Management &gt; 3.1.2 Software Change Request Process / 7. SCM Tools(統合)</t>
      </text>
    </comment>
    <comment ref="E91" authorId="0" shapeId="0">
      <text>
        <t>【意図】リポジトリ・パイプライン・成果物庫の権限が無方針だと、退職者アカウントの残存や過剰権限による誤操作・改竄のリスクが放置される。アクセス制御はライブラリ管理のセキュリティの要である。
【対象ドキュメント】swebok-v4.pdf ch08 Software Configuration Management &gt; 2.6 Software Libraries(アクセス制御) / 4.1(情報の保護)</t>
      </text>
    </comment>
    <comment ref="E92" authorId="0" shapeId="0">
      <text>
        <t>【意図】SWEBOKは組織動機・環境制約・財源・適用範囲・統合性・移行性等の観点によるツール選定の計画を求める。選定理由が残っていないと、更改・契約更新時に同じ検討をゼロからやり直すことになる。
【対象ドキュメント】swebok-v4.pdf ch08 Software Configuration Management &gt; 1.3.3 Tool Selection and Implementation</t>
      </text>
    </comment>
    <comment ref="E93" authorId="0" shapeId="0">
      <text>
        <t>【意図】CI/SCI・ベースライン・CR等の用語が文書間でぶれると、レビューアや監査人が別概念と誤読し、独自造語は新規参画者の学習コストと誤解を生む。
【対象ドキュメント】swebok-v4.pdf ch08 Software Configuration Management &gt; 1.4 SCM Plan(Introductionに用語定義を含める)</t>
      </text>
    </comment>
    <comment ref="E94" authorId="0" shapeId="0">
      <text>
        <t>【意図】SCMPは下位の詳細手順(ブランチ戦略・ビルド頻度等)を従える文書体系であり、文書間で参照切れや矛盾(フロー名の不一致等)があると、読者がどちらに従うべきか判断できず運用が割れる。
【対象ドキュメント】swebok-v4.pdf ch08 Software Configuration Management &gt; 1.4 SCM Plan(下位手順の展開)</t>
      </text>
    </comment>
    <comment ref="E95" authorId="0" shapeId="0">
      <text>
        <t>【意図】前提ツール・略語の説明がないと、新規参画者が文書を読んでも運用に入れず、口頭補足に依存した属人的オンボーディングが続く。SCMPには目的・範囲・用語のIntroductionが求められる。
【対象ドキュメント】swebok-v4.pdf ch08 Software Configuration Management &gt; 1.4 SCM Plan(Introduction: purpose, scope, terms used)</t>
      </text>
    </comment>
    <comment ref="E96" authorId="0" shapeId="0">
      <text>
        <t>【意図】表崩れやリンク切れは読者の誤読・参照不能を招き、文書自体の信頼を損なう。SCMPはSQAレビュー・監査の対象であり、体裁不備は指摘事項として跳ね返る。
【対象ドキュメント】実務補完(文書品質)。SWEBOK 1.3(SCMPはSQAレビュー・監査対象)の周辺</t>
      </text>
    </comment>
    <comment ref="E97" authorId="0" shapeId="0">
      <text>
        <t>【意図】ツール更改・ベンダー撤退時に履歴やCR記録を移行できないと、過去の変更経緯と監査証跡が断絶し、長期保守や規制対応で説明不能な空白期間が生じる。
【対象ドキュメント】swebok-v4.pdf ch08 Software Configuration Management &gt; 1.3.3 Tool Selection and Implementation — ツール移行性(リポジトリの履歴を保った移行)</t>
      </text>
    </comment>
  </commentList>
</comments>
</file>

<file path=xl/comments/comment9.xml><?xml version="1.0" encoding="utf-8"?>
<comments xmlns="http://schemas.openxmlformats.org/spreadsheetml/2006/main">
  <authors>
    <author>SWEBOKレビューハーネス</author>
  </authors>
  <commentList>
    <comment ref="E2" authorId="0" shapeId="0">
      <text>
        <t>【意図】目的とビジネス上の必要性が不明確なまま開始すると、優先順位判断や継続/中止判断の拠り所を失い、価値の低い機能への資源浪費や関係者間の方向性対立を招く。
【対象ドキュメント】swebok-v4.pdf ch09 SE Management &gt; 1.2 Feasibility Analysis(プロジェクト目標の明確な記述)</t>
      </text>
    </comment>
    <comment ref="E3" authorId="0" shapeId="0">
      <text>
        <t>【意図】スコープ外を明示しないと関係者の期待が際限なく膨らみ、スコープクリープによる工数超過・納期遅延・受入時の紛争につながる。
【対象ドキュメント】swebok-v4.pdf ch09 SE Management &gt; 1.2 Feasibility Analysis(初期スコープステートメント)</t>
      </text>
    </comment>
    <comment ref="E4" authorId="0" shapeId="0">
      <text>
        <t>【意図】達成/未達成を第三者が判定できない成功基準では終結判定(5.1)が主観論争になり、「終わらないプロジェクト」や検収係争が発生する。
【対象ドキュメント】swebok-v4.pdf ch09 SE Management &gt; 1. Initiation and Scope Definition / 5.1 Determining Closure(完了基準の達成確認)</t>
      </text>
    </comment>
    <comment ref="E5" authorId="0" shapeId="0">
      <text>
        <t>【意図】責任者が特定されていないと意思決定・エスカレーションの宛先が不在となり、問題発生時に判断が滞留してプロジェクトが漂流する。
【対象ドキュメント】実務補完(PMBOK プロジェクト憲章。SWEBOK 1章の authorization に対応)</t>
      </text>
    </comment>
    <comment ref="E6" authorId="0" shapeId="0">
      <text>
        <t>【意図】承認記録がないと組織としての着手権限(authorization)が不明確になり、後から予算・体制の正当性を問われたり計画が一方的に覆される。
【対象ドキュメント】swebok-v4.pdf ch09 SE Management &gt; 1. Initiation and Scope Definition(need, scope, feasibility, and authorization の決定)</t>
      </text>
    </comment>
    <comment ref="E7" authorId="0" shapeId="0">
      <text>
        <t>【意図】制約(動かせない条件)と前提(崩れうる仮定)を混同すると、前提崩壊時のリスク対応(2.5)が計画されず、崩れた瞬間に計画全体が破綻する。
【対象ドキュメント】swebok-v4.pdf ch09 SE Management &gt; 1.2 Feasibility Analysis(技術・資源・財務・期間の制約)</t>
      </text>
    </comment>
    <comment ref="E8" authorId="0" shapeId="0">
      <text>
        <t>【意図】桁感の予算と時期の目安がないと実現可能性の判断材料を欠き、後続の詳細見積りとの乖離が説明不能になって関係者の信頼を損なう。
【対象ドキュメント】swebok-v4.pdf ch09 SE Management &gt; 1.2 Feasibility Analysis(資源見積りと期間制約の準備)</t>
      </text>
    </comment>
    <comment ref="E9" authorId="0" shapeId="0">
      <text>
        <t>【意図】関係者と交渉していない要求を前提に憲章を書くと、着手後に前提要求が覆り、スコープ・見積りの土台ごと作り直しになる。
【対象ドキュメント】swebok-v4.pdf ch09 SE Management &gt; 1.1 Determination and Negotiation of Requirements(開始時の要求の決定と交渉)</t>
      </text>
    </comment>
    <comment ref="E10" authorId="0" shapeId="0">
      <text>
        <t>【意図】代替案を比較せず単一案で進めると、より安価・低リスクな手段(COTS/SaaS等)を見逃したまま固定化し、後からの方式転換は極めて高コストになる。
【対象ドキュメント】swebok-v4.pdf ch09 SE Management &gt; 1.2 Feasibility Analysis(alternative approaches の評価)</t>
      </text>
    </comment>
    <comment ref="E11" authorId="0" shapeId="0">
      <text>
        <t>【意図】技術的に可能でも資源や資金が続かなければ頓挫する。3側面を個別に評価しないと、実現不能な計画に投資してから撤退する損失が生じる。
【対象ドキュメント】swebok-v4.pdf ch09 SE Management &gt; 1.2 Feasibility Analysis(technology, resources, finances の制約下での評価)</t>
      </text>
    </comment>
    <comment ref="E12" authorId="0" shapeId="0">
      <text>
        <t>【意図】倫理・環境・社会技術的制約の見落としは、開発後半や運用開始後に法規制・社会的批判という回復困難な形で顕在化する。
【対象ドキュメント】swebok-v4.pdf ch09 SE Management &gt; 1.2 Feasibility Analysis(ethical, environmental, socio-technical considerations)</t>
      </text>
    </comment>
    <comment ref="E13" authorId="0" shapeId="0">
      <text>
        <t>【意図】外部システム・組織との境界と接点が不明だと、管理上・技術上のインターフェース調整が漏れ、統合段階で手戻りや責任の押し付け合いが起きる。
【対象ドキュメント】swebok-v4.pdf ch09 SE Management &gt; 1.2 Feasibility Analysis(engineering context diagram)</t>
      </text>
    </comment>
    <comment ref="E14" authorId="0" shapeId="0">
      <text>
        <t>【意図】初期WBSがないと作業全体量の見当がつかず、実現可能性判断や概算見積りが勘頼みになり、大幅な過小見積りを見抜けない。
【対象ドキュメント】swebok-v4.pdf ch09 SE Management &gt; 1.2 Feasibility Analysis(initial WBS の作成)</t>
      </text>
    </comment>
    <comment ref="E15" authorId="0" shapeId="0">
      <text>
        <t>【意図】SDLCを暗黙のまま進めると要求の安定性や体制と合わない進め方(予測型に適応的要求、等)になり、計画と実態の恒常的乖離や大量の手戻りを招く。
【対象ドキュメント】swebok-v4.pdf ch09 SE Management &gt; 2. Software Project Planning / 2.1 Process Planning(SDLCモデルの選定とテーラリング)</t>
      </text>
    </comment>
    <comment ref="E16" authorId="0" shapeId="0">
      <text>
        <t>【意図】適応型なのに全期間の詳細計画を固定する(またはその逆)と、計画が最初の変更で形骸化するか、統制不能な進行になる。ライフサイクル特性と計画詳細度の不整合を防ぐ。
【対象ドキュメント】swebok-v4.pdf ch09 SE Management &gt; 2.1 Process Planning / 2.7 Plan Management(予測型〜適応型の連続体に応じた計画)</t>
      </text>
    </comment>
    <comment ref="E17" authorId="0" shapeId="0">
      <text>
        <t>【意図】成果物と完成基準が未定義だと「できた」の判断が人により異なり、未完成物の後工程流出や終盤での成果物不足の発覚を招く。
【対象ドキュメント】swebok-v4.pdf ch09 SE Management &gt; 2.2 Determine Deliverables(各活動の作業成果物の識別と特性づけ)</t>
      </text>
    </comment>
    <comment ref="E18" authorId="0" shapeId="0">
      <text>
        <t>【意図】再利用・既製品の検討を怠ると、既にあるものを作り直す無駄な開発費と、独自実装ゆえの品質リスクを抱え込む。
【対象ドキュメント】swebok-v4.pdf ch09 SE Management &gt; 2.2 Determine Deliverables(再利用・オフザシェルフ製品活用機会の評価)</t>
      </text>
    </comment>
    <comment ref="E19" authorId="0" shapeId="0">
      <text>
        <t>【意図】変更は不可避であり、受付〜承認の手順がないと口頭合意による無統制なスコープ変更が積み重なり、工数超過と構成の不整合を招く。
【対象ドキュメント】swebok-v4.pdf ch09 SE Management &gt; 1.3 Process for the Review and Revision of Requirements(変更管理手続の合意)</t>
      </text>
    </comment>
    <comment ref="E20" authorId="0" shapeId="0">
      <text>
        <t>【意図】影響分析なしの変更承認は、関連する設計・テストへの波及漏れを生み、変更起因の欠陥や再テスト漏れとして品質事故に直結する。
【対象ドキュメント】swebok-v4.pdf ch09 SE Management &gt; 1.3 Process for the Review and Revision of Requirements(前方/後方トレーサビリティ分析とリスク分析)</t>
      </text>
    </comment>
    <comment ref="E21" authorId="0" shapeId="0">
      <text>
        <t>【意図】計画自体の見直しルールがないと、実態と乖離した計画が放置されて進捗管理の基準として機能しなくなるか、無断のベースライン書き換えが起きる。
【対象ドキュメント】swebok-v4.pdf ch09 SE Management &gt; 2.7 Plan Management(計画のマネジメント自体を計画し、監視・改訂する)</t>
      </text>
    </comment>
    <comment ref="E22" authorId="0" shapeId="0">
      <text>
        <t>【意図】ツールを後付けで場当たり導入すると、データ移行・使い分けの混乱や収集データの分断が起き、監視・測定の基盤が崩れる。
【対象ドキュメント】swebok-v4.pdf ch09 SE Management &gt; 2.1 Process Planning(ツールの計画的選定・取得)/ 7. Software Engineering Management Tools</t>
      </text>
    </comment>
    <comment ref="E23" authorId="0" shapeId="0">
      <text>
        <t>【意図】粒度が粗すぎるタスクは進捗が長期間見えず遅延の発見が手遅れになり、細かすぎると管理コストが実作業を圧迫する。管理可能な粒度で早期に異常を検知するため。
【対象ドキュメント】swebok-v4.pdf ch09 SE Management &gt; 1.2 Feasibility Analysis(WBSによる作業分解)+ 実務補完(8/80ルール)</t>
      </text>
    </comment>
    <comment ref="E24" authorId="0" shapeId="0">
      <text>
        <t>【意図】担当未定のタスクは誰も着手せず、開始予定日を過ぎてから宙に浮いていたことが発覚する。責任の空白による静かな遅延を防ぐ。
【対象ドキュメント】swebok-v4.pdf ch09 SE Management &gt; 2.4 Resource Allocation(タスクへの人員・責任の割り当て)</t>
      </text>
    </comment>
    <comment ref="E25" authorId="0" shapeId="0">
      <text>
        <t>【意図】完了基準がないタスクは「終わったつもり」の状態で完了報告され、後工程で未完成が発覚して手戻りになる。監視時の成果物評価の拠り所を作る。
【対象ドキュメント】swebok-v4.pdf ch09 SE Management &gt; 3.4 Monitor Process(各タスクのアウトプットと完了基準の評価)+ 実務補完(WBS辞書)</t>
      </text>
    </comment>
    <comment ref="E26" authorId="0" shapeId="0">
      <text>
        <t>【意図】依存関係が明示されないと先行タスクの遅延が後続へ波及することを予見できず、遅延の連鎖に事後対応するだけになる。並行実施の機会も見逃す。
【対象ドキュメント】swebok-v4.pdf ch09 SE Management &gt; 2.3 Effort, Schedule, and Cost Estimation(タスク依存関係の確立とガントチャート)</t>
      </text>
    </comment>
    <comment ref="E27" authorId="0" shapeId="0">
      <text>
        <t>【意図】クリティカルパスが不明だと、全体納期を左右するタスクとそうでないタスクの区別がつかず、要員追加や督促の投入先を誤って納期を守れない。
【対象ドキュメント】swebok-v4.pdf ch09 SE Management &gt; 2.3 Effort, Schedule, and Cost Estimation(依存関係・工期の分析)+ 実務補完(PMBOK クリティカルパス法)</t>
      </text>
    </comment>
    <comment ref="E28" authorId="0" shapeId="0">
      <text>
        <t>【意図】判定基準のあるマイルストーンがないと途中で計画との乖離を測る節目がなく、問題の発覚が納期直前まで遅れる。
【対象ドキュメント】swebok-v4.pdf ch09 SE Management &gt; 4.1 Determining Satisfaction of Requirements(主要マイルストーン/反復完了時の評価)</t>
      </text>
    </comment>
    <comment ref="E29" authorId="0" shapeId="0">
      <text>
        <t>【意図】見積りは本質的に誤差を含む(2.3)。バッファの扱いを明示しないと、各担当が暗黙に積んだ余裕が二重三重になるか、逆に余裕ゼロの脆い計画になる。
【対象ドキュメント】実務補完(クリティカルチェーン/バッファ管理。2.3 の見積り不確実性への対応)</t>
      </text>
    </comment>
    <comment ref="E30" authorId="0" shapeId="0">
      <text>
        <t>【意図】100%稼働前提の計画は会議・兼務・休暇で必ず崩れる。資源の実際の可用性を無視した計画は初月から遅延が常態化する。
【対象ドキュメント】swebok-v4.pdf ch09 SE Management &gt; 2.4 Resource Allocation(資源の可用性と最適利用による制約)</t>
      </text>
    </comment>
    <comment ref="E31" authorId="0" shapeId="0">
      <text>
        <t>【意図】スコープにあるのにWBSにない作業は見積り・スケジュールから漏れ、終盤に未計画作業として噴出する。逆にスコープ外作業の混入は無駄な工数消費になる。
【対象ドキュメント】swebok-v4.pdf ch09 SE Management &gt; 1.2 Feasibility Analysis(スコープステートメントとWBS)/ 実務補完(PMBOK スコープ管理)</t>
      </text>
    </comment>
    <comment ref="E32" authorId="0" shapeId="0">
      <text>
        <t>【意図】ソフトウェア見積りは誤りやすく、単一手法では系統的な偏りに気づけない。複数手法の併用は大幅な過小見積りを事前に検出する最も有効な手段である。
【対象ドキュメント】swebok-v4.pdf ch09 SE Management &gt; 2.3 Effort, Schedule, and Cost Estimation(multiple estimation approaches の使用)</t>
      </text>
    </comment>
    <comment ref="E33" authorId="0" shapeId="0">
      <text>
        <t>【意図】前提と除外が書かれていない見積りは、前提が崩れた際に「見積りが甘い」と単純化され、再交渉の根拠を失って無償の追加作業を飲まされる。
【対象ドキュメント】swebok-v4.pdf ch09 SE Management &gt; 2.3 Effort, Schedule, and Cost Estimation(ステークホルダー間での交渉・合意)</t>
      </text>
    </comment>
    <comment ref="E34" authorId="0" shapeId="0">
      <text>
        <t>【意図】一点見積りは不確実性を隠蔽し、楽観値が既成事実化して予算・納期のコミットになる。幅を示すことで意思決定者にリスクを正しく伝える。
【対象ドキュメント】swebok-v4.pdf ch09 SE Management &gt; 2.3 Effort, Schedule, and Cost Estimation(estimated range of effort)</t>
      </text>
    </comment>
    <comment ref="E35" authorId="0" shapeId="0">
      <text>
        <t>【意図】手法間の乖離は前提の誤りや見落とし作業のシグナルであり、突合せずに都合のよい値を採ると乖離原因ごと過小見積りを引き継ぐ。
【対象ドキュメント】swebok-v4.pdf ch09 SE Management &gt; 2.3 Effort, Schedule, and Cost Estimation(reconcile the differences among the estimates)</t>
      </text>
    </comment>
    <comment ref="E36" authorId="0" shapeId="0">
      <text>
        <t>【意図】見積りは反復的活動であり、更新契機がないと初期見積りが陳腐化したまま予実比較の基準になり続け、乖離報告が意味を失う。
【対象ドキュメント】swebok-v4.pdf ch09 SE Management &gt; 2.3 Effort, Schedule, and Cost Estimation(見積りは反復的に交渉・改訂される)</t>
      </text>
    </comment>
    <comment ref="E37" authorId="0" shapeId="0">
      <text>
        <t>【意図】工数→期間・金額の換算前提(単価・人数・稼働日)が不明だと、体制変更時に再計算できず、また換算誤り(人月と暦月の混同等)を検出できない。
【対象ドキュメント】swebok-v4.pdf ch09 SE Management &gt; 2.3 Effort, Schedule, and Cost Estimation(資源要求からコスト見積りへの変換)</t>
      </text>
    </comment>
    <comment ref="E38" authorId="0" shapeId="0">
      <text>
        <t>【意図】実装工数のみの見積りは管理・レビュー・環境構築等の実際には必ず発生する作業を漏らし、構造的な2〜4割の過小見積りになる。
【対象ドキュメント】swebok-v4.pdf ch09 SE Management &gt; 2.3 Effort, Schedule, and Cost Estimation + 実務補完(見積りWBSの網羅性)</t>
      </text>
    </comment>
    <comment ref="E39" authorId="0" shapeId="0">
      <text>
        <t>【意図】責任分担表がないと「誰かがやると思っていた」作業の抜けと、複数人が同じ判断権を主張する衝突の両方が起きる。
【対象ドキュメント】swebok-v4.pdf ch09 SE Management &gt; 2.3/2.4 Resource Allocation(RACI: responsible, accountable, consulted, informed)</t>
      </text>
    </comment>
    <comment ref="E40" authorId="0" shapeId="0">
      <text>
        <t>【意図】Accountableが複数いると意見対立時に決定が止まり、ゼロだと品質・完了の最終確認者が不在になる。説明責任の一意性は意思決定速度の生命線である。
【対象ドキュメント】swebok-v4.pdf ch09 SE Management &gt; 2.4 Resource Allocation(RACIマトリクス)+ 実務補完(A単一の原則)</t>
      </text>
    </comment>
    <comment ref="E41" authorId="0" shapeId="0">
      <text>
        <t>【意図】実行者のいないタスクは計画上存在しても永久に着手されない。全タスクに手を動かす人がいることを機械的に検証する。
【対象ドキュメント】swebok-v4.pdf ch09 SE Management &gt; 2.4 Resource Allocation(RACIマトリクス)</t>
      </text>
    </comment>
    <comment ref="E42" authorId="0" shapeId="0">
      <text>
        <t>【意図】必要スキルと現有要員のギャップを放置すると、担当割当は埋まっているのに品質・速度が出ない状態になり、原因特定が遅れる。
【対象ドキュメント】swebok-v4.pdf ch09 SE Management &gt; 2.4 Resource Allocation(人員の生産性・チーム構造への考慮)+ 序論(digital talent・スキル)</t>
      </text>
    </comment>
    <comment ref="E43" authorId="0" shapeId="0">
      <text>
        <t>【意図】環境・ライセンス等の手配漏れは着任した要員を遊ばせる形で顕在化し、人件費を垂れ流す。物的資源は人的資源より前倒しの手配が必要。
【対象ドキュメント】swebok-v4.pdf ch09 SE Management &gt; 2.4 Resource Allocation(equipment, facilities の割り当て)</t>
      </text>
    </comment>
    <comment ref="E44" authorId="0" shapeId="0">
      <text>
        <t>【意図】「品質リスク」のような抽象語では対応策が立てられない。原因→事象→影響の因果まで書かせることで、対応可能な単位にリスクを具体化する。
【対象ドキュメント】swebok-v4.pdf ch09 SE Management &gt; 2.5 Risk Management(risk register によるリスク要因の識別・記録)</t>
      </text>
    </comment>
    <comment ref="E45" authorId="0" shapeId="0">
      <text>
        <t>【意図】確率・影響の評価がないとリスクの優先順位付けができず、限られた対応資源が声の大きい人のリスクに流れて重大リスクが放置される。
【対象ドキュメント】swebok-v4.pdf ch09 SE Management &gt; 2.5 Risk Management(確率と影響の分析、優先順位付け)</t>
      </text>
    </comment>
    <comment ref="E46" authorId="0" shapeId="0">
      <text>
        <t>【意図】識別しただけのリスクは「知っていたのに何もしなかった」事故になる。戦略と具体アクションまで決めて初めてリスク管理は機能する。
【対象ドキュメント】swebok-v4.pdf ch09 SE Management &gt; 2.5 Risk Management(リスク軽減戦略の策定)</t>
      </text>
    </comment>
    <comment ref="E47" authorId="0" shapeId="0">
      <text>
        <t>【意図】責任者不在のリスク対応は誰も監視・実行せず、登録簿が書きっぱなしの儀式と化す。顕在化の兆候に最初に気づく人を決めておく。
【対象ドキュメント】実務補完(PMBOK リスクオーナー)</t>
      </text>
    </comment>
    <comment ref="E48" authorId="0" shapeId="0">
      <text>
        <t>【意図】トリガー条件がないと顕在化に気づくのが被害発生後になる。兆候を事前定義することで、対応計画を発動する客観的なタイミングを得る。
【対象ドキュメント】swebok-v4.pdf ch09 SE Management &gt; 3.4 Monitor Process(しきい値超過による例外識別)+ 実務補完(PMBOK リスクトリガー)</t>
      </text>
    </comment>
    <comment ref="E49" authorId="0" shapeId="0">
      <text>
        <t>【意図】顕在化済みの課題を「リスク」のまま管理すると、確率評価が無意味になるうえ即時対応が必要な問題が確率順の待ち行列に埋もれる。
【対象ドキュメント】実務補完(PMBOK リスク/課題管理の分離。2.5 のリスク定義に基づく区別)</t>
      </text>
    </comment>
    <comment ref="E50" authorId="0" shapeId="0">
      <text>
        <t>【意図】リスクは開始時だけでなく周期的に見直すべきもので、更新が止まった登録簿は環境変化で生じた新リスクを拾えず、監査用の形骸文書になる。
【対象ドキュメント】swebok-v4.pdf ch09 SE Management &gt; 2.5 Risk Management(プロジェクトライフサイクル全体での定期的実施)/ 3.4 Monitor Process(リスクプロファイルの再評価)</t>
      </text>
    </comment>
    <comment ref="E51" authorId="0" shapeId="0">
      <text>
        <t>【意図】情報不足由来の不確実性は確率評価そのものができない。調査・スパイク等で情報を獲得しない限り、見積りも判断も当て推量のままになる。
【対象ドキュメント】swebok-v4.pdf ch09 SE Management &gt; 2.5 Risk Management(不確実性=情報の欠如、リスクとの区別)</t>
      </text>
    </comment>
    <comment ref="E52" authorId="0" shapeId="0">
      <text>
        <t>【意図】大規模・高リスク案件で定性評価のみだと、スケジュール達成確率等を根拠を持って経営層に示せず、楽観的コミットが独り歩きする。
【対象ドキュメント】swebok-v4.pdf ch09 SE Management &gt; 2.5 Risk Management(意思決定木・プロセスシミュレーション)/ 7. リスクマネジメントツール(モンテカルロシミュレーション)</t>
      </text>
    </comment>
    <comment ref="E53" authorId="0" shapeId="0">
      <text>
        <t>【意図】受容と決めたリスクでも影響が大きいものは、発生時対応を事前に決めておかないと、顕在化した瞬間にゼロから対応を組み立てる混乱が起きる。
【対象ドキュメント】実務補完(PMBOK コンティンジェンシー計画)</t>
      </text>
    </comment>
    <comment ref="E54" authorId="0" shapeId="0">
      <text>
        <t>【意図】脅威のみに目を向けると、早期リリースや再利用による工数削減などの好機を組織的に取り逃がし、防御一辺倒の運営になる。
【対象ドキュメント】swebok-v4.pdf ch09 SE Management &gt; 2.5 Risk Management(機会=ポジティブリスクの扱い)</t>
      </text>
    </comment>
    <comment ref="E55" authorId="0" shapeId="0">
      <text>
        <t>【意図】全品質属性を同等に扱うことは不可能であり、重点属性を決めないと設計・テストの力点が定まらず、本当に守るべき品質(安全性等)が薄く広い活動に埋没する。
【対象ドキュメント】swebok-v4.pdf ch09 SE Management &gt; 2.6 Quality Management(品質属性の識別。ISO/IEC 25000系との整合)</t>
      </text>
    </comment>
    <comment ref="E56" authorId="0" shapeId="0">
      <text>
        <t>【意図】しきい値がないと「品質が良い/悪い」が主観になり、リリース可否判定が声の大きさで決まる。受入可能な測定値の基準を事前合意しておく。
【対象ドキュメント】swebok-v4.pdf ch09 SE Management &gt; 2.6 Quality Management(各品質要求への受入可能なしきい値の設定)</t>
      </text>
    </comment>
    <comment ref="E57" authorId="0" shapeId="0">
      <text>
        <t>【意図】SQA・V&amp;V・レビューが計画に位置づけられていないと、スケジュール圧迫時に真っ先に削られ、欠陥の検出が本番障害まで先送りされる。
【対象ドキュメント】swebok-v4.pdf ch09 SE Management &gt; 2.6 Quality Management(SQA・検証妥当性確認・レビューの手続を品質計画で規定)/ 2. 計画(SQAの手続と責任の確立)</t>
      </text>
    </comment>
    <comment ref="E58" authorId="0" shapeId="0">
      <text>
        <t>【意図】品質と納期のトレードオフは必ず発生する。判断権限者を決めておかないと、現場の暗黙判断で品質基準がなし崩しに緩められる。
【対象ドキュメント】swebok-v4.pdf ch09 SE Management &gt; 3.5 Control Process(監視結果に基づく是正・計画変更の意思決定)+ 実務補完(品質ゲート運用)</t>
      </text>
    </comment>
    <comment ref="E59" authorId="0" shapeId="0">
      <text>
        <t>【意図】ステークホルダーの識別漏れは、終盤での「聞いていない」という差し戻しや、運用部門・顧客の要求の丸ごと欠落として跳ね返る。
【対象ドキュメント】swebok-v4.pdf ch09 SE Management &gt; 1.1 Determination and Negotiation of Requirements(各ステークホルダー視点の考慮)+ 実務補完(PMBOK ステークホルダーマネジメント)</t>
      </text>
    </comment>
    <comment ref="E60" authorId="0" shapeId="0">
      <text>
        <t>【意図】影響度・関与度を評価しないと、決定権を持つ人への働きかけが不足したまま、影響力の小さい相手との調整に工数を費やす配分ミスが起きる。
【対象ドキュメント】実務補完(PMBOK ステークホルダー分析)</t>
      </text>
    </comment>
    <comment ref="E61" authorId="0" shapeId="0">
      <text>
        <t>【意図】報告の宛先・内容・頻度・手段が決まっていないと、必要な人に必要な情報が届かず、問題の共有遅れと「知らされていなかった」ことによる信頼失墜を招く。
【対象ドキュメント】swebok-v4.pdf ch09 SE Management &gt; 3.6 Reporting(合意された時期に、対象読者の情報ニーズに合わせて報告)</t>
      </text>
    </comment>
    <comment ref="E62" authorId="0" shapeId="0">
      <text>
        <t>【意図】エスカレーション基準がないと、現場が問題を抱え込んで報告が遅れ、上位者が対処できる時期を過ぎてから重大問題が露見する。
【対象ドキュメント】swebok-v4.pdf ch09 SE Management &gt; 3.4 Monitor Process(しきい値超過時の報告)+ 実務補完(エスカレーションルール)</t>
      </text>
    </comment>
    <comment ref="E63" authorId="0" shapeId="0">
      <text>
        <t>【意図】決定権限と記録方法が不明だと、決定が蒸し返されて同じ議論を繰り返し、後から「そんな決定は聞いていない」という紛争の火種になる。
【対象ドキュメント】swebok-v4.pdf ch09 SE Management &gt; 3.5 Control Process(決定の文書化と関係者への伝達)</t>
      </text>
    </comment>
    <comment ref="E64" authorId="0" shapeId="0">
      <text>
        <t>【意図】計画との定量比較がない進捗報告は「順調です」という主観の伝聞になり、遅延の兆候が数字として現れているのに誰も気づかない状態を生む。
【対象ドキュメント】swebok-v4.pdf ch09 SE Management &gt; 3.4 Monitor Process(差異分析: コスト超過・スケジュール遅延の分析)</t>
      </text>
    </comment>
    <comment ref="E65" authorId="0" shapeId="0">
      <text>
        <t>【意図】しきい値と是正処置の仕組みがないと、乖離が報告されても「様子見」が続き、是正のタイミングを逃して乖離が回復不能になる。
【対象ドキュメント】swebok-v4.pdf ch09 SE Management &gt; 3.4 Monitor Process(しきい値超過に基づく問題検出)/ 3.5 Control Process(是正処置)</t>
      </text>
    </comment>
    <comment ref="E66" authorId="0" shapeId="0">
      <text>
        <t>【意図】根拠のない「90%完了」は残り10%に半分の期間を費やす典型パターンを隠す。成果物の検証可能な完了状態で測ることで進捗の水増しを防ぐ。
【対象ドキュメント】swebok-v4.pdf ch09 SE Management &gt; 3.4 Monitor Process(成果物の評価: インスペクション・動作デモによる確認)</t>
      </text>
    </comment>
    <comment ref="E67" authorId="0" shapeId="0">
      <text>
        <t>【意図】進捗報告にリスク・課題の変化が含まれないと、スケジュールは順調でもリスクが悪化している状況を経営層が把握できず、支援判断が遅れる。
【対象ドキュメント】swebok-v4.pdf ch09 SE Management &gt; 3.4 Monitor Process(リスクプロファイルの再訪とリスクエクスポージャの再計算)</t>
      </text>
    </comment>
    <comment ref="E68" authorId="0" shapeId="0">
      <text>
        <t>【意図】根拠のない総合判定は担当者の楽観バイアスを素通しにし、「ずっと緑だったのに突然赤になる」ウォーターメロン報告を生む。
【対象ドキュメント】swebok-v4.pdf ch09 SE Management &gt; 3.6 Reporting + 3.4 Monitor Process(測定データ分析に基づく報告)</t>
      </text>
    </comment>
    <comment ref="E69" authorId="0" shapeId="0">
      <text>
        <t>【意図】依頼・相談事項の区分がないと、現場が上位の支援で解決できる問題を抱え込み、報告が「聞き置くだけ」の儀式になる。
【対象ドキュメント】swebok-v4.pdf ch09 SE Management &gt; 3.6 Reporting(対象読者の情報ニーズに焦点を当てた報告)+ 実務補完(報告書式)</t>
      </text>
    </comment>
    <comment ref="E70" authorId="0" shapeId="0">
      <text>
        <t>【意図】ベースライン変更の記録がないと、予実比較の基準がいつの計画か分からなくなり、無断の計画書き換えによる「常に予定通り」の偽装を許す。
【対象ドキュメント】swebok-v4.pdf ch09 SE Management &gt; 3.5 Control Process(計画改訂の文書化)/ 2.7 Plan Management</t>
      </text>
    </comment>
    <comment ref="E71" authorId="0" shapeId="0">
      <text>
        <t>【意図】中止条件を事前に決めていないと、サンクコストに引きずられて失敗案件への投資が続き、撤退判断が政治問題化して損失が拡大する。
【対象ドキュメント】swebok-v4.pdf ch09 SE Management &gt; 2.5 Risk Management(project abandonment conditions)/ 3.5 Control Process(プロジェクト中止に至る統制)</t>
      </text>
    </comment>
    <comment ref="E72" authorId="0" shapeId="0">
      <text>
        <t>【意図】COTS/OSS/SaaS等は区分ごとにライセンス・サポート・責任構造が異なる。区分を識別しないと、それぞれに必要な管理(ライセンス確認、契約交渉等)が漏れる。
【対象ドキュメント】swebok-v4.pdf ch09 SE Management &gt; 3.2 Software Acquisition and Supplier Contract Management(取得区分: COTS/専用開発/OSS/顧客貸与/SaaS)</t>
      </text>
    </comment>
    <comment ref="E73" authorId="0" shapeId="0">
      <text>
        <t>【意図】取得物を無検証で組み込むと、要求・アーキテクチャとの不整合が統合後に発覚し、外部due物ゆえに修正交渉も長期化する。受入検証と統合後の妥当性確認で防ぐ。
【対象ドキュメント】swebok-v4.pdf ch09 SE Management &gt; 3.2 Software Acquisition and Supplier Contract Management(取得コンポーネントの検証・統合・妥当性確認)</t>
      </text>
    </comment>
    <comment ref="E74" authorId="0" shapeId="0">
      <text>
        <t>【意図】外部ライブラリの安易な取得は攻撃対象領域を拡大し、サプライチェーン攻撃や混入脆弱性の侵入経路になる。取得の容易さに統制が追いつかない事態を防ぐ。
【対象ドキュメント】swebok-v4.pdf ch09 SE Management &gt; 3.2 Software Acquisition and Supplier Contract Management(取得の容易化による攻撃面拡大と統制の導入)</t>
      </text>
    </comment>
    <comment ref="E75" authorId="0" shapeId="0">
      <text>
        <t>【意図】OSSライセンスの確認漏れは、成果物の配布時にコード公開義務や利用差し止めという法的リスクとして顕在化し、リリース直前の作り直しを強いる。
【対象ドキュメント】swebok-v4.pdf ch09 SE Management &gt; 3.2 Software Acquisition and Supplier Contract Management(OSSのライセンス制限の確認)</t>
      </text>
    </comment>
    <comment ref="E76" authorId="0" shapeId="0">
      <text>
        <t>【意図】報告頻度・受入基準・責任分界が曖昧な委託は、納品直前まで進捗の実態が見えず、不合格品を受け取っても契約上争えない事態を招く。
【対象ドキュメント】swebok-v4.pdf ch09 SE Management &gt; 3.2 Software Acquisition and Supplier Contract Management(合意内容の管理と契約遵守の監視)</t>
      </text>
    </comment>
    <comment ref="E77" authorId="0" shapeId="0">
      <text>
        <t>【意図】知財帰属や遅延条項が曖昧な契約は、納品物を自社で改修できない・遅延損害を請求できないという形で、プロジェクト終盤や保守段階に法的・金銭的損失をもたらす。
【対象ドキュメント】swebok-v4.pdf ch09 SE Management &gt; 3.2 Software Acquisition and Supplier Contract Management(契約形態・知的財産・特別条項)</t>
      </text>
    </comment>
    <comment ref="E78" authorId="0" shapeId="0">
      <text>
        <t>【意図】マイルストーン/反復完了時の要求充足判定を計画しておかないと、要求との乖離が最終受入まで発見されず、手戻りコストが最大化する。
【対象ドキュメント】swebok-v4.pdf ch09 SE Management &gt; 4.1 Determining Satisfaction of Requirements(マイルストーン・反復完了時の周期的評価)</t>
      </text>
    </comment>
    <comment ref="E79" authorId="0" shapeId="0">
      <text>
        <t>【意図】手法・ツール・プロセスの有効性を評価しないと、機能していないプロセスが惰性で続き、問題の原因が個人の力量問題にすり替えられる。
【対象ドキュメント】swebok-v4.pdf ch09 SE Management &gt; 4.2 Reviewing and Evaluating Performance(手法・ツール・プロセスの有効性・適切性の評価)</t>
      </text>
    </comment>
    <comment ref="E80" authorId="0" shapeId="0">
      <text>
        <t>【意図】完了基準に照らさず関係者合意も文書化しない終結は、「終わったはず」の作業の蒸し返しや、未達成項目の責任を巡る紛争を残す。
【対象ドキュメント】swebok-v4.pdf ch09 SE Management &gt; 5.1 Determining Closure(完了基準の達成確認とステークホルダー受入の文書化)</t>
      </text>
    </comment>
    <comment ref="E81" authorId="0" shapeId="0">
      <text>
        <t>【意図】振り返りなしにプロジェクトを閉じると、同じ失敗(見積り誤り、体制問題等)を次案件で組織的に繰り返す。教訓は具体策まで落として初めて再利用可能になる。
【対象ドキュメント】swebok-v4.pdf ch09 SE Management &gt; 5.2 Closure Activities(レトロスペクティブ分析と教訓の組織学習への反映)</t>
      </text>
    </comment>
    <comment ref="E82" authorId="0" shapeId="0">
      <text>
        <t>【意図】アーカイブ漏れは保守段階で必要な情報の喪失に、機密情報の破棄漏れは廃棄機器からの情報漏洩事故につながる。
【対象ドキュメント】swebok-v4.pdf ch09 SE Management &gt; 5.2 Closure Activities(合意されたルールによるアーカイブと機密情報・媒体の破棄)</t>
      </text>
    </comment>
    <comment ref="E83" authorId="0" shapeId="0">
      <text>
        <t>【意図】実績データを組織に還元しないと、次案件の見積りが毎回ゼロから当て推量になり、組織として見積り精度が永久に向上しない。
【対象ドキュメント】swebok-v4.pdf ch09 SE Management &gt; 5.2 Closure Activities(組織の測定データベースの更新)</t>
      </text>
    </comment>
    <comment ref="E84" authorId="0" shapeId="0">
      <text>
        <t>【意図】SWEBOKが強調するとおりソフトウェア失敗の多くは人的・社会的要因に起因する。チームの不和や過負荷の兆候を拾う仕組みがないと、離脱や品質低下という形で突然顕在化する。
【対象ドキュメント】swebok-v4.pdf ch09 SE Management &gt; 4.2 Reviewing and Evaluating Performance(要員パフォーマンスの定期レビュー)</t>
      </text>
    </comment>
    <comment ref="E85" authorId="0" shapeId="0">
      <text>
        <t>【意図】情報ニーズと紐付かない測定は「集めるだけの数字」になり、収集コストだけかかって意思決定に使われず、測定活動全体への不信を生む。
【対象ドキュメント】swebok-v4.pdf ch09 SE Management &gt; 6.2 Plan the Measurement Process(情報ニーズの識別と、それにリンクした尺度の選択)</t>
      </text>
    </comment>
    <comment ref="E86" authorId="0" shapeId="0">
      <text>
        <t>【意図】収集・分析・報告の手順が曖昧だと、データが人により異なる方法で集められて比較不能になり、測定結果の信頼性が崩れる。
【対象ドキュメント】swebok-v4.pdf ch09 SE Management &gt; 6.2 Plan the Measurement Process(データ収集・分析・報告手続の定義)/ 6.3 Perform the Measurement Process</t>
      </text>
    </comment>
    <comment ref="E87" authorId="0" shapeId="0">
      <text>
        <t>【意図】評価基準のない測定値は「で、この数字は良いのか悪いのか」に答えられず、報告されても行動につながらない。
【対象ドキュメント】swebok-v4.pdf ch09 SE Management &gt; 6.2 Plan the Measurement Process(情報成果物の評価基準の選定)</t>
      </text>
    </comment>
    <comment ref="E88" authorId="0" shapeId="0">
      <text>
        <t>【意図】測定プロセス自体を評価しないと、役に立たなくなった指標の収集が惰性で続き、改善機会(指標の変更・再分類)が放置される。
【対象ドキュメント】swebok-v4.pdf ch09 SE Management &gt; 6.4 Evaluate Measurement(評価基準に照らした測定の評価と改善の識別)</t>
      </text>
    </comment>
    <comment ref="E89" authorId="0" shapeId="0">
      <text>
        <t>【意図】測定が個人査定に使われるとデータ提供者が数字を操作・隠蔽するようになり、測定プログラム全体が信頼できないデータの上に崩壊する。
【対象ドキュメント】swebok-v4.pdf ch09 SE Management &gt; 6.3 Perform the Measurement Process(モラール・人的要因への配慮と測定の受容)</t>
      </text>
    </comment>
    <comment ref="E90" authorId="0" shapeId="0">
      <text>
        <t>【意図】資源の裏付けのない測定計画は「片手間でやる」まま形骸化し、収集の中断・欠測でデータの時系列が壊れて以後の分析が不能になる。
【対象ドキュメント】swebok-v4.pdf ch09 SE Management &gt; 6.1 Establish and Sustain Measurement Commitment(測定コミットメントの確立と資源割り当て)</t>
      </text>
    </comment>
    <comment ref="E91" authorId="0" shapeId="0">
      <text>
        <t>【意図】版数・履歴のない文書は、関係者が異なる版を見て作業する事故や、変更の経緯・責任が追えない状態を生む。
【対象ドキュメント】実務補完(文書管理の一般原則。SCM KAの構成識別に関連)</t>
      </text>
    </comment>
    <comment ref="E92" authorId="0" shapeId="0">
      <text>
        <t>【意図】同一概念の表記揺れは読み手ごとの解釈差を生み、要求・計画の誤解として下流工程の手戻りに変換される。
【対象ドキュメント】実務補完(文書品質の一般原則)</t>
      </text>
    </comment>
    <comment ref="E93" authorId="0" shapeId="0">
      <text>
        <t>【意図】憲章と計画書とWBSでスコープや体制が食い違うと、どれが正かを巡る混乱と、古い文書に基づく誤った作業が発生する。
【対象ドキュメント】swebok-v4.pdf ch09 SE Management &gt; 2.7 Plan Management(計画と関連文書の整合的な改訂)+ 実務補完(文書間トレーサビリティ)</t>
      </text>
    </comment>
    <comment ref="E94" authorId="0" shapeId="0">
      <text>
        <t>【意図】期限も担当もないTBDは永久に解消されず、未決事項が暗黙の前提として下流に流れて手遅れの段階で顕在化する。
【対象ドキュメント】実務補完(文書品質の一般原則)</t>
      </text>
    </comment>
  </commentList>
</comments>
</file>

<file path=xl/comments/comment10.xml><?xml version="1.0" encoding="utf-8"?>
<comments xmlns="http://schemas.openxmlformats.org/spreadsheetml/2006/main">
  <authors>
    <author>SWEBOKレビューハーネス</author>
  </authors>
  <commentList>
    <comment ref="E2" authorId="0" shapeId="0">
      <text>
        <t>【意図】適用範囲が曖昧だと、適用すべき作業にプロセスが適用されない/対象外の作業へ過剰適用される混乱が起き、テーラリングや監査の判定基準も定まらなくなる。
【対象ドキュメント】swebok-v4.pdf ch10 SE Process &gt; 1.2 Software Engineering Process Definition / 2.8 Software Life Cycle Adaptation</t>
      </text>
    </comment>
    <comment ref="E3" authorId="0" shapeId="0">
      <text>
        <t>【意図】拠り所となる標準が特定されていないと、テーラリングの出発点や監査の基準が判別できず、標準改訂時の追従もできなくなる。
【対象ドキュメント】swebok-v4.pdf ch10 SE Process &gt; 2.3 The Concepts of Process Models and Life Cycle Models(標準の活動をSLCMへマッピング)/ 2.8</t>
      </text>
    </comment>
    <comment ref="E4" authorId="0" shapeId="0">
      <text>
        <t>【意図】イテレーション・増分などの用語解釈が人により異なると、計画・進捗報告・完成判定で認識齟齬が生じ手戻りにつながる。
【対象ドキュメント】swebok-v4.pdf ch10 SE Process &gt; 2.1 Life Cycle Definition, Process Categories, and Terminology</t>
      </text>
    </comment>
    <comment ref="E5" authorId="0" shapeId="0">
      <text>
        <t>【意図】入力・活動・出力のいずれかを欠くプロセスは実行も監査もできず、前工程からの受け取り漏れや成果物の出し忘れが発生する。プロセスの記述は入力・変換活動・出力を含むというのがSWEBOKの定義。
【対象ドキュメント】swebok-v4.pdf ch10 SE Process &gt; 1.2 Software Engineering Process Definition</t>
      </text>
    </comment>
    <comment ref="E6" authorId="0" shapeId="0">
      <text>
        <t>【意図】規制・契約由来の統制の記載漏れは、後になってコンプライアンス違反や大規模な手戻りとして顕在化する。
【対象ドキュメント】swebok-v4.pdf ch10 SE Process &gt; 1.2(controls: directives and constraints)</t>
      </text>
    </comment>
    <comment ref="E7" authorId="0" shapeId="0">
      <text>
        <t>【意図】ツール・技法・人的資源が特定されていないプロセスは机上の定義に終わり、実行段階で環境・要員不足により停止する。
【対象ドキュメント】swebok-v4.pdf ch10 SE Process &gt; 1.2(enabling mechanisms: tools, technologies, workforce, infrastructure)</t>
      </text>
    </comment>
    <comment ref="E8" authorId="0" shapeId="0">
      <text>
        <t>【意図】担当役割のない活動は誰も実施せず放置され、工程遅延や品質活動の欠落として後から顕在化する。
【対象ドキュメント】swebok-v4.pdf ch10 SE Process &gt; 1.2 / 2.9 Practical Considerations(組織プロセス・人的資源の考慮)</t>
      </text>
    </comment>
    <comment ref="E9" authorId="0" shapeId="0">
      <text>
        <t>【意図】作業活動としてのプロセスとソフトウェア実行(運用)を混同すると、読み手が記述対象を誤解し、監視・改善の対象設定を誤る。SWEBOKは本KAで process は作業活動を指すと明示的に区別している。
【対象ドキュメント】swebok-v4.pdf ch10 SE Process &gt; 1.1 Introduction(process=work activities, not the execution of software)</t>
      </text>
    </comment>
    <comment ref="E10" authorId="0" shapeId="0">
      <text>
        <t>【意図】変更履歴がないとどの版が有効か判別できず、旧版に従った作業による手戻りや監査時の証跡欠如が起きる。
【対象ドキュメント】swebok-v4.pdf ch10 SE Process &gt; 2.1 プロセスカテゴリ(技術マネジメント:構成管理・情報管理プロセス)</t>
      </text>
    </comment>
    <comment ref="E11" authorId="0" shapeId="0">
      <text>
        <t>【意図】未承認の文書が事実上の標準として使われると、権限のないルールが現場を拘束し、監査・紛争時にその効力が否定される。
【対象ドキュメント】実務補完(品質マネジメントシステムの文書管理慣行)</t>
      </text>
    </comment>
    <comment ref="E12" authorId="0" shapeId="0">
      <text>
        <t>【意図】モデル未選定のまま進むと、変更受け入れ方針やリリース戦略が場当たりになり、計画と実態が乖離する。SWEBOKは予測型・反復型・進化型・インクリメンタル型・継続的開発を主要パラダイムとして挙げる。
【対象ドキュメント】swebok-v4.pdf ch10 SE Process &gt; 2.4 Some Paradigms for Development Life Cycle Models</t>
      </text>
    </comment>
    <comment ref="E13" authorId="0" shapeId="0">
      <text>
        <t>【意図】製品・ステークホルダーの特性と無関係にモデルを選ぶと(流行でのアジャイル採用等)、要求変動や契約形態と噛み合わず途中で破綻する。適したライフサイクルはこれらの特性を考慮して定めるべきというのがSWEBOKの立場。
【対象ドキュメント】swebok-v4.pdf ch10 SE Process &gt; 2.4 / 2.9 Practical Considerations(製品特性・ステークホルダー特性の考慮)</t>
      </text>
    </comment>
    <comment ref="E14" authorId="0" shapeId="0">
      <text>
        <t>【意図】要求変更の方針が不明だと、確定後の変更を巡り顧客と紛争になったり、無秩序な変更でスコープが膨張する。変更に開いているか閉じているかはライフサイクル選定の中核的性質。
【対象ドキュメント】swebok-v4.pdf ch10 SE Process &gt; 2.4(open/closed to change、関係者の交渉による変更)</t>
      </text>
    </comment>
    <comment ref="E15" authorId="0" shapeId="0">
      <text>
        <t>【意図】比較検討の記録がないと選定の妥当性を後から検証できず、問題発生時に代替モデルへの切替判断も遅れる。
【対象ドキュメント】swebok-v4.pdf ch10 SE Process &gt; 2.3 / 2.4(複数のライフサイクルモデルの存在と選択)</t>
      </text>
    </comment>
    <comment ref="E16" authorId="0" shapeId="0">
      <text>
        <t>【意図】段階の開始・終了基準がないと、未完成のまま次段階へ進む「なし崩し移行」が起き、欠陥発見が後ろ倒しになる。
【対象ドキュメント】swebok-v4.pdf ch10 SE Process &gt; 2.6 The Management of SLCPs(Concept〜Retirementの6段階)</t>
      </text>
    </comment>
    <comment ref="E17" authorId="0" shapeId="0">
      <text>
        <t>【意図】イテレーション長や増分の完成判定が曖昧だと、「動くが完成していない」増分が積み上がり、リリース判断ができなくなる。イテレーションの長さはプロジェクトごとに定義するとSWEBOKも明記。
【対象ドキュメント】swebok-v4.pdf ch10 SE Process &gt; 2.4(iterative/incremental life cycle、イテレーション期間の定義)</t>
      </text>
    </comment>
    <comment ref="E18" authorId="0" shapeId="0">
      <text>
        <t>【意図】高リスク案件でリスク低減を先送りすると、後半に致命的問題が露見し回復不能になる。リスク駆動のスパイラルモデルはこれを防ぐために反復をリスクで駆動する。
【対象ドキュメント】swebok-v4.pdf ch10 SE Process &gt; 2.5(スパイラルモデル:進化的かつリスク駆動)</t>
      </text>
    </comment>
    <comment ref="E19" authorId="0" shapeId="0">
      <text>
        <t>【意図】頻繁なリリースが求められる案件で手動リリースのままだと、リリース作業自体がボトルネック・事故源になる。自動化ツールによるステージング/テスト環境への頻繁なリリースが継続的開発の定義。
【対象ドキュメント】swebok-v4.pdf ch10 SE Process &gt; 2.4 Continuous development / 2.5(DevOps)</t>
      </text>
    </comment>
    <comment ref="E20" authorId="0" shapeId="0">
      <text>
        <t>【意図】プラクティスを特定しない「アジャイルで進める」宣言は実行内容が定まらず、チームごとの解釈のばらつきで形骸化する。アジャイルは価値観・原則とプラクティスを明確に区別する。
【対象ドキュメント】swebok-v4.pdf ch10 SE Process &gt; 2.5(values/principles と practices の区別)</t>
      </text>
    </comment>
    <comment ref="E21" authorId="0" shapeId="0">
      <text>
        <t>【意図】「アジャイル=文書不要」の誤解は要求・設計情報の喪失を招き、保守・引き継ぎ不能に陥る。アジャイルマニフェストも文書は必要としているとSWEBOKは明記する。
【対象ドキュメント】swebok-v4.pdf ch10 SE Process &gt; 2.5(アジャイルを巡る誤解:文書不要・高速・手法そのもの等)</t>
      </text>
    </comment>
    <comment ref="E22" authorId="0" shapeId="0">
      <text>
        <t>【意図】大規模適用の難しさを無視すると、チーム間の依存・統合が管理されず、イテレーション末の統合破綻や優先順位の衝突が繰り返される。
【対象ドキュメント】swebok-v4.pdf ch10 SE Process &gt; 2.5 Development Life Cycle Models(大規模プロジェクト・ポートフォリオへのアジャイルのスケーリング)</t>
      </text>
    </comment>
    <comment ref="E23" authorId="0" shapeId="0">
      <text>
        <t>【意図】遷移が未定義だと、差し戻しや段階の並行実施が場当たりに行われ、どの段階の統制下にあるか不明な作業が発生して監視・管理が破綻する。
【対象ドキュメント】swebok-v4.pdf ch10 SE Process &gt; 2.6 The Management of SLCPs(段階は逐次とは限らず、ライフサイクル仕様は段階間の遷移を含む)</t>
      </text>
    </comment>
    <comment ref="E24" authorId="0" shapeId="0">
      <text>
        <t>【意図】4カテゴリのいずれかの検討漏れがあると、契約(合意)や組織支援などの側面が無計画になり、技術作業は進んでも調達・体制で頓挫する。
【対象ドキュメント】swebok-v4.pdf ch10 SE Process &gt; 2.1(技術/技術マネジメント/組織のプロジェクト実現/合意の4プロセスカテゴリ)</t>
      </text>
    </comment>
    <comment ref="E25" authorId="0" shapeId="0">
      <text>
        <t>【意図】検証・妥当性確認・保守などの技術プロセスが欠落すると、成果物が作られても品質確認・引き渡し・維持ができない事態を招く。
【対象ドキュメント】swebok-v4.pdf ch10 SE Process &gt; 2.1(技術プロセスの内訳:要求定義〜Disposal)</t>
      </text>
    </comment>
    <comment ref="E26" authorId="0" shapeId="0">
      <text>
        <t>【意図】計画・リスク管理・構成管理・測定・品質保証が未定義だと、技術作業は進んでも統制が効かず、進捗不明や版管理事故が起きる。
【対象ドキュメント】swebok-v4.pdf ch10 SE Process &gt; 2.1(技術マネジメントプロセスの内訳)</t>
      </text>
    </comment>
    <comment ref="E27" authorId="0" shapeId="0">
      <text>
        <t>【意図】インフラ・人的資源など組織側プロセスへの依存を明示しないと、プロジェクト側で解決できない前提が崩れた際の対応が後手に回る。
【対象ドキュメント】swebok-v4.pdf ch10 SE Process &gt; 2.1(組織のプロジェクト実現プロセス)/ 2.9</t>
      </text>
    </comment>
    <comment ref="E28" authorId="0" shapeId="0">
      <text>
        <t>【意図】取得・供給の手続きが未定義だと、外部委託の検収基準や納品条件が曖昧になり、契約紛争や受け入れ不能な納品物の受領につながる。
【対象ドキュメント】swebok-v4.pdf ch10 SE Process &gt; 2.1(合意プロセス:Acquisition/Supply)</t>
      </text>
    </comment>
    <comment ref="E29" authorId="0" shapeId="0">
      <text>
        <t>【意図】あるプロセスの出力は他プロセスの入力であり相互依存するため、受け渡しが不明だと入力待ちの停滞や成果物の重複作成が発生する。
【対象ドキュメント】swebok-v4.pdf ch10 SE Process &gt; 2.2 Rationale for Life Cycles(プロセスの相互関連性)</t>
      </text>
    </comment>
    <comment ref="E30" authorId="0" shapeId="0">
      <text>
        <t>【意図】技術・技術マネジメント・経営(組織)の3層の意思決定が混在すると、現場で決めてよいことまで上位承認を待つ、逆に組織決定を現場が覆すなどの混乱が生じる。
【対象ドキュメント】swebok-v4.pdf ch10 SE Process &gt; 2.7 Software Engineering Process Management(3つのマネジメント階層)</t>
      </text>
    </comment>
    <comment ref="E31" authorId="0" shapeId="0">
      <text>
        <t>【意図】運用・支援・退役段階の扱いを決めないと、リリース後の保守責任が宙に浮き、退役時の処分手続きが無計画になる。
【対象ドキュメント】swebok-v4.pdf ch10 SE Process &gt; 2.6(Utilization/Support/Retirement 段階)</t>
      </text>
    </comment>
    <comment ref="E32" authorId="0" shapeId="0">
      <text>
        <t>【意図】出発点の標準が不明なテーラリングは適応の妥当性を検証できず、標準改訂への追従や監査対応が不可能になる。適応は適切な標準・組織内文書の選択を含むとSWEBOKは定める。
【対象ドキュメント】swebok-v4.pdf ch10 SE Process &gt; 2.8 Software Life Cycle Adaptation</t>
      </text>
    </comment>
    <comment ref="E33" authorId="0" shapeId="0">
      <text>
        <t>【意図】追加・変更・省略が記録されないと、標準との乖離が「暗黙の逸脱」となり、必要な活動の省略に誰も気づけないまま進行する。決定と根拠の文書化は適応の必須要素。
【対象ドキュメント】swebok-v4.pdf ch10 SE Process &gt; 2.8(decisions and rationale の文書化)</t>
      </text>
    </comment>
    <comment ref="E34" authorId="0" shapeId="0">
      <text>
        <t>【意図】根拠のない省略は、後から「なぜこの活動がないのか」を誰も説明できず、状況変化時に活動を復活させる判断もできなくする。
【対象ドキュメント】swebok-v4.pdf ch10 SE Process &gt; 2.8(rationale の文書化)</t>
      </text>
    </comment>
    <comment ref="E35" authorId="0" shapeId="0">
      <text>
        <t>【意図】承認記録のないテーラリングは個人判断による標準逸脱と区別がつかず、組織としての正当性を持たない。
【対象ドキュメント】実務補完(ISO/IEC/IEEE 12207 テーラリングプロセスの承認慣行)</t>
      </text>
    </comment>
    <comment ref="E36" authorId="0" shapeId="0">
      <text>
        <t>【意図】規制・契約で必須の活動まで省略されると、法令違反・契約不履行という回復困難な事態になる。統制(directives/constraints)はプロセス定義の構成要素。
【対象ドキュメント】swebok-v4.pdf ch10 SE Process &gt; 1.2(controls)/ 2.8</t>
      </text>
    </comment>
    <comment ref="E37" authorId="0" shapeId="0">
      <text>
        <t>【意図】特性評価の軸と方法がないと、テーラリングが担当者の勘に依存し案件ごとに判断がぶれる。適応は関連特性すべての識別から始まるとSWEBOKは定める。
【対象ドキュメント】swebok-v4.pdf ch10 SE Process &gt; 2.8(identifying all the relevant characteristics)/ 2.9</t>
      </text>
    </comment>
    <comment ref="E38" authorId="0" shapeId="0">
      <text>
        <t>【意図】特性評価とプロセス選択の対応がないと、評価が形式だけになり実際のプロセス・段階の選択に反映されない。
【対象ドキュメント】swebok-v4.pdf ch10 SE Process &gt; 2.8(特性に基づく戦略・モデル・段階・プロセスの選択)</t>
      </text>
    </comment>
    <comment ref="E39" authorId="0" shapeId="0">
      <text>
        <t>【意図】エスカレーション手順がないと、ガイド範囲外の逸脱が現場判断で行われ、統制外のプロセスが発生する。
【対象ドキュメント】実務補完(テーラリングガバナンスの一般慣行)</t>
      </text>
    </comment>
    <comment ref="E40" authorId="0" shapeId="0">
      <text>
        <t>【意図】超小規模チームにフル規格を強いると文書負荷で開発が停滞する。SWEBOKはVSE向けにISO/IEC/IEEE 12207から派生した ISO/IEC 29110 シリーズを挙げている。
【対象ドキュメント】swebok-v4.pdf ch10 SE Process &gt; 2.8(ISO/IEC 29110 for Very Small Entities)</t>
      </text>
    </comment>
    <comment ref="E41" authorId="0" shapeId="0">
      <text>
        <t>【意図】見直し時期を定めないと、初期の前提が変わってもテーラリングが固定され、実態と乖離したプロセスが残り続ける。
【対象ドキュメント】swebok-v4.pdf ch10 SE Process &gt; 3.1(PDCAによる継続的改善)/ 実務補完</t>
      </text>
    </comment>
    <comment ref="E42" authorId="0" shapeId="0">
      <text>
        <t>【意図】目的のない測定は「測れるものを測るだけ」になり、意思決定に使えないデータの収集にコストを浪費する。測定可能な目標の設定がGQM/品質改善パラダイムの起点。
【対象ドキュメント】swebok-v4.pdf ch10 SE Process &gt; 3.2 Goal Question Metric (GQM)</t>
      </text>
    </comment>
    <comment ref="E43" authorId="0" shapeId="0">
      <text>
        <t>【意図】Goalに遡れないメトリクスは意思決定に使われず、収集負荷と数値操作の温床だけが残る。
【対象ドキュメント】swebok-v4.pdf ch10 SE Process &gt; 3.2 GQM</t>
      </text>
    </comment>
    <comment ref="E44" authorId="0" shapeId="0">
      <text>
        <t>【意図】定義が曖昧なメトリクスは算出者によって値が変わり、傾向比較や目標判定が無意味になる。測定はプロセス・製品の状態を正確に伝えるべきというのがSWEBOKの要請。
【対象ドキュメント】swebok-v4.pdf ch10 SE Process &gt; 2.9 Practical Considerations(正確な測定情報の提供)</t>
      </text>
    </comment>
    <comment ref="E45" authorId="0" shapeId="0">
      <text>
        <t>【意図】収集の方法・頻度・責任が決まっていないと測定が計画倒れになりデータが揃わず、モニタリングも改善効果の評価も不能になる。
【対象ドキュメント】swebok-v4.pdf ch10 SE Process &gt; 2.1(技術マネジメント:測定プロセス)/ 実務補完(測定プロセスの運用慣行)</t>
      </text>
    </comment>
    <comment ref="E46" authorId="0" shapeId="0">
      <text>
        <t>【意図】判断基準のない数値は「集めて眺めるだけ」になり、逸脱に気づいても是正のトリガーとして機能しない。
【対象ドキュメント】swebok-v4.pdf ch10 SE Process &gt; 2.11(プロセス目標の達成状況の評価)</t>
      </text>
    </comment>
    <comment ref="E47" authorId="0" shapeId="0">
      <text>
        <t>【意図】プロセス指標だけではプロセスの目的(ステークホルダーのニーズを満たす製品を得ること)を見失う。プロセスと製品の双方を統合的に評価せよというのが2.11の要請。
【対象ドキュメント】swebok-v4.pdf ch10 SE Process &gt; 2.11(プロセスと製品の joint, holistic な評価)</t>
      </text>
    </comment>
    <comment ref="E48" authorId="0" shapeId="0">
      <text>
        <t>【意図】単独指標での断定や数値操作(行数稼ぎ等)を放置すると、指標は改善しているのに実態は悪化する乖離が生じる。
【対象ドキュメント】実務補完(測定プログラム運用の一般慣行)</t>
      </text>
    </comment>
    <comment ref="E49" authorId="0" shapeId="0">
      <text>
        <t>【意図】欠測・異常値を放置すると、誤ったデータに基づく誤った改善判断が下される。経験的測定は正確さが前提であり、不正確なら成功しないとSWEBOKは警告する。
【対象ドキュメント】swebok-v4.pdf ch10 SE Process &gt; 2.9(測定・見積もりの正確性と不確実性)</t>
      </text>
    </comment>
    <comment ref="E50" authorId="0" shapeId="0">
      <text>
        <t>【意図】報告経路が決まっていないと、収集データが意思決定者に届かず、測定が現場の作業で終わってしまう。
【対象ドキュメント】実務補完(ISO/IEC/IEEE 15939 相当の測定プロセス慣行)</t>
      </text>
    </comment>
    <comment ref="E51" authorId="0" shapeId="0">
      <text>
        <t>【意図】見積もりと実績の比較を怠ると見積もり精度が改善されない。誤った・不確かな見積もりはライフサイクル運営の失敗につながるとSWEBOKは明言する。
【対象ドキュメント】swebok-v4.pdf ch10 SE Process &gt; 2.9(Wrong or uncertain estimations will lead to failure)</t>
      </text>
    </comment>
    <comment ref="E52" authorId="0" shapeId="0">
      <text>
        <t>【意図】目的を失った指標が残り続けると、収集負荷だけが積み上がり測定プログラム全体への信頼を損なう。
【対象ドキュメント】swebok-v4.pdf ch10 SE Process &gt; 3.1(PDCAによる継続的見直し)/ 実務補完</t>
      </text>
    </comment>
    <comment ref="E53" authorId="0" shapeId="0">
      <text>
        <t>【意図】測定コストを無視すると手動収集の負荷で現場が疲弊し、データの省略・改ざんが始まる。プロセスの自動化は成功するライフサイクル実装の必須要素。
【対象ドキュメント】swebok-v4.pdf ch10 SE Process &gt; 2.10(プロセス自動化)/ 実務補完(測定の自動化慣行)</t>
      </text>
    </comment>
    <comment ref="E54" authorId="0" shapeId="0">
      <text>
        <t>【意図】精度不明の数値をそのまま計画・判断に使うと、実態と乖離した意思決定を確信を持って下してしまい、ライフサイクル運営の失敗につながる。
【対象ドキュメント】swebok-v4.pdf ch10 SE Process &gt; 2.9 Practical Considerations(測定・見積もりの精度と不確実性レベルの定義)</t>
      </text>
    </comment>
    <comment ref="E55" authorId="0" shapeId="0">
      <text>
        <t>【意図】監視の仕組みがないとプロセス目標の未達に誰も気づかず、問題が製品品質の劣化やリリース遅延として顕在化するまで放置される。開発者はプロセス実行を監視し目標達成を評価すべきというのが2.11の要請。
【対象ドキュメント】swebok-v4.pdf ch10 SE Process &gt; 2.11 Software Engineering Process Monitoring</t>
      </text>
    </comment>
    <comment ref="E56" authorId="0" shapeId="0">
      <text>
        <t>【意図】監視間隔が長すぎると逸脱の発見が遅れ、是正時の手戻り量が大きくなる。イテレーション単位の学習ループが継続的改善の基本。
【対象ドキュメント】swebok-v4.pdf ch10 SE Process &gt; 2.11 / 3.4(イテレーションごとのレトロスペクティブ)</t>
      </text>
    </comment>
    <comment ref="E57" authorId="0" shapeId="0">
      <text>
        <t>【意図】プロセス指標だけの監視は「プロセスは順調だが製品は劣化」という事態を見逃す。プロセスモニタリングはプロセスと製品の両方の評価を要する。
【対象ドキュメント】swebok-v4.pdf ch10 SE Process &gt; 2.11(assessing both process and product)</t>
      </text>
    </comment>
    <comment ref="E58" authorId="0" shapeId="0">
      <text>
        <t>【意図】是正手順のない監視は「気づいたが動けない」状態を生み、逸脱が慢性化する。
【対象ドキュメント】swebok-v4.pdf ch10 SE Process &gt; 2.11 / 3.1(PDCAのCheck→Act)</t>
      </text>
    </comment>
    <comment ref="E59" authorId="0" shapeId="0">
      <text>
        <t>【意図】リスク評価を監視に組み込まないと、監視が過去実績の確認だけになり将来の障害を予防できない。プロセス監視はリスクの評価を含むと2.11は明記する。
【対象ドキュメント】swebok-v4.pdf ch10 SE Process &gt; 2.11(assess risks)</t>
      </text>
    </comment>
    <comment ref="E60" authorId="0" shapeId="0">
      <text>
        <t>【意図】定義されたプロセスと実施されたプロセスの乖離を検出しないと、文書上のプロセスが形骸化し、測定データも実態を反映しなくなる。
【対象ドキュメント】swebok-v4.pdf ch10 SE Process &gt; 2.11 / 実務補完(プロセス監査・遵守確認の慣行)</t>
      </text>
    </comment>
    <comment ref="E61" authorId="0" shapeId="0">
      <text>
        <t>【意図】監視結果の記録がないと改善効果の検証やアセスメントの証拠が失われ、同じ問題の再分析に工数を浪費する。
【対象ドキュメント】実務補完(記録管理の一般慣行)/ 2.1(情報管理プロセス)</t>
      </text>
    </comment>
    <comment ref="E62" authorId="0" shapeId="0">
      <text>
        <t>【意図】測定不能な改善目標は達成判定ができず、改善活動が「やった感」で終わる。測定可能な目標を設定し変更の効果を評価するのがGQM/品質改善パラダイムの中核。
【対象ドキュメント】swebok-v4.pdf ch10 SE Process &gt; 3.2 GQM(measurable goals)</t>
      </text>
    </comment>
    <comment ref="E63" authorId="0" shapeId="0">
      <text>
        <t>【意図】証拠のない施策は思い込み駆動の改善となり、効果のない変更で現場負荷だけを増やす。意思決定には経験的証拠が必要というのがSWEBOKの一貫した立場。
【対象ドキュメント】swebok-v4.pdf ch10 SE Process &gt; 3.1(意思決定のための経験的証拠の必要性)</t>
      </text>
    </comment>
    <comment ref="E64" authorId="0" shapeId="0">
      <text>
        <t>【意図】手法が不明なアセスメントは再現も比較もできず、次回評価との差分が改善の効果か測り方の違いか判別できない。
【対象ドキュメント】swebok-v4.pdf ch10 SE Process &gt; 3.1〜3.3(GQM、CMMI、ISO/IEC 33000 等の手法)</t>
      </text>
    </comment>
    <comment ref="E65" authorId="0" shapeId="0">
      <text>
        <t>【意図】参照モデルが特定されていないフレームワーク評価は、何に対する能力・成熟度なのかが曖昧になり、評価結果の解釈を誤る。フレームワーク手法はプロセス参照モデルとアセスメントモデルの両方を用いる。
【対象ドキュメント】swebok-v4.pdf ch10 SE Process &gt; 3.3 Framework-Based Methods(process reference model / process assessment model)</t>
      </text>
    </comment>
    <comment ref="E66" authorId="0" shapeId="0">
      <text>
        <t>【意図】導入前ベースラインなしで施策を実施すると効果を評価できず、効果のない施策が継続される。「変更し、効果を評価し、肯定的なら改善」がGQM/QIPの改善成立条件。
【対象ドキュメント】swebok-v4.pdf ch10 SE Process &gt; 3.2 GQM(changing something and evaluating the effect)</t>
      </text>
    </comment>
    <comment ref="E67" authorId="0" shapeId="0">
      <text>
        <t>【意図】優先度・担当・期限のない施策一覧は誰も着手せず、改善計画が棚上げされる。
【対象ドキュメント】swebok-v4.pdf ch10 SE Process &gt; 3.1 PDCA(Doの計画)/ 実務補完(改善計画運営の一般慣行)</t>
      </text>
    </comment>
    <comment ref="E68" authorId="0" shapeId="0">
      <text>
        <t>【意図】CheckとActを計画しないと改善がPlan-Doのやりっぱなしになり、定着せず元に戻る。PDCAは1950年代から適用されてきたプロセス改善の基本パラダイム。
【対象ドキュメント】swebok-v4.pdf ch10 SE Process &gt; 3.1(Shewhart-Deming の PDCA パラダイム)</t>
      </text>
    </comment>
    <comment ref="E69" authorId="0" shapeId="0">
      <text>
        <t>【意図】推進体制がないと改善活動は日常業務に押し流されて停止する。
【対象ドキュメント】実務補完(プロセス改善推進体制の一般慣行)</t>
      </text>
    </comment>
    <comment ref="E70" authorId="0" shapeId="0">
      <text>
        <t>【意図】阻害要因を洗い出さないと、工数不足など予見可能な理由で施策が頓挫し、改善活動そのものへの信頼を失う。
【対象ドキュメント】実務補完(改善計画のリスク管理慣行)</t>
      </text>
    </comment>
    <comment ref="E71" authorId="0" shapeId="0">
      <text>
        <t>【意図】効果のない施策の扱いを決めないと、否定的な評価結果が握りつぶされ無効な施策が惰性で続く。評価が肯定的なときにのみ改善が成立したといえる、がGQMの立場。
【対象ドキュメント】swebok-v4.pdf ch10 SE Process &gt; 3.2 GQM / 3.1 PDCA(Act)</t>
      </text>
    </comment>
    <comment ref="E72" authorId="0" shapeId="0">
      <text>
        <t>【意図】施策を一斉着手すると、どれも中途半端になるうえ、効果の因果関係を切り分けられなくなる。
【対象ドキュメント】実務補完(改善の段階的導入の一般慣行)</t>
      </text>
    </comment>
    <comment ref="E73" authorId="0" shapeId="0">
      <text>
        <t>【意図】ツール導入単独ではプロセスの課題は解決しない。1980〜90年代にCASEツールがソフトウェア危機の万能薬として過剰に売り込まれ失敗した教訓をSWEBOKは明記している。
【対象ドキュメント】swebok-v4.pdf ch10 SE Process &gt; 2.10(CASEツール過剰宣伝の教訓、ツールと手法の統合)</t>
      </text>
    </comment>
    <comment ref="E74" authorId="0" shapeId="0">
      <text>
        <t>【意図】対象期間・参加者等の基本情報がないと、後からふりかえり結果を参照する際に文脈が失われ、改善の追跡やアセスメントの証拠として使えない。
【対象ドキュメント】実務補完(会議記録の一般慣行)/ 3.4</t>
      </text>
    </comment>
    <comment ref="E75" authorId="0" shapeId="0">
      <text>
        <t>【意図】前回アクションの検証を怠るとアクションが出しっぱなしになり、ふりかえりが「言うだけの場」に形骸化して継続的学習ループが途切れる。
【対象ドキュメント】swebok-v4.pdf ch10 SE Process &gt; 3.4(continuous learning loop)</t>
      </text>
    </comment>
    <comment ref="E76" authorId="0" shapeId="0">
      <text>
        <t>【意図】問題だけを挙げると良い実践が継承されず、良かった点だけだと改善機会を失う。「何がうまくいき、何がうまくいかなかったかの分析」がレトロスペクティブの目的そのもの。
【対象ドキュメント】swebok-v4.pdf ch10 SE Process &gt; 3.4 Process Assessment and Improvement in Agile</t>
      </text>
    </comment>
    <comment ref="E77" authorId="0" shapeId="0">
      <text>
        <t>【意図】原因分析を欠くと対症療法的なアクションになり、同じ問題が繰り返される。「なぜかを理解する(understand why)」がレトロスペクティブの中核要素。
【対象ドキュメント】swebok-v4.pdf ch10 SE Process &gt; 3.4(analyze what went well/not well, understand why)</t>
      </text>
    </comment>
    <comment ref="E78" authorId="0" shapeId="0">
      <text>
        <t>【意図】担当・期限・完了基準のないアクションは実行されず、次回ふりかえりでの検証もできない。学習と改善のためのアクション設定がレトロスペクティブの成果物。
【対象ドキュメント】swebok-v4.pdf ch10 SE Process &gt; 3.4(set a number of actions for learning and improvement)</t>
      </text>
    </comment>
    <comment ref="E79" authorId="0" shapeId="0">
      <text>
        <t>【意図】データなしの議論は声の大きい人の印象論に流れ、実態と異なる問題設定をしてしまう。議論は現実的な測定に支えられるべきというのがSWEBOKの要請。
【対象ドキュメント】swebok-v4.pdf ch10 SE Process &gt; 2.9 / 3.1(経験的証拠に基づく議論)</t>
      </text>
    </comment>
    <comment ref="E80" authorId="0" shapeId="0">
      <text>
        <t>【意図】「品質を上げる」のような抽象的アクションは完了判定ができず、未達成のまま繰り越され続けて改善が進まない。
【対象ドキュメント】実務補完(レトロスペクティブ運営の一般慣行)</t>
      </text>
    </comment>
    <comment ref="E81" authorId="0" shapeId="0">
      <text>
        <t>【意図】実施間隔が空くと記憶が薄れて事実に基づく分析ができず、学習ループが途切れる。レトロスペクティブは各イテレーション終了時に行うのが定義。
【対象ドキュメント】swebok-v4.pdf ch10 SE Process &gt; 3.4(at the end of each iteration)</t>
      </text>
    </comment>
    <comment ref="E82" authorId="0" shapeId="0">
      <text>
        <t>【意図】個人非難の場になると参加者が事実を隠すようになり、原因分析に必要な情報が出てこなくなって改善が止まる。
【対象ドキュメント】実務補完(レトロスペクティブにおける心理的安全性の慣行)</t>
      </text>
    </comment>
    <comment ref="E83" authorId="0" shapeId="0">
      <text>
        <t>【意図】構成管理・バージョン管理の欠如は版の混乱や変更の喪失を招く。SWEBOKは構成管理(少なくとも版管理)の自動化を成功するライフサイクル実装の必須要素とする。
【対象ドキュメント】swebok-v4.pdf ch10 SE Process &gt; 2.10 Software Process Infrastructure, Tools, Methods</t>
      </text>
    </comment>
    <comment ref="E84" authorId="0" shapeId="0">
      <text>
        <t>【意図】テスト自動化の方針がないと、リリースのたびに手動テスト負荷が増大し、頻繁なリリース(継続的開発)が成立しない。テスト自動化も2.10が必須級に挙げる項目。
【対象ドキュメント】swebok-v4.pdf ch10 SE Process &gt; 2.10(テスト自動化)/ 2.4(継続的開発)</t>
      </text>
    </comment>
    <comment ref="E85" authorId="0" shapeId="0">
      <text>
        <t>【意図】チケット管理がないと作業の状態が見えず、リードタイム等のプロセスデータも採取できないため監視・改善の土台を欠く。チケット管理の自動化も2.10が挙げる必須要素。
【対象ドキュメント】swebok-v4.pdf ch10 SE Process &gt; 2.10(ticket management の自動化)</t>
      </text>
    </comment>
    <comment ref="E86" authorId="0" shapeId="0">
      <text>
        <t>【意図】プロセス・手法とツールが不整合だと、定義された活動が実施できないか、ツール外の手作業で行われ記録が残らない。ツールは手法を支援しかつ統合されるべきというのが2.10の要請。
【対象ドキュメント】swebok-v4.pdf ch10 SE Process &gt; 2.10(ツールは手法を支援し統合される)</t>
      </text>
    </comment>
    <comment ref="E87" authorId="0" shapeId="0">
      <text>
        <t>【意図】ツール間連携がないと、テスト合格などの情報がチームに共有されず、状態の二重管理や転記ミスが発生する。SWEBOKはテストツールと構成管理ツールの統合を具体例として挙げる。
【対象ドキュメント】swebok-v4.pdf ch10 SE Process &gt; 2.10(テストツールと構成管理ツールの統合、ソフトウェアエンジニアリング環境)</t>
      </text>
    </comment>
    <comment ref="E88" authorId="0" shapeId="0">
      <text>
        <t>【意図】表記法が不明・不統一だと図の解釈が読み手に依存し、プロセス仕様が関係者間のコミュニケーション手段として機能しない。SWEBOKは自然言語・IDEF0・UMLアクティビティ図・BPMN等を列挙する。
【対象ドキュメント】swebok-v4.pdf ch10 SE Process &gt; 2.10(プロセス定義の表記法)/ 2.2(仕様は理解容易・正確であるべき)</t>
      </text>
    </comment>
    <comment ref="E89" authorId="0" shapeId="0">
      <text>
        <t>【意図】環境の管理責任が曖昧だと、ツールの無断変更やEOL放置により開発環境自体が障害源になる。
【対象ドキュメント】swebok-v4.pdf ch10 SE Process &gt; 2.1(インフラ管理プロセス)/ 2.10(software engineering environment)</t>
      </text>
    </comment>
    <comment ref="E90" authorId="0" shapeId="0">
      <text>
        <t>【意図】成果物間で用語・名称が食い違うと、どれが正か確認する作業と誤った成果物への準拠が発生する。ライフサイクル仕様は関係者のコミュニケーション基盤であり、正確さと一貫性が前提。
【対象ドキュメント】swebok-v4.pdf ch10 SE Process &gt; 2.2(仕様は理解容易かつ正確であるべき)</t>
      </text>
    </comment>
    <comment ref="E91" authorId="0" shapeId="0">
      <text>
        <t>【意図】実際の体制で担えないプロセス定義は最初から実行されず、定義と実施の乖離(形骸化)が確定する。
【対象ドキュメント】swebok-v4.pdf ch10 SE Process &gt; 2.9 Practical Considerations / 2.1(人的資源管理)</t>
      </text>
    </comment>
    <comment ref="E92" authorId="0" shapeId="0">
      <text>
        <t>【意図】成果物を出さずに長期間進むと不確実性が増大し、問題の発見が遅れる。「途中で成果物を出さない大きなプロセスは不確実性を増す」とSWEBOKは明言する。
【対象ドキュメント】swebok-v4.pdf ch10 SE Process &gt; 2.9(working with large processes without producing any deliverables increases uncertainty)</t>
      </text>
    </comment>
    <comment ref="E93" authorId="0" shapeId="0">
      <text>
        <t>【意図】他KA成果物との入出力関係が不明だと、プロセスの出力が次工程の入力要件を満たさず工程間で手戻りが発生する。本KAはマネジメント・品質・テスト等の各KAと密接に関連する。
【対象ドキュメント】swebok-v4.pdf ch10 SE Process &gt; 1.1(他KAとの関連)/ 2.2(プロセスの相互関連性)</t>
      </text>
    </comment>
    <comment ref="E94" authorId="0" shapeId="0">
      <text>
        <t>【意図】造語・独自用語は読み手の誤解と外部レビュー時の信頼低下を招く。標準用語の正しい使い分けが関係者間コミュニケーションの前提。
【対象ドキュメント】swebok-v4.pdf ch10 SE Process &gt; 2.1(用語の定義)/ 実務補完(プロジェクト文書規約)</t>
      </text>
    </comment>
    <comment ref="E95" authorId="0" shapeId="0">
      <text>
        <t>【意図】実在しない標準番号・ツール名への参照は文書全体の信頼性を毀損し、読者による準拠確認を不可能にする。
【対象ドキュメント】実務補完(文書レビューの一般慣行)</t>
      </text>
    </comment>
    <comment ref="E96" authorId="0" shapeId="0">
      <text>
        <t>【意図】整形の崩れやリンク切れは参照性を損ない、プロセス仕様が「使われない文書」になる。
【対象ドキュメント】実務補完(文書品質の一般慣行)</t>
      </text>
    </comment>
  </commentList>
</comments>
</file>

<file path=xl/comments/comment11.xml><?xml version="1.0" encoding="utf-8"?>
<comments xmlns="http://schemas.openxmlformats.org/spreadsheetml/2006/main">
  <authors>
    <author>SWEBOKレビューハーネス</author>
  </authors>
  <commentList>
    <comment ref="E2" authorId="0" shapeId="0">
      <text>
        <t>【意図】プロセス遵守の証跡だけで製品品質を主張するなど観点の混同があると、実際の製品欠陥が見過ごされたまま品質達成と誤認される。3観点を区別させ、評価対象と証拠の対応ずれを防ぐ。
【対象ドキュメント】swebok-v4.pdf ch12 Software Quality &gt; Introduction / 1. Software Quality Fundamentals(product quality と process quality の区別)</t>
      </text>
    </comment>
    <comment ref="E3" authorId="0" shapeId="0">
      <text>
        <t>【意図】品質活動を後工程で初めて計画すると、要求・設計段階の欠陥が終盤まで潜伏し、修正コストが数倍に膨らむ。早期計画とマイルストーンごとの評価で後戻りを最小化する。
【対象ドキュメント】swebok-v4.pdf ch12 Software Quality &gt; 1. Software Quality Fundamentals(quality should be planned early and assessed at many milestones)</t>
      </text>
    </comment>
    <comment ref="E4" authorId="0" shapeId="0">
      <text>
        <t>【意図】誤り・欠陥・故障を混同して記録すると、混入原因の分析(誰の行動か、どの成果物か、どの実行時挙動か)が不可能になり、RCAや欠陥予防が機能しなくなる。
【対象ドキュメント】swebok-v4.pdf ch12 Software Quality &gt; 1. Software Quality Fundamentals(Error/Defect/Failure の定義)</t>
      </text>
    </comment>
    <comment ref="E5" authorId="0" shapeId="0">
      <text>
        <t>【意図】品質情報の改変・隠蔽が起きると、経営判断やリリース判定が誤ったデータに基づいて行われ、市場での重大障害につながる。正確な報告を制度として担保する。
【対象ドキュメント】swebok-v4.pdf ch12 Software Quality &gt; 1.1 Software Engineering Culture and Ethics(engineers accurately report information, conditions and outcomes)</t>
      </text>
    </comment>
    <comment ref="E6" authorId="0" shapeId="0">
      <text>
        <t>【意図】カスタム開発・マスマーケット・組込み等で適切な品質実践は異なるため、他業種の実践を無調整で流用すると過剰・過少な品質活動になる。業種特性に応じた調整根拠を残させる。
【対象ドキュメント】swebok-v4.pdf ch12 Software Quality &gt; 1.1 Software Engineering Culture and Ethics(Iberle: practices vary by business model and industry)</t>
      </text>
    </comment>
    <comment ref="E7" authorId="0" shapeId="0">
      <text>
        <t>【意図】コスト・スケジュール・品質のトレードオフを暗黙にすると、納期圧力で品質活動が無断で削られ、責任の所在も不明になる。優先順位と承認者を明示させ、恣意的な品質切り下げを防ぐ。
【対象ドキュメント】swebok-v4.pdf ch12 Software Quality &gt; 1.1 Software Engineering Culture and Ethics(trade-offs among cost, schedule and quality)</t>
      </text>
    </comment>
    <comment ref="E8" authorId="0" shapeId="0">
      <text>
        <t>【意図】SQA/SQC/V&amp;V等の略語は組織により解釈が揺れるため、定義参照がないと読者間で活動範囲の認識齟齬(例: SQA=テストと誤解)が生じる。
【対象ドキュメント】swebok-v4.pdf ch12 Software Quality &gt; Acronyms / 3.1 Prepare for Quality Assurance(SQAはテストのみではない、という誤解の指摘)</t>
      </text>
    </comment>
    <comment ref="E9" authorId="0" shapeId="0">
      <text>
        <t>【意図】品質コストの区分が未定義だと、品質投資と障害対応費用が混在し、SQA予算の妥当性を経営層に説明できず品質活動が削減対象になる。CoSQ区分で投資対効果を可視化する。
【対象ドキュメント】swebok-v4.pdf ch12 Software Quality &gt; 1.2 Value and Costs of Quality(CoSQ: 予防・評価・適合/不適合コストの区分)</t>
      </text>
    </comment>
    <comment ref="E10" authorId="0" shapeId="0">
      <text>
        <t>【意図】外部故障コストを自社の修正工数だけで見積もると、顧客の生産性損失・データ損失・評判低下という最大のコスト要因が抜け、品質投資が過少に判断される。
【対象ドキュメント】swebok-v4.pdf ch12 Software Quality &gt; 1.2 Value and Costs of Quality(customer's lost productivity, lost data, loss of reputation)</t>
      </text>
    </comment>
    <comment ref="E11" authorId="0" shapeId="0">
      <text>
        <t>【意図】SQA導入への最大の抵抗要因は「コストが高い」という認識であり、予防・評価投資と不適合コスト削減効果の対比を示さないと、品質活動の予算が確保できない。
【対象ドキュメント】swebok-v4.pdf ch12 Software Quality &gt; 1.2 Value and Costs of Quality(SQA不実施のリスクをCoSQで経営層に説明する)</t>
      </text>
    </comment>
    <comment ref="E12" authorId="0" shapeId="0">
      <text>
        <t>【意図】品質レベルとコストの関係を考えないと、低リスク部分への過剰な検証や高リスク部分への過少投資が起き、総コストが最小化されない。最適CoSQの方針で配分を規律づける。
【対象ドキュメント】swebok-v4.pdf ch12 Software Quality &gt; 1.2 Value and Costs of Quality(optimal CoSQ — minimal total cost for a specified quality level)</t>
      </text>
    </comment>
    <comment ref="E13" authorId="0" shapeId="0">
      <text>
        <t>【意図】実在しない規格や版数不明の標準参照は、監査・認証時に指摘となるだけでなく、旧版準拠による要求漏れ(例: 25010の特性追加を見落とす)を招く。
【対象ドキュメント】swebok-v4.pdf ch12 Software Quality &gt; 1.3 Standards, Models, and Certifications</t>
      </text>
    </comment>
    <comment ref="E14" authorId="0" shapeId="0">
      <text>
        <t>【意図】インテグリティレベル未設定だと、V&amp;Vの厳格度やSQA独立性の要否を決める基準がなく、全部位に一律の(過剰または過少な)品質活動を適用してしまう。関係者合意と根拠の記録で恣意性を排除する。
【対象ドキュメント】swebok-v4.pdf ch12 Software Quality &gt; 1.4.2 Integrity Levels of Software(integrity level scheme、取得者・供給者・開発者・独立保証機関の合意)</t>
      </text>
    </comment>
    <comment ref="E15" authorId="0" shapeId="0">
      <text>
        <t>【意図】安全クリティカル該当性の判定漏れは、DO-178C等の業種標準の適用漏れに直結し、認証不能・人命に関わる事故・法的責任という最悪の結果を招く。
【対象ドキュメント】swebok-v4.pdf ch12 Software Quality &gt; 1.4 Software Dependability and Integrity Levels(safety-critical systems、DO-178C、EN 50128)</t>
      </text>
    </comment>
    <comment ref="E16" authorId="0" shapeId="0">
      <text>
        <t>【意図】リスクの高い部位ほど厳格なレビュー・V&amp;V技法(インスペクション、形式手法等)を割り当てるのがSWEBOKの原則であり、対応表がないと高リスク部位が軽い技法で素通りする。
【対象ドキュメント】swebok-v4.pdf ch12 Software Quality &gt; 1.4 / 1.4.2(Increasing risk implies increasing SQA and more rigorous review techniques、レベル別最小V&amp;V技法)</t>
      </text>
    </comment>
    <comment ref="E17" authorId="0" shapeId="0">
      <text>
        <t>【意図】故障リスク低減は回避・検出と除去・被害限定の3技法の組合せで達成される。採用技法と適用箇所が未計画だと、検出偏重で被害限定機構(フォールトトレランス等)が抜ける。
【対象ドキュメント】swebok-v4.pdf ch12 Software Quality &gt; 1.4 Software Dependability and Integrity Levels(avoidance, detection and removal, damage limitation)</t>
      </text>
    </comment>
    <comment ref="E18" authorId="0" shapeId="0">
      <text>
        <t>【意図】インテグリティレベルはソフトウェアの進化(設計・技術要素の変更)で上下しうるとSWEBOKは明記しており、見直しトリガーがないと初期判定のまま実態と乖離したV&amp;V厳格度が続く。
【対象ドキュメント】swebok-v4.pdf ch12 Software Quality &gt; 1.4.2 Integrity Levels of Software(assigned software integrity levels might change as the software evolves)</t>
      </text>
    </comment>
    <comment ref="E19" authorId="0" shapeId="0">
      <text>
        <t>【意図】高インテグリティシステムでは「安全である」という主張を claim-argument-evidence の構造で監査可能に示す必要があり、要否判断を怠ると認証・受入段階で証拠体系の欠如が発覚し大規模手戻りになる。
【対象ドキュメント】swebok-v4.pdf ch12 Software Quality &gt; 1.4 Software Dependability and Integrity Levels(assurance case)</t>
      </text>
    </comment>
    <comment ref="E20" authorId="0" shapeId="0">
      <text>
        <t>【意図】ハザードを体系的に洗い出さずにリスク低減技法を選ぶと、想定外の故障モードが未対策のまま残り、運用中の事故として顕在化する。分析結果と対策の対応付けで抜けを検出可能にする。
【対象ドキュメント】swebok-v4.pdf ch12 Software Quality &gt; 1.4 Software Dependability / 4. Software Quality Tools — 安全ハザード分析(FMEA/FTA)</t>
      </text>
    </comment>
    <comment ref="E21" authorId="0" shapeId="0">
      <text>
        <t>【意図】SQAPの構成要素(標準・活動・測定・問題報告・資源・訓練等)に抜けがあると、その領域の品質活動が計画外となり実施もれ・記録もれが常態化する。IEEE 730が定める構成の網羅を確認する。
【対象ドキュメント】swebok-v4.pdf ch12 Software Quality &gt; 3.1 Prepare for Quality Assurance(SQAPの記載事項)/ IEEE 730:2014</t>
      </text>
    </comment>
    <comment ref="E22" authorId="0" shapeId="0">
      <text>
        <t>【意図】SQAがプロジェクトマネジメント配下だと、納期圧力で品質指摘が握りつぶされる。特にクリティカルシステムでは技術的・管理的・財政的独立が客観性の条件とされる。
【対象ドキュメント】swebok-v4.pdf ch12 Software Quality &gt; 3.1 Prepare for Quality Assurance(SQA機能の客観性・組織的独立性)</t>
      </text>
    </comment>
    <comment ref="E23" authorId="0" shapeId="0">
      <text>
        <t>【意図】活動名だけ列挙されたSQAPは実行されない。時期・担当・成果物が紐づいて初めて実施状況を監査でき、「計画はあるが誰も実施していない」状態を防げる。
【対象ドキュメント】swebok-v4.pdf ch12 Software Quality &gt; 3.1 / 3.2(SQA活動を計画し、マイルストーンで実行し、記録を残す)</t>
      </text>
    </comment>
    <comment ref="E24" authorId="0" shapeId="0">
      <text>
        <t>【意図】SQAPとSCM計画・プロジェクト計画が矛盾すると、同一活動の重複や責任の空白が生じる。SWEBOKはSQAPが他計画と衝突せず相補的であるべきと明記している。
【対象ドキュメント】swebok-v4.pdf ch12 Software Quality &gt; 3.1 Prepare for Quality Assurance(SQA plan should not conflict with the SCM plan or other project planning artifacts)</t>
      </text>
    </comment>
    <comment ref="E25" authorId="0" shapeId="0">
      <text>
        <t>【意図】「高品質を目指す」のような定性目標は達成判定ができず、品質目標が実質的に存在しないのと同じになる。SQAPはまず品質目標を明確に定義・理解させることが役割とされる。
【対象ドキュメント】swebok-v4.pdf ch12 Software Quality &gt; 2.2 Plan Quality Management / 3.1(quality targets are clearly defined、specific quality goals の定義)</t>
      </text>
    </comment>
    <comment ref="E26" authorId="0" shapeId="0">
      <text>
        <t>【意図】品質活動の工数見積りがないと、プロジェクト計画上のリソースと衝突した際に品質活動側が無条件に削られる。SWEBOKは目標ごとの工数見積りを品質計画の要素として挙げる。
【対象ドキュメント】swebok-v4.pdf ch12 Software Quality &gt; 2.2 Plan Quality Management(estimating the effort to achieve each goal)/ 3.1(costs, resource requirements)</t>
      </text>
    </comment>
    <comment ref="E27" authorId="0" shapeId="0">
      <text>
        <t>【意図】問題報告から是正処置・クローズまでの手順が途切れていると、検出した問題が放置され「見つけたのに直らない」状態になる。SQAPの必須要素として手順の完結性を確認する。
【対象ドキュメント】swebok-v4.pdf ch12 Software Quality &gt; 3.1 Prepare for Quality Assurance(procedures for problem reporting and corrective action)</t>
      </text>
    </comment>
    <comment ref="E28" authorId="0" shapeId="0">
      <text>
        <t>【意図】プロジェクトの品質計画が組織のQMS・品質方針から切り離されていると、組織標準の改善が現場に届かず、プロジェクトごとに品質実践がばらつく。テーラリング内容の明示で両者を接続する。
【対象ドキュメント】swebok-v4.pdf ch12 Software Quality &gt; 2. Software Quality Management Process(QMS、ISO 9001 / ISO 90003)</t>
      </text>
    </comment>
    <comment ref="E29" authorId="0" shapeId="0">
      <text>
        <t>【意図】QMSが機能する前提は要員がその要求事項について訓練されていることであり、訓練計画がないとレビュー技法や標準の理解不足により品質活動が形骸化する。
【対象ドキュメント】swebok-v4.pdf ch12 Software Quality &gt; 2. SQM Process(projects are trained to the QMS requirement)/ 3.1(training はSQAPの記載事項)</t>
      </text>
    </comment>
    <comment ref="E30" authorId="0" shapeId="0">
      <text>
        <t>【意図】計画改訂の手順がないと、ライフサイクル途中の状況変化(リスク・体制変更)にSQAPが追従せず、実態と乖離した計画が監査基準として残り続ける。
【対象ドキュメント】実務補完(IEEE 730:2014 のSQAP維持管理の考え方)</t>
      </text>
    </comment>
    <comment ref="E31" authorId="0" shapeId="0">
      <text>
        <t>【意図】ツールが特定されていないと、問題追跡や測定の実施手段が属人化し、記録の散逸や集計不能を招く。実在ツール名の列挙で計画の実行可能性を担保する。
【対象ドキュメント】swebok-v4.pdf ch12 Software Quality &gt; 3.1(resources such as tools, techniques)/ 4. Software Quality Tools</t>
      </text>
    </comment>
    <comment ref="E32" authorId="0" shapeId="0">
      <text>
        <t>【意図】外部調達コンポーネントは自社の開発プロセスによる品質保証が及ばないため、受入評価を定義しないと未検証の欠陥がそのまま製品に混入し、障害時の責任分界も曖昧になる。
【対象ドキュメント】swebok-v4.pdf ch12 Software Quality &gt; 3.1 Prepare for Quality Assurance — 供給者ソフトウェア・COTSへのSQA(調達・納入後サービスを含む)</t>
      </text>
    </comment>
    <comment ref="E33" authorId="0" shapeId="0">
      <text>
        <t>【意図】経営層の支援がないQMSは訓練も資源も不足して形骸化し、品質活動が現場の善意頼みになる。定期的なスポンサーシップ確認がないと、不適合への対処が先送りされ続ける。
【対象ドキュメント】swebok-v4.pdf ch12 Software Quality &gt; 2. Software Quality Management Process / 2.2 Plan Quality Management — 経営層のコミットメントとQMSへの資源提供</t>
      </text>
    </comment>
    <comment ref="E34" authorId="0" shapeId="0">
      <text>
        <t>【意図】8特性の検討漏れは「暗黙の品質要求」の見落としに直結し、受入段階で初めて互換性・移植性等の不備が発覚する。全特性の適用要否判断を強制して盲点を潰す。
【対象ドキュメント】swebok-v4.pdf ch12 Software Quality &gt; 3.3 Perform Product Assurance(ISO/IEC 25010 の製品品質モデル・8特性)</t>
      </text>
    </comment>
    <comment ref="E35" authorId="0" shapeId="0">
      <text>
        <t>【意図】測定不能な品質要求は受入判定で係争の火種になる。SWEBOKは受入段階で実効的に測定できるよう品質要求と品質目標を定義することをエンジニアの責務としている。
【対象ドキュメント】swebok-v4.pdf ch12 Software Quality &gt; 3.3 Perform Product Assurance(quality requirements を測定可能に定義し受入で測定する)</t>
      </text>
    </comment>
    <comment ref="E36" authorId="0" shapeId="0">
      <text>
        <t>【意図】評価方法・時期が未定義の品質要求は、検証されないまま「定義しただけ」で終わる。要求と評価活動(テスト・レビュー・測定)の対応付けで検証漏れを防ぐ。
【対象ドキュメント】swebok-v4.pdf ch12 Software Quality &gt; 1. Fundamentals(要求が測定方法と受入基準に影響する)/ 3.3 Perform Product Assurance</t>
      </text>
    </comment>
    <comment ref="E37" authorId="0" shapeId="0">
      <text>
        <t>【意図】セキュリティ強化(暗号化)が性能を劣化させる例のように、品質特性間には相反があり、分析せずに個別最適すると後工程で要求同士が衝突して設計手戻りになる。
【対象ドキュメント】swebok-v4.pdf ch12 Software Quality &gt; 3.3 Perform Product Assurance(certain quality characteristics have conflicting impacts)</t>
      </text>
    </comment>
    <comment ref="E38" authorId="0" shapeId="0">
      <text>
        <t>【意図】品質要求が機能要求に埋没すると、識別・トレース・評価の対象から漏れやすい。SWEBOKは品質要求を機能要求への制約(Quality of Service Constraints)として区別して扱う。
【対象ドキュメント】swebok-v4.pdf ch12 Software Quality &gt; Introduction / 3.3(Quality of Service Constraints、nonfunctional requirements としての管理)</t>
      </text>
    </comment>
    <comment ref="E39" authorId="0" shapeId="0">
      <text>
        <t>【意図】品質はステークホルダーのニーズ・期待を要求がどれだけ正確に表すかに依存する。要求元に遡れない品質要求は根拠のない過剰仕様か、逆に真のニーズの取り違えである可能性が高い。
【対象ドキュメント】swebok-v4.pdf ch12 Software Quality &gt; 1. Fundamentals(quality depends upon requirements representing stakeholder needs)/ 3.3(暗黙の品質要求の引き出し)</t>
      </text>
    </comment>
    <comment ref="E40" authorId="0" shapeId="0">
      <text>
        <t>【意図】目標値のみで許容範囲がないと、僅かな未達でも合否が判定者の裁量になり、リリース判定が紛糾する。下限(上限)の事前定義で判定を機械的にする。
【対象ドキュメント】実務補完(ISO/IEC 25002系の品質測定枠組みにおける目標値・許容値の考え方)</t>
      </text>
    </comment>
    <comment ref="E41" authorId="0" shapeId="0">
      <text>
        <t>【意図】品質要求は開発中に変化するが、変更管理がないと影響分析なしに目標が緩和され、当初合意したステークホルダー価値が黙って毀損される。
【対象ドキュメント】実務補完(SWEBOK Software Requirements KA の要求変更管理をSQM観点で適用)</t>
      </text>
    </comment>
    <comment ref="E42" authorId="0" shapeId="0">
      <text>
        <t>【意図】特性レベルの要求は粗すぎて測定尺度に落ちないことが多い。25010は特性・副特性の階層モデルであり、重要特性は副特性まで掘り下げて初めて具体的なメトリクスに接続できる。
【対象ドキュメント】swebok-v4.pdf ch12 Software Quality &gt; 3.3 Perform Product Assurance(25010 のcharacteristics and sub-characteristics)</t>
      </text>
    </comment>
    <comment ref="E43" authorId="0" shapeId="0">
      <text>
        <t>【意図】品質測定の目的は意思決定支援であり、使う判断(テスト停止、ゲート判定等)が決まっていないメトリクスは収集コストだけかかる死蔵データになる。
【対象ドキュメント】swebok-v4.pdf ch12 Software Quality &gt; 2.3.1 Software Quality Measurement(measurements are used to support decision-making、when to stop testing)</t>
      </text>
    </comment>
    <comment ref="E44" authorId="0" shapeId="0">
      <text>
        <t>【意図】定義・計算式が曖昧なメトリクスは収集者ごとに値がぶれ、傾向分析やベンチマーク比較が無意味になる。名称・式・単位・データ源の一意化で測定の再現性を担保する。
【対象ドキュメント】swebok-v4.pdf ch12 Software Quality &gt; 2.3.1 Software Quality Measurement(quantifying attributes、測定の定義)</t>
      </text>
    </comment>
    <comment ref="E45" authorId="0" shapeId="0">
      <text>
        <t>【意図】閾値のないメトリクスは「測っているが判断に使えない」状態を生む。過去実績・ドメインのベンチマークに根拠づけた閾値で、異常検知とゲート判定を可能にする。
【対象ドキュメント】swebok-v4.pdf ch12 Software Quality &gt; 2.3.1(benchmarks, defect counts typical of that domain がリリース判断を助ける)</t>
      </text>
    </comment>
    <comment ref="E46" authorId="0" shapeId="0">
      <text>
        <t>【意図】収集方法・頻度・責任者が未定義だと測定が属人化して欠測が生じ、傾向分析(トレンド)の連続性が壊れる。SWEBOKも記録されなければ欠陥データは失われると警告する。
【対象ドキュメント】swebok-v4.pdf ch12 Software Quality &gt; 2.3.1 / 2.4.1(data may be lost unless they are recorded)</t>
      </text>
    </comment>
    <comment ref="E47" authorId="0" shapeId="0">
      <text>
        <t>【意図】誤り密度・欠陥密度・故障率はSWEBOKが挙げる最も広く使われる3つの品質測定であり、これらを欠く測定計画は製品品質の基本的な定量把握ができない。
【対象ドキュメント】swebok-v4.pdf ch12 Software Quality &gt; 2.3.1 Software Quality Measurement(error density, defect density, failure rate)</t>
      </text>
    </comment>
    <comment ref="E48" authorId="0" shapeId="0">
      <text>
        <t>【意図】生の測定値だけでは問題箇所の特定や将来予測ができない。パレート分析・管理図・信頼性モデル等の解釈技法の指定で、測定を改善アクションに変換する。
【対象ドキュメント】swebok-v4.pdf ch12 Software Quality &gt; 2.3.1(descriptive statistics, statistical tests, trend analysis, prediction/reliability models)</t>
      </text>
    </comment>
    <comment ref="E49" authorId="0" shapeId="0">
      <text>
        <t>【意図】測定結果が経営・管理層に届かなければ資源配分やプロセス改善の判断材料にならない。SWEBOKはSQM結果を報告にまとめ経営層が対処することを求める。
【対象ドキュメント】swebok-v4.pdf ch12 Software Quality &gt; 2. SQM Process(results are assembled in reports for management、報告が正確で対処されることの保証)</t>
      </text>
    </comment>
    <comment ref="E50" authorId="0" shapeId="0">
      <text>
        <t>【意図】分母(SLOC/FP等)の測定方法が混在すると、密度系メトリクスの時系列比較・部位間比較が成立せず、改善効果の判定を誤る。
【対象ドキュメント】swebok-v4.pdf ch12 Software Quality &gt; 2.3.1 Software Quality Measurement(density = 欠陥数/規模。規模測定の一貫性は測定の前提)</t>
      </text>
    </comment>
    <comment ref="E51" authorId="0" shapeId="0">
      <text>
        <t>【意図】測定データはドメイン別欠陥プロファイルやベンチマークとして次プロジェクトのSQMを導く資産であり、保管・参照方法がないと組織学習が毎回ゼロリセットされる。
【対象ドキュメント】swebok-v4.pdf ch12 Software Quality &gt; 2.3.1(defect profiles を次のプロジェクトのSQMプロセスの誘導に使う)</t>
      </text>
    </comment>
    <comment ref="E52" authorId="0" shapeId="0">
      <text>
        <t>【意図】品質評価はライフサイクルの多くのマイルストーンで行うべきとされ、ゲートのないフェーズは欠陥が無審査で後工程に流れる。要求〜リリースの各節目に評価点を強制する。
【対象ドキュメント】swebok-v4.pdf ch12 Software Quality &gt; 1. Fundamentals(assessed at many milestones)/ 3.4.5(要求レビュー・設計レビュー・テストレディネス・生産レディネス等の各レビュー)</t>
      </text>
    </comment>
    <comment ref="E53" authorId="0" shapeId="0">
      <text>
        <t>【意図】判定者の主観に依存する通過条件は、納期圧力下で必ず「通す」方向に解釈される。第三者検証可能な形式に限定することでゲートの形骸化を防ぐ。
【対象ドキュメント】swebok-v4.pdf ch12 Software Quality &gt; 3.4.4(testing completion criteria を設定すべき)/ 実務補完(品質ゲート運用)</t>
      </text>
    </comment>
    <comment ref="E54" authorId="0" shapeId="0">
      <text>
        <t>【意図】未達時の扱いを事前に決めないと、ゲート判定がその場の力関係で決まり、リスク受容の責任者も不明のままリリースされる。条件付き通過とエスカレーションの事前定義で統制する。
【対象ドキュメント】実務補完(IEEE 730 の問題解決・エスカレーションの考え方をゲート運用に適用)</t>
      </text>
    </comment>
    <comment ref="E55" authorId="0" shapeId="0">
      <text>
        <t>【意図】判定者・承認者が不明なゲートは実施されないか、開発当事者が自己承認する。SQA独立性(客観性)の要件と整合した役割定義で判定の客観性を守る。
【対象ドキュメント】swebok-v4.pdf ch12 Software Quality &gt; 3.1(SQA機能の客観性)/ 3.4.5(監査の第三者性)</t>
      </text>
    </comment>
    <comment ref="E56" authorId="0" shapeId="0">
      <text>
        <t>【意図】entry criteria がないと未完成の成果物でゲート判定が始まり、判定不能・差戻しの空転や、前提欠落のまま形式的に通過する事態を招く。
【対象ドキュメント】実務補完(ISO/IEC 20246 のレビュープロセスにおける開始条件の考え方)</t>
      </text>
    </comment>
    <comment ref="E57" authorId="0" shapeId="0">
      <text>
        <t>【意図】判定結果と根拠データの記録がないと、後の監査で通過判断の妥当性を検証できず、残課題も引き継がれずに消失する。
【対象ドキュメント】swebok-v4.pdf ch12 Software Quality &gt; 3.2(SQA活動の実行記録を残す)/ 3.4.5(technical reviews and audits は文書化されるべき)</t>
      </text>
    </comment>
    <comment ref="E58" authorId="0" shapeId="0">
      <text>
        <t>【意図】リリース判定が品質要求の達成確認と接続していないと、スケジュール駆動で品質要求未達のまま出荷され、受入・運用段階で品質要求が「定義しただけ」だったことが露呈する。
【対象ドキュメント】swebok-v4.pdf ch12 Software Quality &gt; 3.3(受入段階での品質要求の測定)/ 2.3.1(when to stop testing and release a product)</t>
      </text>
    </comment>
    <comment ref="E59" authorId="0" shapeId="0">
      <text>
        <t>【意図】プロセス品質は製品品質に直接影響する(Crosby/Humphrey)。定義したプロセスの遵守を評価しなければ、プロセス定義が実態と乖離してもだれも気づかない。
【対象ドキュメント】swebok-v4.pdf ch12 Software Quality &gt; 3.2 Perform Process Assurance(process quality が最終製品の品質に直接影響)</t>
      </text>
    </comment>
    <comment ref="E60" authorId="0" shapeId="0">
      <text>
        <t>【意図】逸脱の検出だけで処置・確認まで追跡しないと、同じ逸脱が繰り返され、監査が指摘の生産だけで終わる。是正処置のクローズまでの記録で改善サイクルを回す。
【対象ドキュメント】swebok-v4.pdf ch12 Software Quality &gt; 2. SQM Process(nonconformities addressed)/ 2.4 Perform Corrective and Preventive Actions</t>
      </text>
    </comment>
    <comment ref="E61" authorId="0" shapeId="0">
      <text>
        <t>【意図】SQA活動はライフサイクル初期から実施すべきとIEEE 730が定めており、記録が後付けだと初期工程(要求・設計)の欠陥予防が実際には行われなかったことを意味する。
【対象ドキュメント】swebok-v4.pdf ch12 Software Quality &gt; 3.2 Perform Process Assurance(quality assurance activities conducted early in the life cycle、記録の保持)</t>
      </text>
    </comment>
    <comment ref="E62" authorId="0" shapeId="0">
      <text>
        <t>【意図】SCM(識別・変更管理・状態記録・適合検証)が機能しないと、レビュー済み成果物が無断変更され品質保証の前提が崩れる。SQAがSCM遵守を評価対象に含むことで成果物の完全性を守る。
【対象ドキュメント】swebok-v4.pdf ch12 Software Quality &gt; 3.2 Perform Process Assurance(configuration management の4機能とSQAの関係)</t>
      </text>
    </comment>
    <comment ref="E63" authorId="0" shapeId="0">
      <text>
        <t>【意図】参照モデルと評価レベルを特定しないプロセス評価は基準が恣意的になり、組織間・時点間の比較や改善目標の設定ができない。
【対象ドキュメント】swebok-v4.pdf ch12 Software Quality &gt; 2.3 Evaluate Quality Management(ISO/IEC TS 33061:2021 のプロセス能力5レベル、IEEE 730 による成熟度評価)</t>
      </text>
    </comment>
    <comment ref="E64" authorId="0" shapeId="0">
      <text>
        <t>【意図】被監査作業の当事者が監査すると不都合な逸脱が報告されない。SWEBOKは監査を独立性確保のため第三者実施が求められる、より公式な活動と位置づける。
【対象ドキュメント】swebok-v4.pdf ch12 Software Quality &gt; 3.4.5 Technical Reviews and Audits(audits are mandated to be performed by third parties to ensure independence)</t>
      </text>
    </comment>
    <comment ref="E65" authorId="0" shapeId="0">
      <text>
        <t>【意図】レビューは設計前でも欠陥を発見できる最も費用対効果の高い活動であり、対象・方式・時期を計画しないと重要成果物が未レビューのまま後工程に流れ、修正コストが跳ね上がる。
【対象ドキュメント】swebok-v4.pdf ch12 Software Quality &gt; 3.4.5 Technical Reviews and Audits / ISO/IEC 20246:2017(ad hoc/checklist-based/scenario-based/perspective-based/role-based)</t>
      </text>
    </comment>
    <comment ref="E66" authorId="0" shapeId="0">
      <text>
        <t>【意図】指摘の処置・確認が追跡されないと、レビューで見つけた欠陥が未修正のままリリースされ、レビュー工数が無駄になる。クローズ追跡は指摘を品質向上に変換する最後の工程。
【対象ドキュメント】swebok-v4.pdf ch12 Software Quality &gt; 3.4.5(レビューは計画・実行・文書化されるべき)/ 4.(レビュー支援ツールによる欠陥の記録と除去追跡)</t>
      </text>
    </comment>
    <comment ref="E67" authorId="0" shapeId="0">
      <text>
        <t>【意図】対象版数・参加者・指摘一覧を欠く記録は、どの版に何が指摘されたか再現できず、監査証跡にも欠陥分析のデータにもならない。
【対象ドキュメント】swebok-v4.pdf ch12 Software Quality &gt; 3.4.5 Technical Reviews and Audits(レビューの文書化)/ 実務補完(IEEE 1028 のレビュー記録要件)</t>
      </text>
    </comment>
    <comment ref="E68" authorId="0" shapeId="0">
      <text>
        <t>【意図】欠陥(要求・標準への不適合=修正必須)と改善提案(任意)を区別しないと、必須修正が「好みの問題」として却下されたり、逆に任意提案の対応で工数が浪費されたりする。
【対象ドキュメント】swebok-v4.pdf ch12 Software Quality &gt; 1. Fundamentals(defect の定義: 要求・仕様を満たさず修正・置換が必要な不備)+ 実務補完(レビュー指摘分類)</t>
      </text>
    </comment>
    <comment ref="E69" authorId="0" shapeId="0">
      <text>
        <t>【意図】作成者は自分の誤りに気づけないため、ピアレビューは欠陥除去の基本手段である。高インテグリティ成果物ほど厳格なレビューが必要というSWEBOKの原則を実施記録で確認する。
【対象ドキュメント】swebok-v4.pdf ch12 Software Quality &gt; 3.4.5(peer reviews の定義)/ 1.4(higher risk levels necessitate more thorough inspections)</t>
      </text>
    </comment>
    <comment ref="E70" authorId="0" shapeId="0">
      <text>
        <t>【意図】レビューの有効性を測らないと、欠陥を検出できていない形骸化したレビューが「実施済み」として継続される。指摘密度・工数の記録で方式見直しの根拠を作る。
【対象ドキュメント】swebok-v4.pdf ch12 Software Quality &gt; 2.3.1(測定による検出・封じ込め技法の有効性把握)+ 実務補完(レビューメトリクス)</t>
      </text>
    </comment>
    <comment ref="E71" authorId="0" shapeId="0">
      <text>
        <t>【意図】指摘が大量に出た成果物は修正後も欠陥が残存している可能性が高い。再レビュー基準がないと、大幅修正された成果物が無確認で承認される。
【対象ドキュメント】実務補完(ISO/IEC 20246 / IEEE 1028 のインスペクション再作業・フォローアップの考え方)</t>
      </text>
    </comment>
    <comment ref="E72" authorId="0" shapeId="0">
      <text>
        <t>【意図】チェックリストは欠陥分析の結果を反映して更新され続けて初めて有効であり、保守されない古いチェックリストは頻発欠陥を素通りさせる。
【対象ドキュメント】swebok-v4.pdf ch12 Software Quality &gt; 3.4.5(checklist-based reviews)/ 2.4.1(欠陥分類の分析結果をプロセス・技法の改善に反映)</t>
      </text>
    </comment>
    <comment ref="E73" authorId="0" shapeId="0">
      <text>
        <t>【意図】レビュー・監査の種別定義が標準と対応していないと、「レビュー実施済み」の主張が組織間・顧客との間で異なる活動を指し、監査や契約上の齟齬を生む。
【対象ドキュメント】swebok-v4.pdf ch12 Software Quality &gt; 3.4.5 Technical Reviews and Audits(ISO/IEC 20246:2017 のレビュー類型)</t>
      </text>
    </comment>
    <comment ref="E74" authorId="0" shapeId="0">
      <text>
        <t>【意図】Verificationだけでは「仕様どおりだが使えないもの」を、Validationだけでは「中間工程の欠陥の後工程流出」を防げない。両方の計画で正しく作ることと正しいものを作ることを担保する。
【対象ドキュメント】swebok-v4.pdf ch12 Software Quality &gt; 3.4 V&amp;V and Testing(built correctly / right product is built)</t>
      </text>
    </comment>
    <comment ref="E75" authorId="0" shapeId="0">
      <text>
        <t>【意図】IEEE 1012はインテグリティレベルごとに最小V&amp;Vタスクを定めており、割当てを怠ると重要機能のV&amp;Vが不足したまま「V&amp;V実施済み」と見なされる。
【対象ドキュメント】swebok-v4.pdf ch12 Software Quality &gt; 3.4 V&amp;V and Testing(identify the product integrity level and ensure the minimum V&amp;V tasks are assigned)/ IEEE 1012:2016</t>
      </text>
    </comment>
    <comment ref="E76" authorId="0" shapeId="0">
      <text>
        <t>【意図】実行不能コードのように静的解析でしか検出できない欠陥と、実行時にしか現れない欠陥の両方が存在するため、片方だけのV&amp;Vは検出範囲に構造的な穴を残す。
【対象ドキュメント】swebok-v4.pdf ch12 Software Quality &gt; 3.4.1 Static Analysis Techniques / 3.4.2 Dynamic Analysis Techniques</t>
      </text>
    </comment>
    <comment ref="E77" authorId="0" shapeId="0">
      <text>
        <t>【意図】セキュリティ・安全性のようなクリティカル要件はテストで網羅できず、形式的解析が有効な場合がある。適用要否の判断記録がないと、必要な部位への未適用が見過ごされる。
【対象ドキュメント】swebok-v4.pdf ch12 Software Quality &gt; 3.4.3 Formal Analysis Techniques(クリティカルシステムの重要部分の検証への適用)</t>
      </text>
    </comment>
    <comment ref="E78" authorId="0" shapeId="0">
      <text>
        <t>【意図】非常にクリティカルなソフトウェアでは開発組織内のV&amp;Vは利害から自由でなく、技術的・管理的・財政的に独立した組織によるIV&amp;Vの要否を判断しないと、客観性の欠けた検証で安全性を主張することになる。
【対象ドキュメント】swebok-v4.pdf ch12 Software Quality &gt; 3.4 V&amp;V and Testing(IV&amp;V の定義と適用)</t>
      </text>
    </comment>
    <comment ref="E79" authorId="0" shapeId="0">
      <text>
        <t>【意図】テストはV&amp;V・SQCの一部であり、SQAP・ゲートと切り離されたテストは結果がリリース判定に反映されない。テストだけでSQAが完結するという誤解も防ぐ。
【対象ドキュメント】swebok-v4.pdf ch12 Software Quality &gt; 3.4.4 Software Quality Control and Testing(テストはV&amp;Vプロセスに含まれる製品品質管理活動)/ 3.1(SQA≠テスト)</t>
      </text>
    </comment>
    <comment ref="E80" authorId="0" shapeId="0">
      <text>
        <t>【意図】トレーサビリティがないと、どの要求が未検証かを機械的に特定できず、V&amp;Vの網羅性の主張が検証不能になる。要求の検証漏れがリリース後に発覚する事態を防ぐ。
【対象ドキュメント】swebok-v4.pdf ch12 Software Quality &gt; 3.4 V&amp;V and Testing — ソフトウェア成果物間のトレーサビリティ記録</t>
      </text>
    </comment>
    <comment ref="E81" authorId="0" shapeId="0">
      <text>
        <t>【意図】分類のない欠陥件数だけでは根本原因の特定も予防もできないとSWEBOKは明言する。分類法(taxonomy)の適用で欠陥データを改善に使える形にする。
【対象ドキュメント】swebok-v4.pdf ch12 Software Quality &gt; 2.4.1 Defect Characterization(meaningful defect classification taxonomy)</t>
      </text>
    </comment>
    <comment ref="E82" authorId="0" shapeId="0">
      <text>
        <t>【意図】目前の問題への対処(是正)だけで再発防止策(予防)を別管理しないと、同種の欠陥が将来のプロジェクトで再発し続ける。QMS改善による再発防止がCAPAの目的である。
【対象ドキュメント】swebok-v4.pdf ch12 Software Quality &gt; 2.4 Perform Corrective and Preventive Actions(是正処置の文書化と再発防止のためのQMS改善)</t>
      </text>
    </comment>
    <comment ref="E83" authorId="0" shapeId="0">
      <text>
        <t>【意図】症状の修正だけでは同じ原因から欠陥が生まれ続ける。重要欠陥へのRCAとプロセス・技法・ツールへの反映が、欠陥の発生源そのものを断つ唯一の手段である。
【対象ドキュメント】swebok-v4.pdf ch12 Software Quality &gt; 2.4.1 Defect Characterization(RCA: 根本原因を特定し測定技法でプロセスを改善)</t>
      </text>
    </comment>
    <comment ref="E84" authorId="0" shapeId="0">
      <text>
        <t>【意図】処置の有効性を確認しないと、効果のない対策が「実施済み」でクローズされ、問題が再発してから無効だったと判明する。後続メトリクス監視・再監査で効果を検証する。
【対象ドキュメント】swebok-v4.pdf ch12 Software Quality &gt; 2.4(是正処置の進捗を監視し関係者に報告する独立組織)+ 実務補完(CAPAの有効性確認)</t>
      </text>
    </comment>
    <comment ref="E85" authorId="0" shapeId="0">
      <text>
        <t>【意図】改善リソースは有限であり、パレート分析等で最頻の欠陥カテゴリを特定しないと、影響の小さい欠陥種別に工数を浪費し全体の品質改善が進まない。
【対象ドキュメント】swebok-v4.pdf ch12 Software Quality &gt; 2.3.1(Pareto analysis)/ 2.4.1(most frequently occurring defect types の把握)</t>
      </text>
    </comment>
    <comment ref="E86" authorId="0" shapeId="0">
      <text>
        <t>【意図】是正処置の結果が品質計画・QMS・チェックリストの改訂に反映されないと、学習が個別プロジェクトに閉じ、組織として同じ失敗を繰り返す。
【対象ドキュメント】swebok-v4.pdf ch12 Software Quality &gt; 2.4(QMS be improved to prevent problem from reoccurring in future software projects)</t>
      </text>
    </comment>
    <comment ref="E87" authorId="0" shapeId="0">
      <text>
        <t>【意図】改善アプローチ(PDCA/SPI/Six Sigma/Lean/Kaizen等)を特定しないと、改善活動が単発の思いつきになり、継続的改善のサイクルとして計画・評価できない。
【対象ドキュメント】swebok-v4.pdf ch12 Software Quality &gt; 2.1 Software Quality Improvement(SPI, Six Sigma, Lean, Kaizen, PDCA, QFD)</t>
      </text>
    </comment>
    <comment ref="E88" authorId="0" shapeId="0">
      <text>
        <t>【意図】問題追跡ツールと起票〜クローズのルールがないと、テストやレビューで発見された異常の分析・処置・解決状況が追跡できず、未解決問題が把握不能のままリリースされる。
【対象ドキュメント】swebok-v4.pdf ch12 Software Quality &gt; 4. Software Quality Tools(problem tracking tools: 異常の記録・分析・処置・解決追跡)</t>
      </text>
    </comment>
    <comment ref="E89" authorId="0" shapeId="0">
      <text>
        <t>【意図】架空・廃止済みツール名の記載は計画の実行可能性を損ない、レビューアや監査人の成果物全体への信頼を失わせる。実在確認と用途の対応付けで計画の実効性を担保する。
【対象ドキュメント】swebok-v4.pdf ch12 Software Quality &gt; 4. Software Quality Tools(静的解析・問題追跡・データ可視化等のツールカテゴリ)</t>
      </text>
    </comment>
    <comment ref="E90" authorId="0" shapeId="0">
      <text>
        <t>【意図】バージョン管理・PRレビュー・CI/CD自動チェックは品質への重要な貢献要素だが、SQA活動・ゲートと対応付けないと「動いているが品質保証としては誰も見ていない」状態になる。
【対象ドキュメント】swebok-v4.pdf ch12 Software Quality &gt; 4. Software Quality Tools(Git・pull request・CI/CD・コード品質評価・自動テスト)/ 3.4.5(pull request によるコードレビュー)</t>
      </text>
    </comment>
    <comment ref="E91" authorId="0" shapeId="0">
      <text>
        <t>【意図】要求トレーサビリティマトリクスやレビューチェックリストのような単純なフォーム類も品質を支えるツールであり、様式・保管場所が未定義だと運用が属人化し証跡が散逸する。
【対象ドキュメント】swebok-v4.pdf ch12 Software Quality &gt; 4. Software Quality Tools(forms and checklists: requirements traceability matrix, code review checklist)</t>
      </text>
    </comment>
    <comment ref="E92" authorId="0" shapeId="0">
      <text>
        <t>【意図】測定データはグラフ・チャート化されて初めて意思決定者が問題領域に資源を集中できる。可視化手段がないと測定結果が数表のまま活用されない。
【対象ドキュメント】swebok-v4.pdf ch12 Software Quality &gt; 4.(データ分析・可視化ツール)/ 2.3.1(charts and graphs are visualization aids for decision-makers)</t>
      </text>
    </comment>
  </commentList>
</comments>
</file>

<file path=xl/comments/comment12.xml><?xml version="1.0" encoding="utf-8"?>
<comments xmlns="http://schemas.openxmlformats.org/spreadsheetml/2006/main">
  <authors>
    <author>SWEBOKレビューハーネス</author>
    <author>Checklist maintainer</author>
  </authors>
  <commentList>
    <comment ref="E2" authorId="0" shapeId="0">
      <text>
        <t>【意図】スコープが曖昧だと分析対象外の箇所に脅威が残置され、後工程で「そこは見ていなかった」という致命的な検討漏れが発覚する。対象と除外を先に固定することで分析の完全性を判定可能にする。
【対象ドキュメント】swebok-v4.pdf ch13 Software Security &gt; 4.2 Security Design(脅威モデリング)</t>
      </text>
    </comment>
    <comment ref="E3" authorId="0" shapeId="0">
      <text>
        <t>【意図】守るべき資産が列挙されていなければ脅威分析も対策も的外れになり、個人情報や認証情報の漏えいという最も重大な事故に直結する。資産の所在とデータフロー経路の把握が全セキュリティ活動の起点となる。
【対象ドキュメント】swebok-v4.pdf ch13 Software Security &gt; 1.1 Software Security / 4.2 Security Design</t>
      </text>
    </comment>
    <comment ref="E4" authorId="0" shapeId="0">
      <text>
        <t>【意図】CIA(機密性・完全性・可用性)の要求レベルがないと対策の強度を決められず、過剰投資か防御不足のどちらかに倒れる。資産ごとの要求レベルが暗号化やアクセス制御の設計判断の根拠になる。
【対象ドキュメント】swebok-v4.pdf ch13 Software Security &gt; 1.2 Information Security(CIAの定義とライフサイクルを通じた維持)</t>
      </text>
    </comment>
    <comment ref="E5" authorId="0" shapeId="0">
      <text>
        <t>【意図】信頼境界が図示されていないと「どこで検証・認証すべきか」の判断が個人の勘に依存し、境界越えの未検証入力が見逃される。DFDと信頼境界は脅威列挙の網羅性を担保する土台である。
【対象ドキュメント】swebok-v4.pdf ch13 Software Security &gt; 4.2 Security Design(脅威モデリング)</t>
      </text>
    </comment>
    <comment ref="E6" authorId="1" shapeId="0">
      <text>
        <t>機械的に脅威を1件以上作るのではなく、全フローを分析した証跡と、該当なし判断の説明可能性を確保する。</t>
      </text>
    </comment>
    <comment ref="E7" authorId="0" shapeId="0">
      <text>
        <t>【意図】脅威の列挙を自由発想に任せると否認防止やDoSなど地味な分類が抜けやすい。6分類を強制的に検討させることで、思いつきベースの分析による系統的な漏れを防ぐ。
【対象ドキュメント】swebok-v4.pdf ch13 Software Security &gt; 4.2 Security Design(脅威モデリング)/ 実務補完(Microsoft STRIDE)</t>
      </text>
    </comment>
    <comment ref="E8" authorId="0" shapeId="0">
      <text>
        <t>【意図】リスク評価がないと全脅威が同列に扱われ、限られた工数が重大脅威に配分されず軽微な対策に浪費される。評価値は対応の優先順位と受容判断の根拠になる。
【対象ドキュメント】swebok-v4.pdf ch13 Software Security &gt; 4.1 Security Requirements(security risk assessments)</t>
      </text>
    </comment>
    <comment ref="E9" authorId="0" shapeId="0">
      <text>
        <t>【意図】脅威を列挙しただけで対応方針が未決だと、緩和策の実装漏れが設計・実装工程まで引き継がれ、リリース直前に大きな手戻りが発生する。全脅威の処置決定が脅威モデルの完了条件である。
【対象ドキュメント】swebok-v4.pdf ch13 Software Security &gt; 4.2 Security Design(threat modelingによる緩和の設計)</t>
      </text>
    </comment>
    <comment ref="E10" authorId="0" shapeId="0">
      <text>
        <t>【意図】承認記録のないリスク受容は「担当者が黙って放置した」のと区別できず、事故発生時に組織として説明責任を果たせない。受容は権限者の明示的判断として残す必要がある。
【対象ドキュメント】swebok-v4.pdf ch13 Software Security &gt; 2. Security Management and Organization(リスクの文書化と対処)</t>
      </text>
    </comment>
    <comment ref="E11" authorId="0" shapeId="0">
      <text>
        <t>【意図】脅威と要件のトレースがないと、緩和すると決めた脅威が要件化されずに実装から抜け落ちても誰も気づけない。トレースは「決めた対策が本当に作られる」ことの唯一の保証手段である。
【対象ドキュメント】swebok-v4.pdf ch13 Software Security &gt; 4.1 Security Requirements(traceability)</t>
      </text>
    </comment>
    <comment ref="E12" authorId="0" shapeId="0">
      <text>
        <t>【意図】システムは変化するのに脅威モデルが初版のまま凍結されると、機能追加で生じた新しい攻撃面が未分析のまま本番に出る。見直しトリガーの明文化が脅威モデルの陳腐化を防ぐ。
【対象ドキュメント】swebok-v4.pdf ch13 Software Security &gt; 4.1 Security Requirements(product revision implies revisiting)</t>
      </text>
    </comment>
    <comment ref="E13" authorId="1" shapeId="0">
      <text>
        <t>攻撃経路を削ると設計・検証に使えない。必要な技術情報を残したうえで、文書自体を機密資産として保護する。</t>
      </text>
    </comment>
    <comment ref="E14" authorId="0" shapeId="0">
      <text>
        <t>【意図】技術的防御が堅牢でも、パスワードリセットの電話一本で突破される事例は多い。人を介する経路を脅威分析の対象外にすると、最も安価な攻撃経路が無防備のまま残る。
【対象ドキュメント】swebok-v4.pdf ch13 Software Security &gt; 1.3 Cybersecurity(ソーシャルエンジニアリング攻撃・マルウェア等の脅威緩和)</t>
      </text>
    </comment>
    <comment ref="E15" authorId="0" shapeId="0">
      <text>
        <t>【意図】「十分セキュアであること」のような検証不能な要件はテストできず、実装者の解釈次第で骨抜きになる。検証可能性がないとセキュリティテスト(SEC-401)との対応付け自体が成立しない。
【対象ドキュメント】swebok-v4.pdf ch13 Software Security &gt; 4.1 Security Requirements(specification)</t>
      </text>
    </comment>
    <comment ref="E16" authorId="0" shapeId="0">
      <text>
        <t>【意図】IDがないと設計書・テストケースから要件を参照できず、トレーサビリティ(SEC-111)が構造的に不可能になる。参照不能な要件は改訂時に黙って消えても検知できない。
【対象ドキュメント】swebok-v4.pdf ch13 Software Security &gt; 4.1 Security Requirements(traceability)</t>
      </text>
    </comment>
    <comment ref="E17" authorId="0" shapeId="0">
      <text>
        <t>【意図】正常系ユースケースだけでは「攻撃者がどう悪用するか」の視点が抜け、防御要件の導出漏れが起きる。誤用・悪用ケースは攻撃者視点を要件工程に強制的に持ち込む手段である。
【対象ドキュメント】swebok-v4.pdf ch13 Software Security &gt; 4.1 Security Requirements(misuse and abuse cases, threat actors)</t>
      </text>
    </comment>
    <comment ref="E18" authorId="0" shapeId="0">
      <text>
        <t>【意図】検証標準とレベルを決めないと「どこまでやれば十分か」の基準がなく、要件の粒度と網羅性がレビューできない。ASVSレベルの選定はリスクに応じた要求水準の合意形成である。
【対象ドキュメント】実務補完(OWASP ASVS)</t>
      </text>
    </comment>
    <comment ref="E19" authorId="0" shapeId="0">
      <text>
        <t>【意図】認証要件が具体値なしだと弱いパスワード許容やロックアウトなしの実装がすり抜け、なりすまし(Spoofing)への防御が実装者任せになる。認証は攻撃の最初の標的であり具体値の定義が必須。
【対象ドキュメント】swebok-v4.pdf ch13 Software Security &gt; 4.1 Security Requirements / 4.2 Security Design(access control)</t>
      </text>
    </comment>
    <comment ref="E20" authorId="0" shapeId="0">
      <text>
        <t>【意図】認可要件が未定義だと「認証さえ通れば何でもできる」実装になりがちで、権限昇格や他者データ閲覧の事故に直結する。アクセス制御モデルの明示が認可実装の一貫性を担保する。
【対象ドキュメント】swebok-v4.pdf ch13 Software Security &gt; 4.2 Security Design(access control is a fundamental concept)</t>
      </text>
    </comment>
    <comment ref="E21" authorId="0" shapeId="0">
      <text>
        <t>【意図】セッション要件がないと無期限セッションやログアウト後も有効なトークンが放置され、セッションハイジャックや固定化攻撃の温床になる。
【対象ドキュメント】swebok-v4.pdf ch13 Software Security &gt; 4.1 Security Requirements / 実務補完(OWASP ASVS セッション管理)</t>
      </text>
    </comment>
    <comment ref="E22" authorId="0" shapeId="0">
      <text>
        <t>【意図】暗号化の対象と方式を要件で確定しないと、機微データの平文保存や旧TLSの使用が実装段階で「知らなかった」まま混入する。データ保護要件は機密性要求(SEC-003)の具体化である。
【対象ドキュメント】swebok-v4.pdf ch13 Software Security &gt; 1.2 Information Security(機密性)/ 4.2 Security Design(暗号)</t>
      </text>
    </comment>
    <comment ref="E23" authorId="0" shapeId="0">
      <text>
        <t>【意図】監査ログ要件がないとインシデント発生時に「何が起きたか分からない」状態になり、原因究明・影響範囲特定・法的対応が全て不可能になる。説明責任(accountability)の実現手段である。
【対象ドキュメント】swebok-v4.pdf ch13 Software Security &gt; 1.2 Information Security(accountability, non-repudiation)</t>
      </text>
    </comment>
    <comment ref="E24" authorId="0" shapeId="0">
      <text>
        <t>【意図】法規制由来の要件を見落とすと、技術的に安全でも法令違反・契約違反となり事業リスクに直結する。SWEBOKもISMSと法規制がセキュリティ要件の源泉であると明示している。
【対象ドキュメント】swebok-v4.pdf ch13 Software Security &gt; 2.2 Information Security Management System(laws, regulations and obligations for compliance)</t>
      </text>
    </comment>
    <comment ref="E25" authorId="0" shapeId="0">
      <text>
        <t>【意図】双方向トレースがないと「テストされていない要件」「要件の裏付けがないテスト」が検出できず、カバレッジ判定(SEC-401)が成立しない。片方向だけでは削除・変更時の影響が追えない。
【対象ドキュメント】swebok-v4.pdf ch13 Software Security &gt; 4.1 Security Requirements(traceability throughout the development process)</t>
      </text>
    </comment>
    <comment ref="E26" authorId="0" shapeId="0">
      <text>
        <t>【意図】優先順位がないと工数逼迫時にどの要件を落とすかが場当たりで決まり、重大リスクへの対策が先に削られる事故が起きる。
【対象ドキュメント】swebok-v4.pdf ch13 Software Security &gt; 4.1 Security Requirements(prioritization)</t>
      </text>
    </comment>
    <comment ref="E27" authorId="0" shapeId="0">
      <text>
        <t>【意図】製品改訂で前提が変わってもセキュリティ要件が据え置きだと、新機能が旧要件の穴を突く形で脆弱性を生む。SWEBOKは製品改訂時の要件再訪を明示的に要求している。
【対象ドキュメント】swebok-v4.pdf ch13 Software Security &gt; 4.1 Security Requirements(software product revision implies a need to revisit security requirements)</t>
      </text>
    </comment>
    <comment ref="E28" authorId="0" shapeId="0">
      <text>
        <t>【意図】性能や利便性との衝突を暗黙のうちに現場判断で解消すると、セキュリティ側が黙って弱められる(例: タイムアウト延長、検証省略)。トレードオフの記録が後からの説明と再判断を可能にする。
【対象ドキュメント】swebok-v4.pdf ch13 Software Security &gt; 4.1 Security Requirements(inspections, revisions)/ 実務補完(NFRトレードオフ管理)</t>
      </text>
    </comment>
    <comment ref="E29" authorId="0" shapeId="0">
      <text>
        <t>【意図】過剰権限は侵害時の被害範囲をそのまま拡大させる。1コンポーネントの侵害が全システムの侵害に波及する事態を防ぐため、権限マトリクスで最小性を検証可能にする。
【対象ドキュメント】swebok-v4.pdf ch13 Software Security &gt; 4.4 Construction for Security(CERT Top 10: Adhere to the principle of least privilege)</t>
      </text>
    </comment>
    <comment ref="E30" authorId="0" shapeId="0">
      <text>
        <t>【意図】デフォルト許可の設計は「許可ルールの書き漏れ=全開放」となり、設定ミス1つが即座に不正アクセスを許す。デフォルト拒否なら書き漏れは機能不全として安全側に現れる。
【対象ドキュメント】swebok-v4.pdf ch13 Software Security &gt; 4.4 Construction for Security(CERT Top 10: Default deny)</t>
      </text>
    </comment>
    <comment ref="E31" authorId="0" shapeId="0">
      <text>
        <t>【意図】単一の防御に依存すると、その1点の突破(WAFバイパス、検証漏れ)が即座に資産侵害になる。独立した多層があれば1層の欠陥が事故に至る前に他層で止まる。
【対象ドキュメント】swebok-v4.pdf ch13 Software Security &gt; 4.4 Construction for Security(CERT Top 10: Practice defense in depth)</t>
      </text>
    </comment>
    <comment ref="E32" authorId="0" shapeId="0">
      <text>
        <t>【意図】自作暗号は専門家のレビューを経ておらずほぼ確実に破られる。標準アルゴリズムと実績あるライブラリの使用は、暗号の安全性を自前で証明する不可能な負担を回避する唯一の現実解である。
【対象ドキュメント】swebok-v4.pdf ch13 Software Security &gt; 4.2 Security Design(cryptographic algorithms の慎重な選定)</t>
      </text>
    </comment>
    <comment ref="E33" authorId="0" shapeId="0">
      <text>
        <t>【意図】アルゴリズム名だけ正しくても鍵長不足や廃止プロトコルの使用で保護は無効化される。脆弱な方式の混入は「暗号化している」という誤った安心感を生む分だけ平文より危険な場合がある。
【対象ドキュメント】swebok-v4.pdf ch13 Software Security &gt; 4.2 Security Design(暗号アルゴリズムの選定)</t>
      </text>
    </comment>
    <comment ref="E34" authorId="0" shapeId="0">
      <text>
        <t>【意図】暗号は鍵管理が破綻すれば無意味になる。鍵の平文保存・ローテーションなし・失効手段なしは、漏えい時に全過去データの復号を許し、かつ被害を止める手段がない状態を作る。
【対象ドキュメント】swebok-v4.pdf ch13 Software Security &gt; 4.2 Security Design(cryptographic material の生成・配布・管理)</t>
      </text>
    </comment>
    <comment ref="E35" authorId="0" shapeId="0">
      <text>
        <t>【意図】脅威モデルで決めた緩和策が設計書に反映されなければ、分析工数が無駄になるだけでなく「対策済みのつもり」の脅威が無防備で残る。対応表がこの断絶を検出する。
【対象ドキュメント】swebok-v4.pdf ch13 Software Security &gt; 4.2 Security Design(threat modelingの結果を設計へ反映)</t>
      </text>
    </comment>
    <comment ref="E36" authorId="0" shapeId="0">
      <text>
        <t>【意図】認証・認可・セッションの独自実装は既知の落とし穴を踏み直すことになる。実証済みパターンとフレームワーク標準機能の利用が、車輪の再発明による脆弱性混入を防ぐ。
【対象ドキュメント】swebok-v4.pdf ch13 Software Security &gt; 4.3 Security Patterns</t>
      </text>
    </comment>
    <comment ref="E37" authorId="0" shapeId="0">
      <text>
        <t>【意図】例外発生時に許可側へ倒れる実装(検証エラーを握りつぶして続行等)は、攻撃者が意図的にエラーを起こすことで防御を迂回する定番の穴になる。失敗時拒否の方針明記が実装のばらつきを防ぐ。
【対象ドキュメント】swebok-v4.pdf ch13 Software Security &gt; 4.2 Security Design(failing and recovering securely)</t>
      </text>
    </comment>
    <comment ref="E38" authorId="0" shapeId="0">
      <text>
        <t>【意図】スタックトレースやSQL文の露出は攻撃者に内部構造の偵察情報を無償提供し、後続攻撃の精度を上げる。エラー応答の設計方針がないと開発時のデバッグ出力がそのまま本番に残る。
【対象ドキュメント】swebok-v4.pdf ch13 Software Security &gt; 4.2 Security Design / 実務補完(OWASP エラーハンドリング)</t>
      </text>
    </comment>
    <comment ref="E39" authorId="0" shapeId="0">
      <text>
        <t>【意図】ログにパスワードやトークンが混入すると、ログ閲覧権限者全員が機微情報にアクセスできる状態になり、ログ基盤経由の大規模漏えいを引き起こす。除外項目の事前定義が必要。
【対象ドキュメント】swebok-v4.pdf ch13 Software Security &gt; 1.2 Information Security(機密性)/ 実務補完(ログ設計実務)</t>
      </text>
    </comment>
    <comment ref="E40" authorId="0" shapeId="0">
      <text>
        <t>【意図】使われていないエンドポイントやアカウントは監視もパッチも忘れられ、攻撃者にとって最も侵入しやすい入口になる。攻撃対象領域の最小化は防御コストを下げる根本策である。
【対象ドキュメント】swebok-v4.pdf ch13 Software Security &gt; 4.2 Security Design / 6.1 Security for Container and Cloud(忘れられた資産のリスク)</t>
      </text>
    </comment>
    <comment ref="E41" authorId="0" shapeId="0">
      <text>
        <t>【意図】複雑なセキュリティ機構はレビューで挙動を追えず、欠陥が発見されないまま残る。シンプルさは「レビューにより安全性を確認できる」ことの前提条件である。
【対象ドキュメント】swebok-v4.pdf ch13 Software Security &gt; 4.4 Construction for Security(CERT Top 10: Keep it simple)</t>
      </text>
    </comment>
    <comment ref="E42" authorId="0" shapeId="0">
      <text>
        <t>【意図】防止策のみの設計は、1点の突破が全面侵害と長期停止に直結する。侵害を前提とした被害限定・復旧の設計がないと、インシデント発生時の損害と復旧時間が桁違いに膨らむ。
【対象ドキュメント】swebok-v4.pdf ch13 Software Security &gt; 4.2 Security Design(攻撃の許容: 被害限定・サービス継続・迅速な復旧)</t>
      </text>
    </comment>
    <comment ref="E43" authorId="0" shapeId="0">
      <text>
        <t>【意図】未検証の外部入力はインジェクション・オーバーフロー等ほぼ全ての実装脆弱性の起点である。クライアント側検証は攻撃者が自由に迂回できるため、サーバ側検証がなければ防御ゼロに等しい。
【対象ドキュメント】swebok-v4.pdf ch13 Software Security &gt; 4.4 Construction for Security(CERT Top 10: Validate input)</t>
      </text>
    </comment>
    <comment ref="E44" authorId="0" shapeId="0">
      <text>
        <t>【意図】文字列連結によるクエリ組み立ては、入力検証をすり抜けた1件でデータベース全体の窃取・改ざんを許す。パラメータ化の徹底は個別の検証品質に依存しない構造的防御である。
【対象ドキュメント】swebok-v4.pdf ch13 Software Security &gt; 4.4 Construction for Security / 実務補完(OWASP Top 10: Injection)</t>
      </text>
    </comment>
    <comment ref="E45" authorId="0" shapeId="0">
      <text>
        <t>【意図】出力エスケープの欠落はXSSとしてユーザーのセッション窃取・操作の乗っ取りを許す。自動エスケープ機構への統一とraw出力の根拠管理で、開発者ごとの対応漏れを防ぐ。
【対象ドキュメント】swebok-v4.pdf ch13 Software Security &gt; 4.4 Construction for Security(Sanitize data sent to other software)/ 実務補完(OWASP Top 10)</t>
      </text>
    </comment>
    <comment ref="E46" authorId="0" shapeId="0">
      <text>
        <t>【意図】ハードコードされたシークレットはリポジトリにアクセスできる全員(退職者・侵害されたCI・公開ミス時は全世界)に漏れ、履歴に残るため削除しても失効しない。事故時の被害が恒久化する。
【対象ドキュメント】実務補完(OWASP/シークレット管理実務)</t>
      </text>
    </comment>
    <comment ref="E47" authorId="0" shapeId="0">
      <text>
        <t>【意図】URLのID書き換えだけで他人のデータが見えるIDORは、発見が容易なわりに被害が大きい頻出脆弱性である。画面制御でなくサーバ側の全経路チェックでなければ防御にならない。
【対象ドキュメント】swebok-v4.pdf ch13 Software Security &gt; 4.2 Security Design(access control)/ 実務補完(OWASP Top 10: Broken Access Control)</t>
      </text>
    </comment>
    <comment ref="E48" authorId="0" shapeId="0">
      <text>
        <t>【意図】高速ハッシュや平文でのパスワード保存は、DB漏えい時に全ユーザーの認証情報が即座に割られ、他サービスへのパスワード使い回し攻撃まで波及する。専用ハッシュはこの被害を時間的に封じる。
【対象ドキュメント】swebok-v4.pdf ch13 Software Security &gt; 4.4 Construction for Security / 実務補完(OWASP パスワード保管)</t>
      </text>
    </comment>
    <comment ref="E49" authorId="0" shapeId="0">
      <text>
        <t>【意図】信頼できない入力のevalや安全でないデシリアライズは、任意コード実行という最悪クラスの脆弱性に直結する。利便性のために安易に使われがちなため、使用箇所の根拠管理が必要。
【対象ドキュメント】swebok-v4.pdf ch13 Software Security &gt; 4.4 Construction for Security / 実務補完(OWASP Top 10: Insecure Deserialization)</t>
      </text>
    </comment>
    <comment ref="E50" authorId="0" shapeId="0">
      <text>
        <t>【意図】アップロード機能の防御漏れはWebシェル設置による サーバ乗っ取り、パストラバーサルは任意ファイル読み取りに直結する。機能があるのに対策記述がない状態を検出する。
【対象ドキュメント】swebok-v4.pdf ch13 Software Security &gt; 4.4 Construction for Security(Validate input)/ 実務補完(OWASP)</t>
      </text>
    </comment>
    <comment ref="E51" authorId="0" shapeId="0">
      <text>
        <t>【意図】フレームワークの防御(CSRF対策・自動エスケープ)は「邪魔だから」と無効化されがちで、その瞬間に既知攻撃への防御が消える。無効化箇所の棚卸しと代替策の確認が必要。
【対象ドキュメント】swebok-v4.pdf ch13 Software Security &gt; 4.3 Security Patterns(実証済み機構の利用)/ 実務補完</t>
      </text>
    </comment>
    <comment ref="E52" authorId="0" shapeId="0">
      <text>
        <t>【意図】コンパイラ警告は未定義動作や型不一致などセキュリティ欠陥の前兆であり、放置の常態化は本物の危険信号を雑音に埋もれさせる。CERTも警告への対処をTop 10の2番目に挙げている。
【対象ドキュメント】swebok-v4.pdf ch13 Software Security &gt; 4.4 Construction for Security(CERT Top 10: Heed compiler warnings)</t>
      </text>
    </comment>
    <comment ref="E53" authorId="0" shapeId="0">
      <text>
        <t>【意図】自システムで無害なデータも下流システムでは命令として解釈されうる(ログインジェクション、下流SQLへの混入等)。送信側でのサニタイズが連鎖的な侵害の伝播を断つ。
【対象ドキュメント】swebok-v4.pdf ch13 Software Security &gt; 4.4 Construction for Security(CERT Top 10: Sanitize data sent to other software)</t>
      </text>
    </comment>
    <comment ref="E54" authorId="0" shapeId="0">
      <text>
        <t>【意図】規約がない、またはレビューで参照されない状態では、セキュアコーディングが個人スキル依存になり品質が担当者ガチャになる。規約はチーム全体の下限品質を保証する装置である。
【対象ドキュメント】swebok-v4.pdf ch13 Software Security &gt; 4.4 Construction for Security(CERT Top 10: Adopt a software construction security standard)</t>
      </text>
    </comment>
    <comment ref="E55" authorId="0" shapeId="0">
      <text>
        <t>【意図】統計用乱数で生成したセッションIDやトークンは予測可能であり、攻撃者による総当たりなしのセッション乗っ取りを許す。用途に応じたCSPRNGの使用は見た目では判別できないため明示チェックが要る。
【対象ドキュメント】swebok-v4.pdf ch13 Software Security &gt; 4.2 Security Design(cryptographic material)/ 実務補完(CWE-338)</t>
      </text>
    </comment>
    <comment ref="E56" authorId="0" shapeId="0">
      <text>
        <t>【意図】デバッグエンドポイントやテスト用アカウントは認証を迂回する裏口としてそのまま攻撃に使われる。本番設定での無効化確認が「開発の便宜」が事故になるのを防ぐ。
【対象ドキュメント】swebok-v4.pdf ch13 Software Security &gt; 4.4 Construction for Security / 実務補完(セキュアリリース実務)</t>
      </text>
    </comment>
    <comment ref="E57" authorId="0" shapeId="0">
      <text>
        <t>【意図】「この関数は認証後にしか呼ばれないはず」等の暗黙の前提は、リファクタリングや運用変更で静かに崩れ、攻撃者が真っ先に突く穴になる。前提の検証・文書化が無自覚な防御の崩壊を防ぐ。
【対象ドキュメント】swebok-v4.pdf ch13 Software Security &gt; 4.4 Construction for Security(プログラム中の前提(assumption)の検証と文書化)</t>
      </text>
    </comment>
    <comment ref="E58" authorId="0" shapeId="0">
      <text>
        <t>【意図】テストされない要件は実装漏れが本番まで検出されない。要件⇔テストの対応表でカバレッジをゼロ漏れで確認することが、セキュリティテストの網羅性の唯一の客観的根拠になる。
【対象ドキュメント】swebok-v4.pdf ch13 Software Security &gt; 4.5 Security Testing(実装がセキュリティ要件を満たすことの確認)</t>
      </text>
    </comment>
    <comment ref="E59" authorId="0" shapeId="0">
      <text>
        <t>【意図】静的解析はコードパターンの欠陥、動的テストは実行時の振る舞いの欠陥と、検出できる脆弱性の層が異なる。片方だけでは検出範囲に構造的な穴が残るため、SWEBOKも両アプローチを明示している。
【対象ドキュメント】swebok-v4.pdf ch13 Software Security &gt; 4.5 Security Testing(static analysis と dynamic testing の2アプローチ)</t>
      </text>
    </comment>
    <comment ref="E60" authorId="0" shapeId="0">
      <text>
        <t>【意図】承認なしの侵入テストは不正アクセス行為と法的に区別できず、実施者と組織を刑事リスクに晒す。SWEBOKも「合法的範囲内・適切な承認」がテストと違法ハッキングを分けると明記している。
【対象ドキュメント】swebok-v4.pdf ch13 Software Security &gt; 4.5 Security Testing(within legal boundaries and with proper authorization)</t>
      </text>
    </comment>
    <comment ref="E61" authorId="0" shapeId="0">
      <text>
        <t>【意図】正常系テストだけでは「拒否すべきものを拒否するか」が確認されず、認可バイパスや不正入力受理が全テスト合格のままリリースされる。セキュリティの本質は拒否系の検証にある。
【対象ドキュメント】swebok-v4.pdf ch13 Software Security &gt; 4.5 Security Testing / 4.1(misuse cases のテストへの反映)</t>
      </text>
    </comment>
    <comment ref="E62" authorId="0" shapeId="0">
      <text>
        <t>【意図】期待結果が曖昧なテストは実施者によって合否が変わり、「テスト済み」の意味が保証にならない。客観的基準は再テスト(SEC-410)や第三者検証の前提でもある。
【対象ドキュメント】swebok-v4.pdf ch13 Software Security &gt; 4.5 Security Testing / 実務補完(テスト設計実務)</t>
      </text>
    </comment>
    <comment ref="E63" authorId="0" shapeId="0">
      <text>
        <t>【意図】リリース可否基準が事前にないと、リリース間際に検出された脆弱性の扱いが政治的判断になり、重大な脆弱性が「スケジュール優先」で見逃される。深刻度別基準が判断を機械化する。
【対象ドキュメント】swebok-v4.pdf ch13 Software Security &gt; 4.6 Vulnerability Management(CVSSによる深刻度評価)</t>
      </text>
    </comment>
    <comment ref="E64" authorId="0" shapeId="0">
      <text>
        <t>【意図】パーサやプロトコル処理の脆弱性は正常系・既知パターンのテストでは出ず、想定外入力を大量に与えるファジングでしか見つからないものが多い。適用判断の記録が検討漏れを防ぐ。
【対象ドキュメント】swebok-v4.pdf ch13 Software Security &gt; 5.2 Penetration Testing Tools(fuzzing)</t>
      </text>
    </comment>
    <comment ref="E65" authorId="0" shapeId="0">
      <text>
        <t>【意図】マスキングなしの本番データ流用は、防御の弱いテスト環境からの個人情報漏えいという「テストが原因の事故」を生む。テスト環境は攻撃者にとって本番より侵入しやすい標的である。
【対象ドキュメント】実務補完(テストデータ管理・環境分離)</t>
      </text>
    </comment>
    <comment ref="E66" authorId="0" shapeId="0">
      <text>
        <t>【意図】「スキャン検出ゼロ=安全」という誤解は、ツールが原理的に見つけられない脆弱性(ロジック欠陥、稀な状態)を放置させる。SWEBOKもツールの限界と専門家関与の必要性を明記している。
【対象ドキュメント】swebok-v4.pdf ch13 Software Security &gt; 5.1 Security Vulnerability Checking Tools(they cannot find all vulnerabilities)/ 4.5(専門家の関与)</t>
      </text>
    </comment>
    <comment ref="E67" authorId="0" shapeId="0">
      <text>
        <t>【意図】修正確認の手順がないと「直したつもり」の脆弱性が再テストされずに残存し、修正が不完全なまま完了扱いになる。同一ケースでの再検証が修正の実効性を担保する。
【対象ドキュメント】swebok-v4.pdf ch13 Software Security &gt; 4.6 Vulnerability Management(緩和タスクの完遂)</t>
      </text>
    </comment>
    <comment ref="E68" authorId="0" shapeId="0">
      <text>
        <t>【意図】プロセスの一部(例: 受付だけ、修正だけ)が未定義だと、脆弱性が発見されても担当者間で滞留し、既知の脆弱性が長期間放置される。端から端までの定義が対応の停滞を防ぐ。
【対象ドキュメント】swebok-v4.pdf ch13 Software Security &gt; 4.6 Vulnerability Management(security maintenance と vulnerability disclosure process)</t>
      </text>
    </comment>
    <comment ref="E69" authorId="0" shapeId="0">
      <text>
        <t>【意図】期限がないと「重大だがいつか直す」が常態化し、公知の脆弱性を突かれた侵害(最も防ぎやすかったはずの事故)が起きる。深刻度別期限が対応の優先度を強制する。
【対象ドキュメント】swebok-v4.pdf ch13 Software Security &gt; 4.6 Vulnerability Management(CVSSによる深刻度)</t>
      </text>
    </comment>
    <comment ref="E70" authorId="0" shapeId="0">
      <text>
        <t>【意図】独自基準の深刻度評価は担当者間・組織間で比較できず、トリアージの一貫性が失われる。CVSS/CWEの共通枠組みは外部情報(NVD等)との突合と傾向分析を可能にする。
【対象ドキュメント】swebok-v4.pdf ch13 Software Security &gt; 4.6 Vulnerability Management(CVE/CWE/CAPEC/CVSS)</t>
      </text>
    </comment>
    <comment ref="E71" authorId="0" shapeId="0">
      <text>
        <t>【意図】報告窓口がないと善意の発見者が報告先を見つけられず、脆弱性がSNSや闇市場で先に公開される最悪の展開を招く。受付と応答方針の整備が協調的開示を成立させる。
【対象ドキュメント】swebok-v4.pdf ch13 Software Security &gt; 4.6 Vulnerability Management(vulnerability disclosure process)</t>
      </text>
    </comment>
    <comment ref="E72" authorId="0" shapeId="0">
      <text>
        <t>【意図】根本原因を規約・テストに反映しないと、同型の脆弱性が別の箇所で何度も作り込まれ、対応コストが際限なく増える。フィードバックループが「同じ穴を二度掘らない」を実現する。
【対象ドキュメント】swebok-v4.pdf ch13 Software Security &gt; 4.6 Vulnerability Management / 2.2 ISMS(継続的改善)</t>
      </text>
    </comment>
    <comment ref="E73" authorId="0" shapeId="0">
      <text>
        <t>【意図】収集源と頻度が未定義だと、使用コンポーネントの重大CVEの公表に気づかず、パッチ適用が世間の攻撃開始より遅れる。SWEBOKが挙げるCVE/NVD等の能動的監視が前提条件である。
【対象ドキュメント】swebok-v4.pdf ch13 Software Security &gt; 4.6 Vulnerability Management(CVE/NVD等のデータベース参照)</t>
      </text>
    </comment>
    <comment ref="E74" authorId="0" shapeId="0">
      <text>
        <t>【意図】検証方法と台帳がないと修正の実効性が確認されず、対応履歴も残らないため監査・再発時の参照ができない。記録様式の定義が脆弱性対応を検証可能な活動にする。
【対象ドキュメント】swebok-v4.pdf ch13 Software Security &gt; 4.6 Vulnerability Management / 2.2 ISMS(文書化)</t>
      </text>
    </comment>
    <comment ref="E75" authorId="0" shapeId="0">
      <text>
        <t>【意図】SWEBOKが指摘する通り脆弱性はサードパーティ部品からも持ち込まれるが、推移的依存まで把握していなければ「自分が何を使っているか」すら分からず、影響調査が事故発生後の手探りになる。
【対象ドキュメント】swebok-v4.pdf ch13 Software Security &gt; 序文(third party componentsによる脆弱性混入)/ 実務補完(SBOM)</t>
      </text>
    </comment>
    <comment ref="E76" authorId="0" shapeId="0">
      <text>
        <t>【意図】依存ライブラリのCVEは自分のコードを変更しなくても日々発生する。継続監視がなければ「リリース時点では安全だった」システムが時間経過で脆弱化していくのを検知できない。
【対象ドキュメント】swebok-v4.pdf ch13 Software Security &gt; 4.6 Vulnerability Management(third party componentsの脆弱性緩和)/ 実務補完(SCA)</t>
      </text>
    </comment>
    <comment ref="E77" authorId="0" shapeId="0">
      <text>
        <t>【意図】自作コードの脆弱性に期限(SEC-502)があっても依存分に期限がなければ、Log4Shell級の依存脆弱性が「様子見」のまま放置される。同水準のSLAが対応の抜け穴を塞ぐ。
【対象ドキュメント】swebok-v4.pdf ch13 Software Security &gt; 4.6 Vulnerability Management / 実務補完(依存管理実務)</t>
      </text>
    </comment>
    <comment ref="E78" authorId="0" shapeId="0">
      <text>
        <t>【意図】コンテナはベースイメージのOSパッケージごと脆弱性を継承するため、アプリのSCAだけでは検出範囲に穴が残る。イメージスキャンのCI組み込みが基盤層の脆弱性混入を防ぐ。
【対象ドキュメント】swebok-v4.pdf ch13 Software Security &gt; 6.1 Security for Container and Cloud</t>
      </text>
    </comment>
    <comment ref="E79" authorId="0" shapeId="0">
      <text>
        <t>【意図】メンテナンスされていない・素性不明のライブラリの安易な採用は、将来のパッチ提供がない脆弱性やサプライチェーン攻撃(悪意あるパッケージ)の入口になる。採用時の関所が最も安上がりな防御。
【対象ドキュメント】swebok-v4.pdf ch13 Software Security &gt; 序文(third party components)/ 実務補完(依存評価基準)</t>
      </text>
    </comment>
    <comment ref="E80" authorId="0" shapeId="0">
      <text>
        <t>【意図】EOL品は脆弱性が公表されても修正が提供されず、「直せない既知の穴」を抱え続けることになる。EOL検出と移行計画の存在確認が、静かに進行する陳腐化リスクを可視化する。
【対象ドキュメント】swebok-v4.pdf ch13 Software Security &gt; 4.6 Vulnerability Management / 実務補完(EOL管理)</t>
      </text>
    </comment>
    <comment ref="E81" authorId="0" shapeId="0">
      <text>
        <t>【意図】依存取得元の固定や成果物署名がないと、ビルド経路への介入(悪意あるパッケージ差し替え、typosquatting)により正規のビルドに不正コードが混入する。完全性保護がサプライチェーン攻撃を防ぐ。
【対象ドキュメント】実務補完(SLSA/サプライチェーン完全性)</t>
      </text>
    </comment>
    <comment ref="E82" authorId="0" shapeId="0">
      <text>
        <t>【意図】SASTを手動運用にすると実行忘れ・結果放置が必ず起きる。CIゲートへの組み込みは、DevSecOpsの狙いである「セキュリティ検査を開発の通常フローに不可避に織り込む」ことの実現である。
【対象ドキュメント】swebok-v4.pdf ch13 Software Security &gt; 3.1 Security Engineering and SDLC(DevSecOps: 自動化とCI)</t>
      </text>
    </comment>
    <comment ref="E83" authorId="0" shapeId="0">
      <text>
        <t>【意図】シークレットのコミット混入は人為ミスとして必ず起きる前提で自動検出が要る。検出時の失効手順まで定義しないと「見つけたが漏れたキーがそのまま有効」という中途半端な状態が残る。
【対象ドキュメント】swebok-v4.pdf ch13 Software Security &gt; 3.1 DevSecOps(自動化)/ 実務補完(シークレットスキャン)</t>
      </text>
    </comment>
    <comment ref="E84" authorId="0" shapeId="0">
      <text>
        <t>【意図】検出結果がダッシュボードの肥やしになる構造では、ツール投資が防御に変換されない。開発者に直接届きチケット化される仕組みが「検出したのに放置で事故」を防ぐ。
【対象ドキュメント】swebok-v4.pdf ch13 Software Security &gt; 2.3 Agile Practice(enablement)/ 3.1 DevSecOps</t>
      </text>
    </comment>
    <comment ref="E85" authorId="0" shapeId="0">
      <text>
        <t>【意図】CI/CDは本番へのデプロイ権限とシークレットを持つため、パイプライン自体が侵害されると全防御を迂回した本番改ざんが可能になる。パイプラインは攻撃対象として最小権限で守る必要がある。
【対象ドキュメント】swebok-v4.pdf ch13 Software Security &gt; 3.1 DevSecOps / 4.4(least privilege の適用)</t>
      </text>
    </comment>
    <comment ref="E86" authorId="0" shapeId="0">
      <text>
        <t>【意図】アジャイルでは仕様が毎スプリント変わるため、セキュリティ作業をバックログ・DoDに組み込まないと「後でまとめて」が永遠に来ない。SWEBOKもアジャイルチーム自身のセキュリティ責任を強調する。
【対象ドキュメント】swebok-v4.pdf ch13 Software Security &gt; 2.3 Agile Practice for Software Security</t>
      </text>
    </comment>
    <comment ref="E87" authorId="0" shapeId="0">
      <text>
        <t>【意図】例外プロセスがないとゲートは「黙って無効化」されるか「一切例外なしで開発停止」の二択になり、どちらも破綻する。承認と期限付き是正計画がゲートの規律と現実性を両立させる。
【対象ドキュメント】swebok-v4.pdf ch13 Software Security &gt; 2.3 Agile Practice(security as enabler)/ 実務補完(リスク受容プロセス)</t>
      </text>
    </comment>
    <comment ref="E88" authorId="0" shapeId="0">
      <text>
        <t>【意図】責任者不在のセキュリティは「全員の仕事=誰の仕事でもない」となり、判断が必要な場面で意思決定が止まる。SWEBOKはセキュリティを技術問題から組織課題へ引き上げることを求めている。
【対象ドキュメント】swebok-v4.pdf ch13 Software Security &gt; 2. Security Management and Organization(enterprise issue への昇格)</t>
      </text>
    </comment>
    <comment ref="E89" authorId="0" shapeId="0">
      <text>
        <t>【意図】プロジェクト独自ルールが組織のISMSと不整合だと、監査での指摘、二重管理、組織のリスク評価から漏れる資産が生じる。ISMSとの整合確認が組織的なリスク管理への接続点になる。
【対象ドキュメント】swebok-v4.pdf ch13 Software Security &gt; 2.2 Information Security Management System(ISO/IEC 27001)</t>
      </text>
    </comment>
    <comment ref="E90" authorId="0" shapeId="0">
      <text>
        <t>【意図】セキュア開発の実践は個人の知識に依存するため、教育計画がないとチェックリストや規約が「読まれない文書」化する。攻撃手法は更新され続けるためスキル維持は一度きりで済まない。
【対象ドキュメント】swebok-v4.pdf ch13 Software Security &gt; 2. Security Management and Organization / 2.1(多様な役割への方法の普及)</t>
      </text>
    </comment>
    <comment ref="E91" authorId="0" shapeId="0">
      <text>
        <t>【意図】セキュリティが恒常的なブロッカーになると、現場は回避策(承認の迂回、チェックの形骸化)を編み出し、結果的に統制が実態を失う。SWEBOKは「blocker でなく enabler へ」を成功条件に挙げる。
【対象ドキュメント】swebok-v4.pdf ch13 Software Security &gt; 2.3 Agile Practice for Software Security(security needs to become an enabler instead of a blocker)</t>
      </text>
    </comment>
    <comment ref="E92" authorId="0" shapeId="0">
      <text>
        <t>【意図】成熟度評価がないと組織のセキュリティ活動が場当たりの改善に留まり、弱点領域への投資判断ができない。SSE-CMM等はプロセス能力を測定し改善を系統立てる道具である。
【対象ドキュメント】swebok-v4.pdf ch13 Software Security &gt; 2.1 Capability Maturity Model(SSE-CMM)</t>
      </text>
    </comment>
    <comment ref="E93" authorId="0" shapeId="0">
      <text>
        <t>【意図】評価・認証要否の検討漏れは、納品直前に「CC認証が必要だった」と発覚する致命的な手戻りや、保証水準不明のセキュリティ製品採用による防御の空洞化を招く。
【対象ドキュメント】swebok-v4.pdf ch13 Software Security &gt; 3.2 Common Criteria for Information Technology Security Evaluation(ISO/IEC 15408 によるセキュリティ評価・保証)</t>
      </text>
    </comment>
    <comment ref="E94" authorId="0" shapeId="0">
      <text>
        <t>【意図】クラウドは安価・容易にプロビジョニングできる分、忘れられた資産が世界中に散在しやすい。SWEBOKが「時限爆弾」と呼ぶ放置資産を、棚卸しの仕組みでインシデント化する前に発見する。
【対象ドキュメント】swebok-v4.pdf ch13 Software Security &gt; 6.1 Security for Container and Cloud(forgotten assets are like a ticking time bomb)</t>
      </text>
    </comment>
    <comment ref="E95" authorId="0" shapeId="0">
      <text>
        <t>【意図】クラウドではIAMの設定ミスが即座にインターネット越しの侵害につながる。ワイルドカード権限や放置された認証情報は、1つの漏えいでアカウント全体の乗っ取りを許す。
【対象ドキュメント】swebok-v4.pdf ch13 Software Security &gt; 6.1 Security for Container and Cloud / 4.4(least privilege)</t>
      </text>
    </comment>
    <comment ref="E96" authorId="0" shapeId="0">
      <text>
        <t>【意図】「クラウド事業者がやってくれているはず」という思い込みは、誰も守っていない領域(設定・データ保護)を生む。責任分界の文書化が防御の空白地帯をなくす。
【対象ドキュメント】swebok-v4.pdf ch13 Software Security &gt; 6.1 Security for Container and Cloud(物理防御は事業者側という責任の違い)</t>
      </text>
    </comment>
    <comment ref="E97" authorId="0" shapeId="0">
      <text>
        <t>【意図】オブジェクトストレージの公開設定ミスは、実際に大規模情報漏えいの最頻出原因の一つである。設定チェックの仕組み化が「一時的に公開したまま忘れる」事故を防ぐ。
【対象ドキュメント】swebok-v4.pdf ch13 Software Security &gt; 6.1 Security for Container and Cloud</t>
      </text>
    </comment>
    <comment ref="E98" authorId="0" shapeId="0">
      <text>
        <t>【意図】初期パスワードのままのIoTデバイスは自動化された攻撃に数分で乗っ取られ、ボットネット化や内部侵入の足場になる。SWEBOKもエンドポイントの堅牢化を新たな課題として明示する。
【対象ドキュメント】swebok-v4.pdf ch13 Software Security &gt; 6.2 Security for IoT Software(hardening these end points)</t>
      </text>
    </comment>
    <comment ref="E99" authorId="0" shapeId="0">
      <text>
        <t>【意図】IoTのデバイス間通信が平文・片方向認証だと、盗聴・なりすましデバイスの挿入により偽データ注入や制御奪取が可能になり、物理的な安全インシデントにまで波及しうる。
【対象ドキュメント】swebok-v4.pdf ch13 Software Security &gt; 6.2 Security for IoT Software(securing device-to-device communications, credibility)</t>
      </text>
    </comment>
    <comment ref="E100" authorId="0" shapeId="0">
      <text>
        <t>【意図】訓練データの汚染(model poisoning)はモデルの判断を攻撃者の意図通りに歪め、通常のテストでは検出しにくい。データの出所管理と改ざん検知が汚染の混入経路を塞ぐ。
【対象ドキュメント】swebok-v4.pdf ch13 Software Security &gt; 6.3 Security for Machine Learning-Based Application(model poisoning)</t>
      </text>
    </comment>
    <comment ref="E101" authorId="0" shapeId="0">
      <text>
        <t>【意図】回避攻撃(evasion)は細工した入力で学習済みモデルの判断を誤らせ、不正検知やフィルタの迂回を許す。推論入力の検証・異常検知の方針が推論時の防御を担保する。
【対象ドキュメント】swebok-v4.pdf ch13 Software Security &gt; 6.3 Security for Machine Learning-Based Application(evasion)</t>
      </text>
    </comment>
    <comment ref="E102" authorId="0" shapeId="0">
      <text>
        <t>【意図】成果物間のIDトレースが切れていると、脅威→要件→設計→テストの連鎖のどこかで対策が黙って消えても検出できない。サンプル抽出での追跡可能性が文書群の整合を実証する。
【対象ドキュメント】swebok-v4.pdf ch13 Software Security &gt; 4.1 Security Requirements(traceability throughout the development process)</t>
      </text>
    </comment>
    <comment ref="E103" authorId="0" shapeId="0">
      <text>
        <t>【意図】独自造語や不正確な用語は読者ごとに解釈が割れ、レビュー・監査・組織標準との突合を妨げる。ISO/IEC 27000とSWEBOKの定訳への準拠が文書の相互運用性を保つ。
【対象ドキュメント】swebok-v4.pdf ch13 Software Security &gt; 1.2 Information Security(CIA等の標準定義)</t>
      </text>
    </comment>
    <comment ref="E104" authorId="0" shapeId="0">
      <text>
        <t>【意図】実在しない標準名や版数不明の引用は、文書の信頼性を損なうだけでなく「どの要求水準に準拠しているのか」を検証不能にする。版の明記が準拠主張を確認可能にする。
【対象ドキュメント】実務補完(文書品質・引用管理)</t>
      </text>
    </comment>
    <comment ref="E105" authorId="0" shapeId="0">
      <text>
        <t>【意図】版管理がないと旧版の脅威モデルを見て「対策済み」と誤認する事故が起き、実環境の認証情報の記載は文書自体を攻撃の入口にする。文書のライフサイクル管理と機微情報排除の両方を確認する。
【対象ドキュメント】swebok-v4.pdf ch13 Software Security &gt; 2.2 ISMS(文書化された計画)/ 実務補完(文書管理)</t>
      </text>
    </comment>
  </commentList>
</comments>
</file>

<file path=xl/comments/comment13.xml><?xml version="1.0" encoding="utf-8"?>
<comments xmlns="http://schemas.openxmlformats.org/spreadsheetml/2006/main">
  <authors>
    <author>Checklist maintainer</author>
    <author>SWEBOKレビューハーネス</author>
  </authors>
  <commentList>
    <comment ref="E2" authorId="0" shapeId="0">
      <text>
        <t>複数AZを一律の唯一解にせず、事業要求と障害モデルに比例した冗長化を選び、過少対策と過剰投資を避ける。</t>
      </text>
    </comment>
    <comment ref="E3" authorId="1" shapeId="0">
      <text>
        <t>【意図】目標なき復旧計画は投資の過不足を招き、災害時に許容範囲を超える停止・データ損失が発生する。
【対象ドキュメント】AWS WA &gt; 信頼性 &gt; REL13-BP01 Define recovery objectives for downtime and data loss / Google Cloud WAF &gt; Reliability &gt; Perform testing for recovery from failures &gt; Verify recovery against RTO and RPO / Azure WA &gt; 信頼性 &gt; RE:04 Define reliability and recovery targets / OCI WAF &gt; Reliability and Resilience &gt; About Reliable and Resilient Cloud Topology Practices &gt; Define the Requirements</t>
      </text>
    </comment>
    <comment ref="E4" authorId="1" shapeId="0">
      <text>
        <t>【意図】復元テストされないバックアップは災害時に復元できないことが多く、恒久的データ損失につながる。
【対象ドキュメント】AWS WA &gt; 信頼性 &gt; REL09-BP03 Perform data backup automatically / REL09-BP04 / Google Cloud WAF &gt; Reliability &gt; Perform testing for recovery from data loss &gt; Verify backup consistency and test restoration processes / OCI WAF &gt; Reliability and Resilience &gt; Back Up Your Data &gt; Verify Your Backup Integrity and Processes</t>
      </text>
    </comment>
    <comment ref="E5" authorId="0" shapeId="0">
      <text>
        <t>クロスリージョンDRを一律要求せず、復旧目標と事業影響から必要な方式を選ぶ。</t>
      </text>
    </comment>
    <comment ref="E6" authorId="0" shapeId="0">
      <text>
        <t>選定だけで終わらせず、実際に復旧可能な構成と手順へ落とし込む。</t>
      </text>
    </comment>
    <comment ref="E7" authorId="0" shapeId="0">
      <text>
        <t>未検証のDR計画が災害時に機能しないリスクを、実測と改善ループで抑える。</t>
      </text>
    </comment>
    <comment ref="E8" authorId="1" shapeId="0">
      <text>
        <t>【意図】SLOがないと信頼性投資と機能開発のトレードオフを合理的に判断できない。
【対象ドキュメント】Google Cloud WAF &gt; オペレーショナルエクセレンス &gt; Ensure operational readiness and performance using CloudOps &gt; Define SLOs and SLAs / Reliability &gt; Set realistic targets for reliability</t>
      </text>
    </comment>
    <comment ref="E9" authorId="1" shapeId="0">
      <text>
        <t>【意図】全コンポーネントを同列に扱うと、重要フローの保護不足か過剰投資のいずれかになる。
【対象ドキュメント】Azure WA &gt; 信頼性 &gt; RE:02 Identify and rate user and system flows</t>
      </text>
    </comment>
    <comment ref="E10" authorId="1" shapeId="0">
      <text>
        <t>【意図】故障点を事前に洗い出さないと、単一障害点や依存障害が本番で初めて顕在化する。
【対象ドキュメント】Azure WA &gt; 信頼性 &gt; RE:03 Use failure mode analysis</t>
      </text>
    </comment>
    <comment ref="E11" authorId="1" shapeId="0">
      <text>
        <t>【意図】制御なき呼び出しはリトライストームとリソース枯渇でカスケード障害を起こす。
【対象ドキュメント】AWS WA &gt; 信頼性 &gt; REL05-BP02 Throttle requests / REL05-BP03 Control and limit retry calls / REL05-BP05 Set client timeouts / Azure WA &gt; 信頼性 &gt; RE:07 Implement mechanisms for handling transient faults</t>
      </text>
    </comment>
    <comment ref="E12" authorId="1" shapeId="0">
      <text>
        <t>【意図】縮退設計がないと部分障害・過負荷が連鎖的な全面停止に発展する。
【対象ドキュメント】Google Cloud WAF &gt; Reliability &gt; Design for graceful degradation &gt; Implement throttling / Drop excess requests early / Azure WA &gt; 信頼性 &gt; RE:07 Implement a graceful degradation mode</t>
      </text>
    </comment>
    <comment ref="E13" authorId="1" shapeId="0">
      <text>
        <t>【意図】密結合・非冪等な設計は部分障害の連鎖とデータ不整合を生む。
【対象ドキュメント】AWS WA &gt; 信頼性 &gt; REL04-BP02 Implement loosely coupled dependencies / REL04-BP04 Make mutating operations idempotent / Google Cloud WAF &gt; Reliability &gt; Take advantage of horizontal scalability &gt; Promote modular design</t>
      </text>
    </comment>
    <comment ref="E14" authorId="0" shapeId="0">
      <text>
        <t>ステートレス化を唯一解にせず、ワークロード特性に合う状態分割・複製方式も許容しつつ、拡張性と復旧性を検証する。</t>
      </text>
    </comment>
    <comment ref="E15" authorId="1" shapeId="0">
      <text>
        <t>【意図】健全性の誤判定は異常系への振り分け継続やフェイルオーバー不発を招く。
【対象ドキュメント】OCI WAF &gt; Reliability and Resilience &gt; Understand the Health of Your Workload &gt; Implement Health Checks</t>
      </text>
    </comment>
    <comment ref="E16" authorId="1" shapeId="0">
      <text>
        <t>【意図】訓練なしの冗長化・DR・対応体制は、本番障害で初めて欠陥が露見する。
【対象ドキュメント】AWS WA &gt; 信頼性 &gt; REL12-BP04 Test resiliency using chaos engineering / REL12-BP05 Conduct game days regularly / Google Cloud WAF &gt; Reliability &gt; Perform testing for recovery from failures &gt; Simulate failure scenarios / Azure WA &gt; 信頼性 &gt; RE:08 Test for resiliency and availability scenarios / OCI WAF &gt; Reliability and Resilience &gt; Periodically Test with Simulations and Forced Failovers</t>
      </text>
    </comment>
    <comment ref="E17" authorId="1" shapeId="0">
      <text>
        <t>【意図】上限到達はスケール失敗・復旧失敗として需要ピークや災害時の最悪のタイミングで顕在化する。
【対象ドキュメント】AWS WA &gt; 信頼性 &gt; REL01-BP04 Monitor and manage quotas / REL01-BP06 / Google Cloud WAF &gt; パフォーマンス最適化 &gt; Plan resource allocation &gt; Configure and manage quotas / OCI WAF &gt; Reliability and Resilience &gt; Manage Your Service Limits &gt; Monitor and Manage Your Service Limits / Factor Failover Usage in Your Service Limits</t>
      </text>
    </comment>
    <comment ref="E18" authorId="1" shapeId="0">
      <text>
        <t>【意図】単一経路のハイブリッド接続は回線障害で基幹連携が全断する。
【対象ドキュメント】OCI WAF &gt; Reliability and Resilience &gt; Define Your Network and Connectivity Architecture &gt; Use Redundant Connections for Your On-Premises Environments and Private Resources</t>
      </text>
    </comment>
    <comment ref="E19" authorId="1" shapeId="0">
      <text>
        <t>【意図】CIDR重複・枯渇は後からの接続・拡張を物理的に不可能にし、再構築コストが莫大になる。
【対象ドキュメント】OCI WAF &gt; Reliability and Resilience &gt; Define Your Network and Connectivity Architecture &gt; Establish Non-Overlapping Private Network Ranges / Size Your Virtual Cloud Network to Allow for Expansion</t>
      </text>
    </comment>
    <comment ref="E20" authorId="1" shapeId="0">
      <text>
        <t>【意図】過剰・恒久の権限は認証情報漏えい・内部不正時の被害を最大化する。
【対象ドキュメント】AWS WA &gt; セキュリティ &gt; SEC03-BP02 Grant least privilege access / Google Cloud WAF &gt; セキュリティ &gt; Implement zero trust &gt; Verify every access attempt explicitly / Azure WA &gt; セキュリティ &gt; SE:05 JIT/JEA・identity lifecycle / OCI WAF &gt; Security and Compliance &gt; Isolate Resources and Control Access &gt; Implement Role-Based Access Control</t>
      </text>
    </comment>
    <comment ref="E21" authorId="1" shapeId="0">
      <text>
        <t>【意図】パスワード単独認証はフィッシング一撃でアカウント乗っ取り・環境全体の侵害に至る。
【対象ドキュメント】AWS WA &gt; セキュリティ &gt; SEC02-BP01 Use strong sign-in mechanisms / Google Cloud WAF &gt; セキュリティ &gt; Implement zero trust &gt; Verify every access attempt explicitly / OCI WAF &gt; Security and Compliance &gt; Manage Identities and Authorization Policies &gt; Use Multi-Factor Authentication (MFA)</t>
      </text>
    </comment>
    <comment ref="E22" authorId="1" shapeId="0">
      <text>
        <t>【意図】静的認証情報の埋め込みは漏えい・横展開の主要経路となり、漏えい後も長期間悪用され続ける。
【対象ドキュメント】AWS WA &gt; セキュリティ &gt; SEC02-BP02 Use temporary credentials / OCI WAF &gt; Security and Compliance &gt; Isolate Resources and Control Access &gt; Don't Store User Credentials on Compute Instances / Secure Cross-Resource Access</t>
      </text>
    </comment>
    <comment ref="E23" authorId="1" shapeId="0">
      <text>
        <t>【意図】ID分散管理は退職者アカウント残存等のガバナンス欠陥を生み、不正アクセスの温床となる。
【対象ドキュメント】OCI WAF &gt; Security and Compliance &gt; Manage Identities and Authorization Policies &gt; Federate Oracle Cloud Infrastructure Identity and Access Management</t>
      </text>
    </comment>
    <comment ref="E24" authorId="1" shapeId="0">
      <text>
        <t>【意図】ハードコードされたシークレットはコード流出と同時に漏えいし、データ侵害に直結する。
【対象ドキュメント】AWS WA &gt; セキュリティ &gt; SEC02-BP03 Store and use secrets securely / Azure WA &gt; セキュリティ &gt; SE:09 Protect application secrets / OCI WAF &gt; Security and Compliance &gt; Protect Data at Rest &gt; Maintain Keys and Secrets in Oracle Cloud Infrastructure Vault</t>
      </text>
    </comment>
    <comment ref="E25" authorId="1" shapeId="0">
      <text>
        <t>【意図】暗号化・鍵管理の不備は媒体・スナップショット経由のデータ漏えいと規制違反を招く。
【対象ドキュメント】AWS WA &gt; セキュリティ &gt; SEC08-BP01 Implement secure key management / SEC08-BP02 Enforce encryption at rest / Google Cloud WAF &gt; セキュリティ &gt; Implement security by design &gt; Encrypt data at rest and in transit / Azure WA &gt; セキュリティ &gt; SE:07 Encrypt data by using modern industry-standard methods / OCI WAF &gt; Security and Compliance &gt; Protect Data at Rest &gt; Encrypt Data in Block Volumes / Maintain Keys and Secrets in Vault</t>
      </text>
    </comment>
    <comment ref="E26" authorId="1" shapeId="0">
      <text>
        <t>【意図】平文通信は盗聴・中間者攻撃を許し、証明書切れは突然のサービス停止を起こす。
【対象ドキュメント】AWS WA &gt; セキュリティ &gt; SEC09-BP02 Enforce encryption in transit / Google Cloud WAF &gt; セキュリティ &gt; Implement security by design &gt; Encrypt data at rest and in transit / Azure WA &gt; セキュリティ &gt; SE:07 Encrypt data by using modern industry-standard methods</t>
      </text>
    </comment>
    <comment ref="E27" authorId="1" shapeId="0">
      <text>
        <t>【意図】フラットなネットワークと広範な開放は侵入と横展開(ラテラルムーブメント)を容易にする。
【対象ドキュメント】Google Cloud WAF &gt; セキュリティ &gt; Implement zero trust &gt; Secure your network / Azure WA &gt; セキュリティ &gt; SE:06 Isolate, filter, and control network traffic / OCI WAF &gt; Security and Compliance &gt; Ensure Secure Network Access &gt; Implement Network Access Controls / Isolate Resources at the Network Layer</t>
      </text>
    </comment>
    <comment ref="E28" authorId="1" shapeId="0">
      <text>
        <t>【意図】境界型防御のみでは、侵入後の横移動と内部不正を防げない。
【対象ドキュメント】Google Cloud WAF &gt; セキュリティ &gt; Implement zero trust &gt; Verify every access attempt explicitly</t>
      </text>
    </comment>
    <comment ref="E29" authorId="1" shapeId="0">
      <text>
        <t>【意図】ストレージ公開設定ミスはクラウドで最も頻発する大規模データ漏えいの原因である。
【対象ドキュメント】OCI WAF &gt; Security and Compliance &gt; Protect Data at Rest &gt; Ensure Secure Access to Object Storage / Isolate Resources and Control Access &gt; Define Security Zones</t>
      </text>
    </comment>
    <comment ref="E30" authorId="1" shapeId="0">
      <text>
        <t>【意図】証跡がなければ侵害・誤操作の調査とフォレンジック・説明責任が果たせない。
【対象ドキュメント】AWS WA &gt; セキュリティ &gt; SEC04-BP01 Configure service and application logging / OCI WAF &gt; Security and Compliance &gt; Monitor and Audit Your Environment &gt; Configure Auditing</t>
      </text>
    </comment>
    <comment ref="E31" authorId="1" shapeId="0">
      <text>
        <t>【意図】検知の空白は侵害の長期潜伏を許し、被害を桁違いに拡大させる。
【対象ドキュメント】AWS WA &gt; セキュリティ &gt; SEC04-BP02 / SEC04-BP04 / OCI WAF &gt; Security and Compliance &gt; Monitor and Audit Your Environment &gt; Enable Cloud Guard for Monitoring / Aggregate Service Logs to SIEM Platforms</t>
      </text>
    </comment>
    <comment ref="E32" authorId="1" shapeId="0">
      <text>
        <t>【意図】既知脆弱性の放置期間はそのまま侵害可能期間になる。
【対象ドキュメント】AWS WA &gt; セキュリティ &gt; SEC06-BP01 Perform vulnerability management / 運用上の優秀性 &gt; OPS05-BP05 Perform patch management / OCI WAF &gt; Security and Compliance &gt; Continuously Scan for Vulnerabilities / Operational Efficiency &gt; Manage Your Operating Systems</t>
      </text>
    </comment>
    <comment ref="E33" authorId="1" shapeId="0">
      <text>
        <t>【意図】本番到達後の脆弱性発見は修正コストと侵害リスクを桁違いに増やす。
【対象ドキュメント】AWS WA &gt; セキュリティ &gt; SEC11-BP02 Automate testing throughout the development and release lifecycle / Google Cloud WAF &gt; セキュリティ &gt; Implement shift-left security / Azure WA &gt; セキュリティ &gt; SE:02 Align secure development lifecycle / SE:11 Establish a comprehensive testing regimen</t>
      </text>
    </comment>
    <comment ref="E34" authorId="1" shapeId="0">
      <text>
        <t>【意図】既定のまま・不要機能の放置は攻撃者に不要な侵入経路を提供する。
【対象ドキュメント】Azure WA &gt; セキュリティ &gt; SE:08 Harden all workload components</t>
      </text>
    </comment>
    <comment ref="E35" authorId="1" shapeId="0">
      <text>
        <t>【意図】分類なきデータは機密データの所在不明を生み、保護の過不足と漏えいリスクを招く。
【対象ドキュメント】AWS WA &gt; セキュリティ &gt; SEC07-BP01 / SEC07-BP02 / Google Cloud WAF &gt; セキュリティ &gt; Meet regulatory, compliance, and privacy needs &gt; Classify your confidential data / Lock down access to sensitive data / Azure WA &gt; セキュリティ &gt; SE:03 Classify and consistently apply sensitivity labels</t>
      </text>
    </comment>
    <comment ref="E36" authorId="1" shapeId="0">
      <text>
        <t>【意図】対応手順がないと侵害時の初動が遅れ、封じ込め失敗による被害拡大を招く。
【対象ドキュメント】Azure WA &gt; セキュリティ &gt; SE:12 Define and test effective incident response procedures</t>
      </text>
    </comment>
    <comment ref="E37" authorId="1" shapeId="0">
      <text>
        <t>【意図】基準がないとセキュリティ状態の劣化・逸脱を検知できず、監査にも耐えられない。
【対象ドキュメント】Azure WA &gt; セキュリティ &gt; SE:01 Establish a security baseline</t>
      </text>
    </comment>
    <comment ref="E38" authorId="1" shapeId="0">
      <text>
        <t>【意図】コストの帰属不明はアカウンタビリティの欠如と最適化の停滞を招き、管理・セキュリティ両面の死角にもなる。
【対象ドキュメント】AWS WA &gt; コスト最適化 &gt; COST03-BP02 Add organization information to cost and usage / Google Cloud WAF &gt; コスト最適化 &gt; Use consistent resource labels / Provide organization-wide cost visibility / Azure WA &gt; コスト最適化 &gt; CO:03 Group and categorize cost data / OCI WAF &gt; Security and Compliance &gt; Organize Resources Using Compartments and Tags / Performance and Cost Optimization &gt; Track and Optimize Your Spending by Using Cost Analysis</t>
      </text>
    </comment>
    <comment ref="E39" authorId="1" shapeId="0">
      <text>
        <t>【意図】監視なきコストは、設定ミスや不正利用で月末に高額請求として顕在化する。
【対象ドキュメント】AWS WA &gt; コスト最適化 &gt; COST01-BP03 Establish cloud budgets and forecasts / COST01-BP06 Monitor cost proactively / Google Cloud WAF &gt; コスト最適化 &gt; Estimate realistic budgets and set financial boundaries / OCI WAF &gt; Performance and Cost Optimization &gt; Track and Manage Usage and Cost &gt; Define Budgets</t>
      </text>
    </comment>
    <comment ref="E40" authorId="1" shapeId="0">
      <text>
        <t>【意図】コストモデルがないと支出の妥当性を判断できず、課金単位との乖離は使っていない容量への支払いを生む。
【対象ドキュメント】Azure WA &gt; コスト最適化 &gt; CO:02 Create and maintain a cost model / CO:06 Align usage to billing increments</t>
      </text>
    </comment>
    <comment ref="E41" authorId="1" shapeId="0">
      <text>
        <t>【意図】使われないリソースへの支出は純粋な浪費として毎月累積し、攻撃面も増大させる。
【対象ドキュメント】AWS WA &gt; コスト最適化 &gt; COST04-BP01 / COST04-BP04 Decommission resources automatically / Azure WA &gt; コスト最適化 &gt; CO:07 Optimize component costs / OCI WAF &gt; Performance and Cost Optimization &gt; Implement a Process to Terminate or STOP Unused Resources</t>
      </text>
    </comment>
    <comment ref="E42" authorId="1" shapeId="0">
      <text>
        <t>【意図】一度決めたサイズの放置は、恒常的な過剰コストか性能不足を固定化する。
【対象ドキュメント】AWS WA &gt; コスト最適化 &gt; COST06-BP02 Select resource type, size, and number based on data / Google Cloud WAF &gt; オペレーショナルエクセレンス &gt; Manage and optimize cloud resources &gt; Right-size resources / OCI WAF &gt; Performance and Cost Optimization &gt; Track and Manage Usage and Cost</t>
      </text>
    </comment>
    <comment ref="E43" authorId="1" shapeId="0">
      <text>
        <t>【意図】割引評価を怠ると、同じ使用量に対して恒常的に割高な支払いが続く。
【対象ドキュメント】Google Cloud WAF &gt; コスト最適化 &gt; Foster a culture of cost awareness &gt; Understand discount-based cost optimization</t>
      </text>
    </comment>
    <comment ref="E44" authorId="1" shapeId="0">
      <text>
        <t>【意図】全環境を本番同等にすると、価値を生まない環境コストが支出を圧迫する。
【対象ドキュメント】Azure WA &gt; コスト最適化 &gt; CO:08 Optimize environment costs</t>
      </text>
    </comment>
    <comment ref="E45" authorId="1" shapeId="0">
      <text>
        <t>【意図】無期限の高性能階層保管はコストの単調増加と保持規制違反を招く。
【対象ドキュメント】AWS WA &gt; 持続可能性 &gt; SUS04-BP03 Use policies to manage the lifecycle of your datasets / OCI WAF &gt; Performance and Cost Optimization &gt; Implement Object Storage, Object Lifecycle Management</t>
      </text>
    </comment>
    <comment ref="E46" authorId="1" shapeId="0">
      <text>
        <t>【意図】手動構築の環境は再現不能で、構成ドリフトと復旧不能リスクを抱える。
【対象ドキュメント】AWS WA &gt; 運用上の優秀性 &gt; OPS05-BP01 Use version control / OPS05-BP04 / Google Cloud WAF &gt; オペレーショナルエクセレンス &gt; Automate and manage change &gt; Adopt IaC / Implement version control / Azure WA &gt; OE:05 Treat IaC and application code the same / OCI WAF &gt; Operational Efficiency &gt; Plan Your Deployment Strategy &gt; Adopt Infrastructure as Code</t>
      </text>
    </comment>
    <comment ref="E47" authorId="1" shapeId="0">
      <text>
        <t>【意図】手動リリース・未検証の変更はデプロイ起因障害の最大要因であり、トレーサビリティも失う。
【対象ドキュメント】AWS WA &gt; 運用上の優秀性 &gt; OPS05-BP09 / OPS05-BP10 Fully automate integration and deployment / Google Cloud WAF &gt; オペレーショナルエクセレンス &gt; Automate and manage change &gt; Build CI/CD pipelines / Azure WA &gt; OE:06 Build a workload supply chain / OCI WAF &gt; Operational Efficiency &gt; Adopt Build and Deployment Management Systems / Test and Validate Changes</t>
      </text>
    </comment>
    <comment ref="E48" authorId="1" shapeId="0">
      <text>
        <t>【意図】一括デプロイ+手動切り戻しは、不具合の全面波及と復旧遅延を招く。
【対象ドキュメント】AWS WA &gt; 運用上の優秀性 &gt; OPS06-BP03 Employ safe deployment strategies / OPS06-BP04 Automate testing and rollback</t>
      </text>
    </comment>
    <comment ref="E49" authorId="1" shapeId="0">
      <text>
        <t>【意図】本番一発勝負の変更は検証不能な障害リスクをそのまま本番に持ち込む。
【対象ドキュメント】AWS WA &gt; 運用上の優秀性 &gt; OPS05-BP08 Use multiple environments</t>
      </text>
    </comment>
    <comment ref="E50" authorId="1" shapeId="0">
      <text>
        <t>【意図】観測性の欠如は障害検知の遅れと原因調査の長期化を招く。
【対象ドキュメント】AWS WA &gt; 運用上の優秀性 &gt; OPS04-BP01〜BP05 / Google Cloud WAF &gt; Reliability &gt; Detect potential failures by using observability &gt; Gain comprehensive insights / Azure WA &gt; 信頼性 &gt; RE:10 Continuously measure and track system health</t>
      </text>
    </comment>
    <comment ref="E51" authorId="1" shapeId="0">
      <text>
        <t>【意図】アラートの穴は検知遅延を、ノイズ過多は重大イベントの見逃しを生む。
【対象ドキュメント】AWS WA &gt; 運用上の優秀性 &gt; OPS08-BP04 Create actionable alerts / OPS10-BP02 / Google Cloud WAF &gt; Reliability &gt; Detect potential failures by using observability &gt; Prioritize alerts / OCI WAF &gt; Operational Efficiency &gt; Monitor Your Workload &gt; Create a Set of Alarms for Each Metric / Tune Your Alarms</t>
      </text>
    </comment>
    <comment ref="E52" authorId="1" shapeId="0">
      <text>
        <t>【意図】手順の属人化は担当者不在時の対応不能・初動の混乱とオペミスを招く。
【対象ドキュメント】AWS WA &gt; 運用上の優秀性 &gt; OPS07-BP03 Use runbooks / OPS07-BP04 Use playbooks / Google Cloud WAF &gt; オペレーショナルエクセレンス &gt; Manage incidents and problems &gt; Establish clear incident response procedures</t>
      </text>
    </comment>
    <comment ref="E53" authorId="1" shapeId="0">
      <text>
        <t>【意図】場当たり的な対応は復旧を遅らせ、学習なき組織は同じ障害を繰り返す。
【対象ドキュメント】AWS WA &gt; 運用上の優秀性 &gt; OPS10-BP01 / OPS11-BP02 Perform post-incident analysis / Google Cloud WAF &gt; Reliability &gt; Conduct blameless postmortems / Azure WA &gt; OE:08 Establish a clear, structured incident management process</t>
      </text>
    </comment>
    <comment ref="E54" authorId="1" shapeId="0">
      <text>
        <t>【意図】手作業運用はヒューマンエラーと属人化の温床であり、スケールもしない。
【対象ドキュメント】Azure WA &gt; OE:10 Design automation to be reliable, secure, and maintainable / OCI WAF &gt; Operational Efficiency &gt; Perform Operations as Code</t>
      </text>
    </comment>
    <comment ref="E55" authorId="1" shapeId="0">
      <text>
        <t>【意図】削除は不可逆であり、隠れた依存関係を見逃すと本番障害・データ喪失を引き起こす。
【対象ドキュメント】Azure WA &gt; OE:11 Plan and execute safe decommissioning</t>
      </text>
    </comment>
    <comment ref="E56" authorId="1" shapeId="0">
      <text>
        <t>【意図】固定容量はピーク時の性能劣化・停止とオフピーク時のコスト浪費を同時に生む。
【対象ドキュメント】AWS WA &gt; 信頼性 &gt; REL07-BP01 Use automation when obtaining or scaling resources / Google Cloud WAF &gt; オペレーショナルエクセレンス &gt; Use autoscaling / パフォーマンス最適化 &gt; Take advantage of elasticity / OCI WAF &gt; Reliability and Resilience &gt; Design for Scalability &gt; Scale Cloud Resources to Meet Your Workload Requirements</t>
      </text>
    </comment>
    <comment ref="E57" authorId="1" shapeId="0">
      <text>
        <t>【意図】数値目標がないと性能の合否判定も劣化検知もできない。
【対象ドキュメント】Azure WA &gt; パフォーマンス効率 &gt; PE:01 Define performance targets</t>
      </text>
    </comment>
    <comment ref="E58" authorId="1" shapeId="0">
      <text>
        <t>【意図】未検証の容量・性能想定は繁忙期のピークで初めて破綻が発覚する。
【対象ドキュメント】AWS WA &gt; 信頼性 &gt; REL07-BP04 Load test your workload / OCI WAF &gt; Reliability and Resilience &gt; Design for Scalability &gt; Perform Load Tests</t>
      </text>
    </comment>
    <comment ref="E59" authorId="1" shapeId="0">
      <text>
        <t>【意図】容量計画がないと、リソース枯渇による停止か過剰プロビジョニングによる浪費が発生する。
【対象ドキュメント】Google Cloud WAF &gt; オペレーショナルエクセレンス &gt; Ensure operational readiness and performance using CloudOps &gt; Plan and manage capacity / Azure WA &gt; パフォーマンス効率 &gt; PE:02 Conduct capacity planning</t>
      </text>
    </comment>
    <comment ref="E60" authorId="1" shapeId="0">
      <text>
        <t>【意図】計測がないと徐々に進行する性能劣化を検知できない。
【対象ドキュメント】Azure WA &gt; パフォーマンス効率 &gt; PE:04 Establish consistent performance measurement / PE:12 Continuously optimize performance</t>
      </text>
    </comment>
    <comment ref="E61" authorId="1" shapeId="0">
      <text>
        <t>【意図】運用タスクの無配慮な実行はピーク時間帯の性能劣化を引き起こす。
【対象ドキュメント】Azure WA &gt; パフォーマンス効率 &gt; PE:10 Optimize operational tasks</t>
      </text>
    </comment>
    <comment ref="E62" authorId="1" shapeId="0">
      <text>
        <t>【意図】同居環境は開発側の事故・侵害が本番へ直結する。
【対象ドキュメント】AWS WA &gt; セキュリティ &gt; SEC01-BP01 Separate workloads using accounts</t>
      </text>
    </comment>
    <comment ref="E63" authorId="1" shapeId="0">
      <text>
        <t>【意図】個別アカウントの統制任せでは1つのミスが組織全体のリスクとなり、無標準の環境構築はガバナンス欠如構成を量産する。
【対象ドキュメント】AWS WA &gt; セキュリティ &gt; SEC03-BP05 Define permission guardrails for your organization / OCI WAF &gt; Get Started &gt; About Landing Zones and the OCI Well-Architected Pillars</t>
      </text>
    </comment>
    <comment ref="E64" authorId="1" shapeId="0">
      <text>
        <t>【意図】責任の空白地帯(誰もやらない領域)は重大事故の典型的な原因である。
【対象ドキュメント】OCI WAF &gt; Operational Efficiency &gt; About Best Practices for Operating Cloud Deployments Efficiently &gt; Identify Your Responsibilities</t>
      </text>
    </comment>
    <comment ref="E65" authorId="1" shapeId="0">
      <text>
        <t>【意図】コンプライアンスを一度きりの対応にすると、構成変更で逸脱しても気づけない。
【対象ドキュメント】Google Cloud WAF &gt; セキュリティ &gt; Meet regulatory, compliance, and privacy needs &gt; Assess your compliance needs / Monitor your compliance</t>
      </text>
    </comment>
    <comment ref="E66" authorId="1" shapeId="0">
      <text>
        <t>【意図】所在地統制の欠如は域外保存による法令・契約違反と、事後の高コストな移設を招く。
【対象ドキュメント】Google Cloud WAF &gt; セキュリティ &gt; Meet regulatory, compliance, and privacy needs &gt; Control data residency / OCI WAF &gt; Operational Efficiency &gt; Plan Your Deployment Strategy &gt; Choose a Region Based on Your Customers and Data</t>
      </text>
    </comment>
    <comment ref="E67" authorId="1" shapeId="0">
      <text>
        <t>【意図】目標なき環境負荷は可視化されず、組織のESG要求と乖離していく。
【対象ドキュメント】AWS WA &gt; 持続可能性 &gt; SUS06-BP01 Communicate and cascade your sustainability goals</t>
      </text>
    </comment>
  </commentList>
</comments>
</file>

<file path=xl/comments/comment14.xml><?xml version="1.0" encoding="utf-8"?>
<comments xmlns="http://schemas.openxmlformats.org/spreadsheetml/2006/main">
  <authors>
    <author>SWEBOKレビューハーネス</author>
  </authors>
  <commentList>
    <comment ref="E2" authorId="0" shapeId="0">
      <text>
        <t>【意図】手動構築や未管理の変更は環境の再現・ロールバックを不可能にし、障害復旧を遅らせる。
【対象ドキュメント】AWS Well-Architected Framework &gt; 運用上の優秀性の柱 &gt; OPS 5 &gt; OPS05-BP01 Use version control</t>
      </text>
    </comment>
    <comment ref="E3" authorId="0" shapeId="0">
      <text>
        <t>【意図】手動デプロイは構成差異とヒューマンエラーを生み、デプロイ起因の障害率を高める。
【対象ドキュメント】AWS Well-Architected Framework &gt; 運用上の優秀性の柱 &gt; OPS 5 &gt; OPS05-BP04 Use build and deployment management systems</t>
      </text>
    </comment>
    <comment ref="E4" authorId="0" shapeId="0">
      <text>
        <t>【意図】テレメトリがないと障害の検知・切り分けができず、MTTRが増大する。
【対象ドキュメント】AWS Well-Architected Framework &gt; 運用上の優秀性の柱 &gt; OPS 4 &gt; OPS04-BP02 Implement application telemetry</t>
      </text>
    </comment>
    <comment ref="E5" authorId="0" shapeId="0">
      <text>
        <t>【意図】分散システムでは単一サービスのログだけでは遅延・エラーの発生箇所を特定できない。
【対象ドキュメント】AWS Well-Architected Framework &gt; 運用上の優秀性の柱 &gt; OPS 4 &gt; OPS04-BP05 Implement distributed tracing</t>
      </text>
    </comment>
    <comment ref="E6" authorId="0" shapeId="0">
      <text>
        <t>【意図】アクション不能なアラームはアラート疲れを起こし、重大イベントの見逃しにつながる。
【対象ドキュメント】AWS Well-Architected Framework &gt; 運用上の優秀性の柱 &gt; OPS 8 &gt; OPS08-BP04 Create actionable alerts</t>
      </text>
    </comment>
    <comment ref="E7" authorId="0" shapeId="0">
      <text>
        <t>【意図】状態の可視化がないと障害時の状況把握と関係者への共有が遅れる。
【対象ドキュメント】AWS Well-Architected Framework &gt; 運用上の優秀性の柱 &gt; OPS 8 &gt; OPS08-BP05 Create dashboards</t>
      </text>
    </comment>
    <comment ref="E8" authorId="0" shapeId="0">
      <text>
        <t>【意図】一括置換デプロイは不具合発生時に全ユーザーへ影響が及び、復旧に時間がかかる。
【対象ドキュメント】AWS Well-Architected Framework &gt; 運用上の優秀性の柱 &gt; OPS 6 &gt; OPS06-BP03 Employ safe deployment strategies</t>
      </text>
    </comment>
    <comment ref="E9" authorId="0" shapeId="0">
      <text>
        <t>【意図】自動ロールバックがないと、深夜・休日のデプロイ障害で人手による復旧待ちが発生し停止が長引く。
【対象ドキュメント】AWS Well-Architected Framework &gt; 運用上の優秀性の柱 &gt; OPS 6 &gt; OPS06-BP04 Automate testing and rollback</t>
      </text>
    </comment>
    <comment ref="E10" authorId="0" shapeId="0">
      <text>
        <t>【意図】手順が属人化していると、担当者不在時にオペレーションミスや対応遅延が発生する。
【対象ドキュメント】AWS Well-Architected Framework &gt; 運用上の優秀性の柱 &gt; OPS 7 &gt; OPS07-BP03 Use runbooks to perform procedures</t>
      </text>
    </comment>
    <comment ref="E11" authorId="0" shapeId="0">
      <text>
        <t>【意図】サポートプランがないとAWS基盤側の障害・不明事象で技術支援を受けられず、復旧が長期化する。
【対象ドキュメント】AWS Well-Architected Framework &gt; 運用上の優秀性の柱 &gt; OPS 7 &gt; OPS07-BP06 Create support plans for production workloads</t>
      </text>
    </comment>
    <comment ref="E12" authorId="0" shapeId="0">
      <text>
        <t>【意図】事後分析を怠ると同種の障害が再発し、運用品質が改善しない。
【対象ドキュメント】AWS Well-Architected Framework &gt; 運用上の優秀性の柱 &gt; OPS 11 &gt; OPS11-BP02 Perform post-incident analysis</t>
      </text>
    </comment>
    <comment ref="E13" authorId="0" shapeId="0">
      <text>
        <t>【意図】アカウント同居は爆発半径を広げ、開発環境の侵害や誤操作が本番に直結する。
【対象ドキュメント】AWS Well-Architected Framework &gt; セキュリティの柱 &gt; SEC 1 &gt; SEC01-BP01 Separate workloads using accounts</t>
      </text>
    </comment>
    <comment ref="E14" authorId="0" shapeId="0">
      <text>
        <t>【意図】ルート認証情報の漏えいはアカウント全体の乗っ取り(全リソース削除・データ侵害)に直結する。
【対象ドキュメント】AWS Well-Architected Framework &gt; セキュリティの柱 &gt; SEC 1 &gt; SEC01-BP02 Secure account root user and properties</t>
      </text>
    </comment>
    <comment ref="E15" authorId="0" shapeId="0">
      <text>
        <t>【意図】分散したIDは退職者アカウントの削除漏れや認証情報の放置を招き、不正アクセスの温床になる。
【対象ドキュメント】AWS Well-Architected Framework &gt; セキュリティの柱 &gt; SEC 2 &gt; SEC02-BP04 Rely on a centralized identity provider</t>
      </text>
    </comment>
    <comment ref="E16" authorId="0" shapeId="0">
      <text>
        <t>【意図】長期アクセスキーはコード・端末からの漏えいリスクが高く、漏えい時に長期間悪用される。
【対象ドキュメント】AWS Well-Architected Framework &gt; セキュリティの柱 &gt; SEC 2 &gt; SEC02-BP02 Use temporary credentials</t>
      </text>
    </comment>
    <comment ref="E17" authorId="0" shapeId="0">
      <text>
        <t>【意図】コードに埋め込まれたシークレットはリポジトリ経由で漏えいし、データベース侵害等に直結する。
【対象ドキュメント】AWS Well-Architected Framework &gt; セキュリティの柱 &gt; SEC 2 &gt; SEC02-BP03 Store and use secrets securely</t>
      </text>
    </comment>
    <comment ref="E18" authorId="0" shapeId="0">
      <text>
        <t>【意図】パスワード単独認証はフィッシングやリスト型攻撃で容易に突破される。
【対象ドキュメント】AWS Well-Architected Framework &gt; セキュリティの柱 &gt; SEC 2 &gt; SEC02-BP01 Use strong sign-in mechanisms</t>
      </text>
    </comment>
    <comment ref="E19" authorId="0" shapeId="0">
      <text>
        <t>【意図】過剰権限は認証情報漏えい時の被害を最大化し、全リソース破壊やデータ持ち出しを許す。
【対象ドキュメント】AWS Well-Architected Framework &gt; セキュリティの柱 &gt; SEC 3 &gt; SEC03-BP02 Grant least privilege access</t>
      </text>
    </comment>
    <comment ref="E20" authorId="0" shapeId="0">
      <text>
        <t>【意図】ガードレールがないと、個々のアカウント管理者のミスや侵害が組織全体の統制を破壊する。
【対象ドキュメント】AWS Well-Architected Framework &gt; セキュリティの柱 &gt; SEC 3 &gt; SEC03-BP05 Define permission guardrails for your organization</t>
      </text>
    </comment>
    <comment ref="E21" authorId="0" shapeId="0">
      <text>
        <t>【意図】意図しないリソース公開(S3バケット、KMSキー、ロール等)は情報漏えいの典型的な原因である。
【対象ドキュメント】AWS Well-Architected Framework &gt; セキュリティの柱 &gt; SEC 3 &gt; SEC03-BP07 Analyze public and cross-account access</t>
      </text>
    </comment>
    <comment ref="E22" authorId="0" shapeId="0">
      <text>
        <t>【意図】証跡がないと侵害の検知・調査が不可能になり、被害範囲を特定できない。
【対象ドキュメント】AWS Well-Architected Framework &gt; セキュリティの柱 &gt; SEC 4 &gt; SEC04-BP01 Configure service and application logging</t>
      </text>
    </comment>
    <comment ref="E23" authorId="0" shapeId="0">
      <text>
        <t>【意図】脅威検出がないと、不正マイニングや認証情報悪用などの侵害兆候に気づけない。
【対象ドキュメント】AWS Well-Architected Framework &gt; セキュリティの柱 &gt; SEC 4 &gt; SEC04-BP02 Capture logs, findings, and metrics in standardized locations</t>
      </text>
    </comment>
    <comment ref="E24" authorId="0" shapeId="0">
      <text>
        <t>【意図】構成ドリフトを放置すると、当初は安全だった環境に公開リソースや未暗号化リソースが混入する。
【対象ドキュメント】AWS Well-Architected Framework &gt; セキュリティの柱 &gt; SEC 4 &gt; SEC04-BP04 Initiate remediation for non-compliant resources</t>
      </text>
    </comment>
    <comment ref="E25" authorId="0" shapeId="0">
      <text>
        <t>【意図】内部リソースの直接公開は攻撃面を不必要に拡大し、侵入の足がかりを与える。
【対象ドキュメント】AWS Well-Architected Framework &gt; セキュリティの柱 &gt; SEC 5 &gt; SEC05-BP01 Create network layers</t>
      </text>
    </comment>
    <comment ref="E26" authorId="0" shapeId="0">
      <text>
        <t>【意図】管理ポートの全開放は総当たり攻撃と侵入の最頻出経路であり、侵害に直結する。
【対象ドキュメント】AWS Well-Architected Framework &gt; セキュリティの柱 &gt; SEC 5 &gt; SEC05-BP02 Control traffic flow within your network layers</t>
      </text>
    </comment>
    <comment ref="E27" authorId="0" shapeId="0">
      <text>
        <t>【意図】アプリケーション層の防御がないと、SQLi/XSSや大量リクエストによる侵害・停止のリスクが高まる。
【対象ドキュメント】AWS Well-Architected Framework &gt; セキュリティの柱 &gt; SEC 5 &gt; SEC05-BP03 Implement inspection-based protection</t>
      </text>
    </comment>
    <comment ref="E28" authorId="0" shapeId="0">
      <text>
        <t>【意図】既知脆弱性の放置は侵害の最も一般的な原因であり、修復遅延がそのままリスク期間になる。
【対象ドキュメント】AWS Well-Architected Framework &gt; セキュリティの柱 &gt; SEC 6 &gt; SEC06-BP01 Perform vulnerability management</t>
      </text>
    </comment>
    <comment ref="E29" authorId="0" shapeId="0">
      <text>
        <t>【意図】SSH鍵の共有・放置は監査不能なアクセスを生み、鍵漏えい時の侵入を許す。
【対象ドキュメント】AWS Well-Architected Framework &gt; セキュリティの柱 &gt; SEC 6 &gt; SEC06-BP03 Reduce manual management and interactive access</t>
      </text>
    </comment>
    <comment ref="E30" authorId="0" shapeId="0">
      <text>
        <t>【意図】保管時暗号化の欠如は、スナップショット共有ミスや媒体レベルの漏えい時にデータがそのまま露出する。
【対象ドキュメント】AWS Well-Architected Framework &gt; セキュリティの柱 &gt; SEC 8 &gt; SEC08-BP02 Enforce encryption at rest</t>
      </text>
    </comment>
    <comment ref="E31" authorId="0" shapeId="0">
      <text>
        <t>【意図】S3バケットの誤公開はクラウドで最も多い大規模情報漏えいの原因である。
【対象ドキュメント】AWS Well-Architected Framework &gt; セキュリティの柱 &gt; SEC 8 &gt; SEC08-BP04 Enforce access control</t>
      </text>
    </comment>
    <comment ref="E32" authorId="0" shapeId="0">
      <text>
        <t>【意図】平文通信は盗聴・中間者攻撃を許し、証明書の期限切れはサービス停止を起こす。
【対象ドキュメント】AWS Well-Architected Framework &gt; セキュリティの柱 &gt; SEC 9 &gt; SEC09-BP02 Enforce encryption in transit</t>
      </text>
    </comment>
    <comment ref="E33" authorId="0" shapeId="0">
      <text>
        <t>【意図】準備なきインシデント対応は初動を誤らせ、封じ込め失敗による被害拡大を招く。
【対象ドキュメント】AWS Well-Architected Framework &gt; セキュリティの柱 &gt; SEC 10 &gt; SEC10-BP02 Develop incident management plans / SEC10-BP04 Develop and test security incident response playbooks</t>
      </text>
    </comment>
    <comment ref="E34" authorId="0" shapeId="0">
      <text>
        <t>【意図】クォータ到達はスケールアウト失敗やAPIスロットリングを引き起こし、需要ピーク時に障害となる。
【対象ドキュメント】AWS Well-Architected Framework &gt; 信頼性の柱 &gt; REL 1 &gt; REL01-BP04 Monitor and manage quotas</t>
      </text>
    </comment>
    <comment ref="E35" authorId="0" shapeId="0">
      <text>
        <t>【意図】災害時にクォータ不足で復旧リソースを起動できず、DR計画が絵に描いた餅になる。
【対象ドキュメント】AWS Well-Architected Framework &gt; 信頼性の柱 &gt; REL 1 &gt; REL01-BP06 Ensure that a sufficient gap exists between the current quotas and the maximum usage to accommodate failover</t>
      </text>
    </comment>
    <comment ref="E36" authorId="0" shapeId="0">
      <text>
        <t>【意図】エンドポイントが単一障害点だと、その1点の障害がサービス全停止になる。
【対象ドキュメント】AWS Well-Architected Framework &gt; 信頼性の柱 &gt; REL 2 &gt; REL02-BP01 Use highly available network connectivity for your workload public endpoints</t>
      </text>
    </comment>
    <comment ref="E37" authorId="0" shapeId="0">
      <text>
        <t>【意図】単一回線のハイブリッド接続は回線断で基幹連携が全停止する。
【対象ドキュメント】AWS Well-Architected Framework &gt; 信頼性の柱 &gt; REL 2 &gt; REL02-BP02 Provision redundant connectivity between private networks in the cloud and on-premises environments</t>
      </text>
    </comment>
    <comment ref="E38" authorId="0" shapeId="0">
      <text>
        <t>【意図】密結合な同期連携は下流の一時障害が上流全体へ連鎖するカスケード障害を招く。
【対象ドキュメント】AWS Well-Architected Framework &gt; 信頼性の柱 &gt; REL 4 &gt; REL04-BP02 Implement loosely coupled dependencies</t>
      </text>
    </comment>
    <comment ref="E39" authorId="0" shapeId="0">
      <text>
        <t>【意図】非冪等な処理はリトライ・再配信時にデータ不整合や二重実行を引き起こす。
【対象ドキュメント】AWS Well-Architected Framework &gt; 信頼性の柱 &gt; REL 4 &gt; REL04-BP04 Make mutating operations idempotent</t>
      </text>
    </comment>
    <comment ref="E40" authorId="0" shapeId="0">
      <text>
        <t>【意図】無秩序なリトライはリトライストームとなり、障害中のサービスへの過負荷で復旧を妨げる。
【対象ドキュメント】AWS Well-Architected Framework &gt; 信頼性の柱 &gt; REL 5 &gt; REL05-BP03 Control and limit retry calls</t>
      </text>
    </comment>
    <comment ref="E41" authorId="0" shapeId="0">
      <text>
        <t>【意図】タイムアウト未設定はスレッド/コネクション枯渇を招き、依存先の遅延が自サービスの全停止に発展する。
【対象ドキュメント】AWS Well-Architected Framework &gt; 信頼性の柱 &gt; REL 5 &gt; REL05-BP05 Set client timeouts</t>
      </text>
    </comment>
    <comment ref="E42" authorId="0" shapeId="0">
      <text>
        <t>【意図】ステートフルなサーバーはスケールイン・障害時のインスタンス入替でユーザー影響を発生させる。
【対象ドキュメント】AWS Well-Architected Framework &gt; 信頼性の柱 &gt; REL 5 &gt; REL05-BP06 Make systems stateless where possible</t>
      </text>
    </comment>
    <comment ref="E43" authorId="0" shapeId="0">
      <text>
        <t>【意図】単一AZ構成はAZ障害(データセンター障害)でサービス全停止・データ喪失につながる。
【対象ドキュメント】AWS Well-Architected Framework &gt; 信頼性の柱 &gt; REL 10 &gt; REL10-BP01 Deploy the workload to multiple locations</t>
      </text>
    </comment>
    <comment ref="E44" authorId="0" shapeId="0">
      <text>
        <t>【意図】手動復旧前提の構成は夜間障害でMTTRが数時間単位に伸びる。
【対象ドキュメント】AWS Well-Architected Framework &gt; 信頼性の柱 &gt; REL 11 &gt; REL11-BP03 Automate healing on all layers</t>
      </text>
    </comment>
    <comment ref="E45" authorId="0" shapeId="0">
      <text>
        <t>【意図】バックアップの取得漏れ・手動運用は、障害・誤操作・ランサムウェア時の恒久的データ損失につながる。
【対象ドキュメント】AWS Well-Architected Framework &gt; 信頼性の柱 &gt; REL 9 &gt; REL09-BP01 Identify and back up all data that needs to be backed up / REL09-BP03 Perform data backup automatically</t>
      </text>
    </comment>
    <comment ref="E46" authorId="0" shapeId="0">
      <text>
        <t>【意図】本番と同一権限で消せるバックアップは、ランサムウェアや悪意ある操作で本体もろとも失われる。
【対象ドキュメント】AWS Well-Architected Framework &gt; 信頼性の柱 &gt; REL 9 &gt; REL09-BP02 Secure and encrypt backups</t>
      </text>
    </comment>
    <comment ref="E47" authorId="0" shapeId="0">
      <text>
        <t>【意図】復元テストのないバックアップは、いざという時に復元不能・手順不明で役に立たないことが多い。
【対象ドキュメント】AWS Well-Architected Framework &gt; 信頼性の柱 &gt; REL 9 &gt; REL09-BP04 Perform periodic recovery of the data to verify backup integrity and processes</t>
      </text>
    </comment>
    <comment ref="E48" authorId="0" shapeId="0">
      <text>
        <t>【意図】復旧目標がないとDR投資の過不足を判断できず、災害時に許容範囲を超える停止・データ損失が発生する。
【対象ドキュメント】AWS Well-Architected Framework &gt; 信頼性の柱 &gt; REL 13 &gt; REL13-BP01 Define recovery objectives for downtime and data loss</t>
      </text>
    </comment>
    <comment ref="E49" authorId="0" shapeId="0">
      <text>
        <t>【意図】DR戦略が未定義だと、リージョン規模の障害時に復旧手段がなく長期停止に陥る。
【対象ドキュメント】AWS Well-Architected Framework &gt; 信頼性の柱 &gt; REL 13 &gt; REL13-BP02 Use defined recovery strategies to meet the recovery objectives</t>
      </text>
    </comment>
    <comment ref="E50" authorId="0" shapeId="0">
      <text>
        <t>【意図】テストされないDRは構成ドリフトや手順の陳腐化により本番災害時に機能しない。
【対象ドキュメント】AWS Well-Architected Framework &gt; 信頼性の柱 &gt; REL 13 &gt; REL13-BP03 Test disaster recovery implementation to validate the implementation</t>
      </text>
    </comment>
    <comment ref="E51" authorId="0" shapeId="0">
      <text>
        <t>【意図】障害注入で検証しない回復性設計は、実障害時に想定外の挙動(フェイルオーバー失敗等)を露呈する。
【対象ドキュメント】AWS Well-Architected Framework &gt; 信頼性の柱 &gt; REL 12 &gt; REL12-BP04 Test resiliency using chaos engineering</t>
      </text>
    </comment>
    <comment ref="E52" authorId="0" shapeId="0">
      <text>
        <t>【意図】不適切なコンピューティング選択は性能不足またはリソース浪費を恒常化させる。
【対象ドキュメント】AWS Well-Architected Framework &gt; パフォーマンス効率の柱 &gt; PERF 2 &gt; PERF02-BP01 Select the best compute options for your workload</t>
      </text>
    </comment>
    <comment ref="E53" authorId="0" shapeId="0">
      <text>
        <t>【意図】勘に頼ったサイジングは、性能劣化かコスト浪費のいずれかを常に発生させる。
【対象ドキュメント】AWS Well-Architected Framework &gt; パフォーマンス効率の柱 &gt; PERF 2 &gt; PERF02-BP04 Configure and right-size compute resources</t>
      </text>
    </comment>
    <comment ref="E54" authorId="0" shapeId="0">
      <text>
        <t>【意図】固定台数構成はピーク時の性能劣化・障害とオフピーク時の浪費を同時に生む。
【対象ドキュメント】AWS Well-Architected Framework &gt; パフォーマンス効率の柱 &gt; PERF 2 &gt; PERF02-BP05 Scale your compute resources dynamically</t>
      </text>
    </comment>
    <comment ref="E55" authorId="0" shapeId="0">
      <text>
        <t>【意図】単一DBへの全用途集約はスケール限界と性能ボトルネックの温床になる。
【対象ドキュメント】AWS Well-Architected Framework &gt; パフォーマンス効率の柱 &gt; PERF 3 &gt; PERF03-BP01 Use a purpose-built data store that best supports your data access and storage requirements</t>
      </text>
    </comment>
    <comment ref="E56" authorId="0" shapeId="0">
      <text>
        <t>【意図】キャッシュ不在は読み取り負荷をDBに集中させ、コスト増とレイテンシ悪化を招く。
【対象ドキュメント】AWS Well-Architected Framework &gt; パフォーマンス効率の柱 &gt; PERF 3 &gt; PERF03-BP05 Implement data access patterns that utilize caching</t>
      </text>
    </comment>
    <comment ref="E57" authorId="0" shapeId="0">
      <text>
        <t>【意図】負荷分散・ヘルスチェックの不備は一部ノードの過負荷や異常ノードへのルーティングを許す。
【対象ドキュメント】AWS Well-Architected Framework &gt; パフォーマンス効率の柱 &gt; PERF 4 &gt; PERF04-BP04 Use load balancing to distribute traffic across multiple resources</t>
      </text>
    </comment>
    <comment ref="E58" authorId="0" shapeId="0">
      <text>
        <t>【意図】配置を考慮しないと遠隔ユーザーのレイテンシが悪化し、体感品質が低下する。
【対象ドキュメント】AWS Well-Architected Framework &gt; パフォーマンス効率の柱 &gt; PERF 4 &gt; PERF04-BP06 Choose your workload's location based on network requirements</t>
      </text>
    </comment>
    <comment ref="E59" authorId="0" shapeId="0">
      <text>
        <t>【意図】KPIがないと性能劣化の兆候を検知できず、改善の優先順位も付けられない。
【対象ドキュメント】AWS Well-Architected Framework &gt; パフォーマンス効率の柱 &gt; PERF 5 &gt; PERF05-BP01 Establish key performance indicators (KPIs) to measure workload health and performance / PERF05-BP07 Review metrics at regular intervals</t>
      </text>
    </comment>
    <comment ref="E60" authorId="0" shapeId="0">
      <text>
        <t>【意図】負荷テストなしのリリースは、キャンペーンや繁忙期のピークで初めて限界を知ることになる。
【対象ドキュメント】AWS Well-Architected Framework &gt; パフォーマンス効率の柱 &gt; PERF 5 &gt; PERF05-BP04 Load test your workload</t>
      </text>
    </comment>
    <comment ref="E61" authorId="0" shapeId="0">
      <text>
        <t>【意図】予算管理がないと、設定ミスや不正利用による想定外の高額請求に月末まで気づけない。
【対象ドキュメント】AWS Well-Architected Framework &gt; コスト最適化の柱 &gt; COST 1 &gt; COST01-BP03 Establish cloud budgets and forecasts</t>
      </text>
    </comment>
    <comment ref="E62" authorId="0" shapeId="0">
      <text>
        <t>【意図】コスト異常の放置は、リソースの暴走・クリプトマイニング被害・設定ミスによる浪費を長期化させる。
【対象ドキュメント】AWS Well-Architected Framework &gt; コスト最適化の柱 &gt; COST 1 &gt; COST01-BP06 Monitor cost proactively</t>
      </text>
    </comment>
    <comment ref="E63" authorId="0" shapeId="0">
      <text>
        <t>【意図】詳細データがないとコスト増加の原因特定と最適化対象の選定ができない。
【対象ドキュメント】AWS Well-Architected Framework &gt; コスト最適化の柱 &gt; COST 3 &gt; COST03-BP01 Configure detailed information sources</t>
      </text>
    </comment>
    <comment ref="E64" authorId="0" shapeId="0">
      <text>
        <t>【意図】タグがないとコストの帰属先が不明になり、責任の所在と最適化の打ち手が定まらない。
【対象ドキュメント】AWS Well-Architected Framework &gt; コスト最適化の柱 &gt; COST 3 &gt; COST03-BP02 Add organization information to cost and usage</t>
      </text>
    </comment>
    <comment ref="E65" authorId="0" shapeId="0">
      <text>
        <t>【意図】コストの可視化がないとコスト意識が根付かず、浪費が常態化する。
【対象ドキュメント】AWS Well-Architected Framework &gt; コスト最適化の柱 &gt; COST 3 &gt; COST03-BP05 Configure billing and cost management tools</t>
      </text>
    </comment>
    <comment ref="E66" authorId="0" shapeId="0">
      <text>
        <t>【意図】構造が無計画だとコストの按分に手作業が必要になり、集計誤りと管理コストが増える。
【対象ドキュメント】AWS Well-Architected Framework &gt; コスト最適化の柱 &gt; COST 2 &gt; COST02-BP03 Implement an account structure</t>
      </text>
    </comment>
    <comment ref="E67" authorId="0" shapeId="0">
      <text>
        <t>【意図】統制がないと開発者の試行や誤操作で高額リソースが放置され、浪費が発生する。
【対象ドキュメント】AWS Well-Architected Framework &gt; コスト最適化の柱 &gt; COST 2 &gt; COST02-BP05 Implement cost controls</t>
      </text>
    </comment>
    <comment ref="E68" authorId="0" shapeId="0">
      <text>
        <t>【意図】使われないリソースへの支払いは純粋な浪費であり、放置すると累積的に増大する。
【対象ドキュメント】AWS Well-Architected Framework &gt; コスト最適化の柱 &gt; COST 4 &gt; COST04-BP04 Decommission resources automatically</t>
      </text>
    </comment>
    <comment ref="E69" authorId="0" shapeId="0">
      <text>
        <t>【意図】オンデマンドのみの利用は、同じ使用量で数十%高いコストを払い続けることになる。
【対象ドキュメント】AWS Well-Architected Framework &gt; コスト最適化の柱 &gt; COST 7 &gt; COST07-BP01 Perform pricing model analysis</t>
      </text>
    </comment>
    <comment ref="E70" authorId="0" shapeId="0">
      <text>
        <t>【意図】データ転送費は見落とされやすく、アーキテクチャ次第で請求の主要因になる。
【対象ドキュメント】AWS Well-Architected Framework &gt; コスト最適化の柱 &gt; COST 8 &gt; COST08-BP01 Perform data transfer modeling</t>
      </text>
    </comment>
    <comment ref="E71" authorId="0" shapeId="0">
      <text>
        <t>【意図】NAT Gateway経由のAWSサービスアクセスやCDNなしの配信は、恒常的な転送費の浪費を生む。
【対象ドキュメント】AWS Well-Architected Framework &gt; コスト最適化の柱 &gt; COST 8 &gt; COST08-BP03 Implement services to reduce data transfer costs</t>
      </text>
    </comment>
    <comment ref="E72" authorId="0" shapeId="0">
      <text>
        <t>【意図】見直しを怠ると、より安価な選択肢が出ても旧構成のまま割高なコストを払い続ける。
【対象ドキュメント】AWS Well-Architected Framework &gt; コスト最適化の柱 &gt; COST 10 &gt; COST10-BP02 Review and analyze this workload regularly</t>
      </text>
    </comment>
    <comment ref="E73" authorId="0" shapeId="0">
      <text>
        <t>【意図】リージョン選択は性能・コスト・炭素フットプリントに大きく影響し、後からの変更は困難である。
【対象ドキュメント】AWS Well-Architected Framework &gt; 持続可能性の柱 &gt; SUS 1 &gt; SUS01-BP01 Choose Region based on both business requirements and sustainability goals</t>
      </text>
    </comment>
    <comment ref="E74" authorId="0" shapeId="0">
      <text>
        <t>【意図】未使用アセットの稼働はコストとエネルギーの純粋な浪費である。
【対象ドキュメント】AWS Well-Architected Framework &gt; 持続可能性の柱 &gt; SUS 2 &gt; SUS02-BP03 Stop the creation and maintenance of unused assets</t>
      </text>
    </comment>
    <comment ref="E75" authorId="0" shapeId="0">
      <text>
        <t>【意図】低利用率の常時稼働リソースはエネルギーとコストの効率を悪化させる。
【対象ドキュメント】AWS Well-Architected Framework &gt; 持続可能性の柱 &gt; SUS 3 &gt; SUS03-BP01 Optimize software and architecture for asynchronous and scheduled jobs</t>
      </text>
    </comment>
    <comment ref="E76" authorId="0" shapeId="0">
      <text>
        <t>【意図】全データを高性能ストレージに永久保存すると、ストレージコストとエネルギー消費が単調増加する。
【対象ドキュメント】AWS Well-Architected Framework &gt; 持続可能性の柱 &gt; SUS 4 &gt; SUS04-BP03 Use policies to manage the lifecycle of your datasets</t>
      </text>
    </comment>
    <comment ref="E77" authorId="0" shapeId="0">
      <text>
        <t>【意図】不要データの蓄積はストレージ浪費に加え、バックアップ・スキャン等の周辺コストも増大させる。
【対象ドキュメント】AWS Well-Architected Framework &gt; 持続可能性の柱 &gt; SUS 4 &gt; SUS04-BP05 Remove unneeded or redundant data</t>
      </text>
    </comment>
    <comment ref="E78" authorId="0" shapeId="0">
      <text>
        <t>【意図】旧世代インスタンスの継続利用は同じ処理により多くの電力とコストを費やす。
【対象ドキュメント】AWS Well-Architected Framework &gt; 持続可能性の柱 &gt; SUS 5 &gt; SUS05-BP02 Use instance types with the least impact</t>
      </text>
    </comment>
    <comment ref="E79" authorId="0" shapeId="0">
      <text>
        <t>【意図】セルフマネージド構成は運用負荷に加え、専有リソースの低利用率という非効率を抱え込む。
【対象ドキュメント】AWS Well-Architected Framework &gt; 持続可能性の柱 &gt; SUS 5 &gt; SUS05-BP03 Use managed services</t>
      </text>
    </comment>
    <comment ref="E80" authorId="0" shapeId="0">
      <text>
        <t>【意図】陳腐化したソフトウェア・ハードウェアは効率・性能・セキュリティの全てで劣後していく。
【対象ドキュメント】AWS Well-Architected Framework &gt; 持続可能性の柱 &gt; SUS 6 &gt; SUS06-BP03 Keep your workload up-to-date</t>
      </text>
    </comment>
    <comment ref="E81" authorId="0" shapeId="0">
      <text>
        <t>【意図】モデルやデータの変化により出力品質が劣化しても検知できず、誤った回答が利用者に届き続けることを防ぐ。
【対象ドキュメント】Generative AI Lens &gt; Operational excellence &gt; GENOPS01-BP01 Periodically evaluate functional performance</t>
      </text>
    </comment>
    <comment ref="E82" authorId="0" shapeId="0">
      <text>
        <t>【意図】実利用者が体感する品質劣化や不満を把握できず、改善の優先順位を誤ることを防ぐ。
【対象ドキュメント】Generative AI Lens &gt; Operational excellence &gt; GENOPS01-BP02 Collect and monitor user feedback</t>
      </text>
    </comment>
    <comment ref="E83" authorId="0" shapeId="0">
      <text>
        <t>【意図】どのレイヤーで障害・遅延が発生したか特定できず、復旧が長期化することを防ぐ。
【対象ドキュメント】Generative AI Lens &gt; Operational excellence &gt; GENOPS02-BP01 Monitor all application layers</t>
      </text>
    </comment>
    <comment ref="E84" authorId="0" shapeId="0">
      <text>
        <t>【意図】モデル利用量やレイテンシの異常(急増・劣化)を見逃し、性能低下やコスト超過に気づけないことを防ぐ。
【対象ドキュメント】Generative AI Lens &gt; Operational excellence &gt; GENOPS02-BP02 Monitor foundation model metrics</t>
      </text>
    </comment>
    <comment ref="E85" authorId="0" shapeId="0">
      <text>
        <t>【意図】リクエスト集中時にモデルエンドポイントが飽和し、全利用者への応答が停止することを防ぐ。
【対象ドキュメント】Generative AI Lens &gt; Operational excellence &gt; GENOPS02-BP03 Implement solutions to mitigate the risk of system overload</t>
      </text>
    </comment>
    <comment ref="E86" authorId="0" shapeId="0">
      <text>
        <t>【意図】プロンプトの無秩序な変更で出力品質が変動し、原因追跡ができなくなることを防ぐ。
【対象ドキュメント】Generative AI Lens &gt; Operational excellence &gt; GENOPS03-BP01 Implement prompt template management</t>
      </text>
    </comment>
    <comment ref="E87" authorId="0" shapeId="0">
      <text>
        <t>【意図】エージェントの誤動作や不適切な回答の原因ステップを特定できず、デバッグ不能になることを防ぐ。
【対象ドキュメント】Generative AI Lens &gt; Operational excellence &gt; GENOPS03-BP02 Enable tracing for agents and RAG workflows</t>
      </text>
    </comment>
    <comment ref="E88" authorId="0" shapeId="0">
      <text>
        <t>【意図】手作業構築による環境差異・設定ミスが発生し、再現性のない障害や復旧遅延を招くことを防ぐ。
【対象ドキュメント】Generative AI Lens &gt; Operational excellence &gt; GENOPS04-BP01 Automate generative AI application lifecycle with infrastructure as code (IaC)</t>
      </text>
    </comment>
    <comment ref="E89" authorId="0" shapeId="0">
      <text>
        <t>【意図】変更のたびに手動評価・手動リリースとなり、品質劣化の混入やリリース遅延が常態化することを防ぐ。
【対象ドキュメント】Generative AI Lens &gt; Operational excellence &gt; GENOPS04-BP02 Implement GenAIOps to optimize the application lifecycle</t>
      </text>
    </comment>
    <comment ref="E90" authorId="0" shapeId="0">
      <text>
        <t>【意図】不要な高コストのカスタマイズを実施したり、逆に必要な精度改善を放置したりすることを防ぐ。
【対象ドキュメント】Generative AI Lens &gt; Operational excellence &gt; GENOPS05-BP01 Learn when to customize models</t>
      </text>
    </comment>
    <comment ref="E91" authorId="0" shapeId="0">
      <text>
        <t>【意図】過剰権限の悪用・誤用により、意図しないモデル呼び出しやデータ露出、コスト濫用が起きることを防ぐ。
【対象ドキュメント】Generative AI Lens &gt; Security &gt; GENSEC01-BP01 Grant least privilege access to foundation model endpoints</t>
      </text>
    </comment>
    <comment ref="E92" authorId="0" shapeId="0">
      <text>
        <t>【意図】推論トラフィック(プロンプト・応答に含まれる機密情報)がパブリックネットワークを経由し、傍受・漏えいするリスクを防ぐ。
【対象ドキュメント】Generative AI Lens &gt; Security &gt; GENSEC01-BP02 Implement private network communication between foundation models and applications</t>
      </text>
    </comment>
    <comment ref="E93" authorId="0" shapeId="0">
      <text>
        <t>【意図】モデル経由で権限外のデータが検索・出力され、機密データが利用者に漏えいすることを防ぐ。
【対象ドキュメント】Generative AI Lens &gt; Security &gt; GENSEC01-BP03 Implement least privilege access permissions for foundation models accessing data stores</t>
      </text>
    </comment>
    <comment ref="E94" authorId="0" shapeId="0">
      <text>
        <t>【意図】不正アクセスや権限悪用が発生しても検知できず、侵害の発見が遅れることを防ぐ。
【対象ドキュメント】Generative AI Lens &gt; Security &gt; GENSEC01-BP04 Implement access monitoring to generative AI services and foundation models</t>
      </text>
    </comment>
    <comment ref="E95" authorId="0" shapeId="0">
      <text>
        <t>【意図】有害コンテンツや誤情報が未制御のまま利用者に提示され、利用者被害・法的リスク・信頼失墜を招くことを防ぐ。
【対象ドキュメント】Generative AI Lens &gt; Security &gt; GENSEC02-BP01 Implement guardrails to mitigate harmful or incorrect model responses</t>
      </text>
    </comment>
    <comment ref="E96" authorId="0" shapeId="0">
      <text>
        <t>【意図】インシデント発生時に「誰が何をモデルに送り、何が返されたか」を追跡できず、原因究明と説明責任が果たせなくなることを防ぐ。
【対象ドキュメント】Generative AI Lens &gt; Security &gt; GENSEC03-BP01 Implement control plane and data access monitoring to generative AI services and foundation models</t>
      </text>
    </comment>
    <comment ref="E97" authorId="0" shapeId="0">
      <text>
        <t>【意図】システムプロンプトの漏えいにより、ガードレール回避の手掛かりを与えたり、模倣・悪用されたりすることを防ぐ。
【対象ドキュメント】Generative AI Lens &gt; Security &gt; GENSEC04-BP01 Implement a secure prompt catalog</t>
      </text>
    </comment>
    <comment ref="E98" authorId="0" shapeId="0">
      <text>
        <t>【意図】悪意ある入力によりシステム指示が上書きされ、機密情報の引き出しや意図しない操作が実行されることを防ぐ。
【対象ドキュメント】Generative AI Lens &gt; Security &gt; GENSEC04-BP02 Sanitize and validate user inputs to foundation models</t>
      </text>
    </comment>
    <comment ref="E99" authorId="0" shapeId="0">
      <text>
        <t>【意図】エージェントが想定外の API を自律実行し、データ削除・改ざん・意図しない外部操作などの実害を生むことを防ぐ。
【対象ドキュメント】Generative AI Lens &gt; Security &gt; GENSEC05-BP01 Implement least privilege access and permissions boundaries for agentic workflows</t>
      </text>
    </comment>
    <comment ref="E100" authorId="0" shapeId="0">
      <text>
        <t>【意図】汚染データによりモデルに偏向・バックドア的挙動が仕込まれ、本番で有害な出力を生成することを防ぐ。
【対象ドキュメント】Generative AI Lens &gt; Security &gt; GENSEC06-BP01 Implement data purification filters for model training workflows</t>
      </text>
    </comment>
    <comment ref="E101" authorId="0" shapeId="0">
      <text>
        <t>【意図】需要増でスロットリングが多発し、アプリケーションが実質的に利用不能になることを防ぐ。
【対象ドキュメント】Generative AI Lens &gt; Reliability &gt; GENREL01-BP01 Scale and balance foundation model throughput as a function of utilization</t>
      </text>
    </comment>
    <comment ref="E102" authorId="0" shapeId="0">
      <text>
        <t>【意図】単一ネットワーク経路の障害で生成AI機能全体が停止することを防ぐ。
【対象ドキュメント】Generative AI Lens &gt; Reliability &gt; GENREL02-BP01 Implement redundant network connections among model endpoints and supporting infrastructure</t>
      </text>
    </comment>
    <comment ref="E103" authorId="0" shapeId="0">
      <text>
        <t>【意図】一時的エラーがそのまま利用者へのエラーや無限リトライになり、可用性低下やコスト浪費を招くことを防ぐ。
【対象ドキュメント】Generative AI Lens &gt; Reliability &gt; GENREL03-BP01 Use logic to manage prompt flows and gracefully recover from failure</t>
      </text>
    </comment>
    <comment ref="E104" authorId="0" shapeId="0">
      <text>
        <t>【意図】エージェントの長時間ハング・無限実行によりリソース占有と応答不能が発生することを防ぐ。
【対象ドキュメント】Generative AI Lens &gt; Reliability &gt; GENREL03-BP02 Implement timeout mechanisms on agentic workflows</t>
      </text>
    </comment>
    <comment ref="E105" authorId="0" shapeId="0">
      <text>
        <t>【意図】障害・品質劣化時に過去の正常な構成へロールバックできず、復旧が長期化することを防ぐ。
【対象ドキュメント】Generative AI Lens &gt; Reliability &gt; GENREL04-BP01 Implement a prompt catalog</t>
      </text>
    </comment>
    <comment ref="E106" authorId="0" shapeId="0">
      <text>
        <t>【意図】モデルバージョンの暗黙的な変更で挙動が変わっても気づけず、品質退行の原因特定ができなくなることを防ぐ。
【対象ドキュメント】Generative AI Lens &gt; Reliability &gt; GENREL04-BP02 Implement a model catalog</t>
      </text>
    </comment>
    <comment ref="E107" authorId="0" shapeId="0">
      <text>
        <t>【意図】単一リージョンの障害・キャパシティ不足で推論サービス全体が停止することを防ぐ。
【対象ドキュメント】Generative AI Lens &gt; Reliability &gt; GENREL05-BP01 Load-balance inference requests across all regions of availability</t>
      </text>
    </comment>
    <comment ref="E108" authorId="0" shapeId="0">
      <text>
        <t>【意図】フェイルオーバー先で検索やエージェント機能が欠落し、切替後にアプリケーションが縮退・故障することを防ぐ。
【対象ドキュメント】Generative AI Lens &gt; Reliability &gt; GENREL05-BP02 Replicate embedding data across all regions of availability / GENREL05-BP03 Verify that agent capabilities are available across all regions of availability</t>
      </text>
    </comment>
    <comment ref="E109" authorId="0" shapeId="0">
      <text>
        <t>【意図】長時間の学習ジョブがノード障害で全損し、時間とコストを大きく浪費することを防ぐ。
【対象ドキュメント】Generative AI Lens &gt; Reliability &gt; GENREL06-BP01 Design for fault-tolerance for high-performance distributed computation tasks</t>
      </text>
    </comment>
    <comment ref="E110" authorId="0" shapeId="0">
      <text>
        <t>【意図】客観的な基準がないままモデルや設定を変更し、性能改善・劣化を判定できなくなることを防ぐ。
【対象ドキュメント】Generative AI Lens &gt; Performance efficiency &gt; GENPERF01-BP01 Define a ground truth data set of prompts and responses</t>
      </text>
    </comment>
    <comment ref="E111" authorId="0" shapeId="0">
      <text>
        <t>【意図】性能劣化の傾向を把握できず、利用者体験の悪化に後手で対応することになるのを防ぐ。
【対象ドキュメント】Generative AI Lens &gt; Performance efficiency &gt; GENPERF01-BP02 Collect performance metrics from generative AI workloads</t>
      </text>
    </comment>
    <comment ref="E112" authorId="0" shapeId="0">
      <text>
        <t>【意図】本番ピーク時に初めて性能限界が露呈し、応答遅延・タイムアウトが発生することを防ぐ。
【対象ドキュメント】Generative AI Lens &gt; Performance efficiency &gt; GENPERF02-BP01 Load test model endpoints</t>
      </text>
    </comment>
    <comment ref="E113" authorId="0" shapeId="0">
      <text>
        <t>【意図】不適切なパラメータにより応答品質のばらつきや冗長な出力が生じ、品質・コスト両面で損失が出ることを防ぐ。
【対象ドキュメント】Generative AI Lens &gt; Performance efficiency &gt; GENPERF02-BP02 Optimize inference parameters to improve response quality</t>
      </text>
    </comment>
    <comment ref="E114" authorId="0" shapeId="0">
      <text>
        <t>【意図】要件に合わないモデルの採用により、品質不足または過剰スペックによる浪費が発生することを防ぐ。
【対象ドキュメント】Generative AI Lens &gt; Performance efficiency &gt; GENPERF02-BP03 Select and customize the appropriate model for your use case</t>
      </text>
    </comment>
    <comment ref="E115" authorId="0" shapeId="0">
      <text>
        <t>【意図】不要な自前運用によりスケーリング・パッチ適用・最適化の負担を抱え、性能と運用品質が劣化することを防ぐ。
【対象ドキュメント】Generative AI Lens &gt; Performance efficiency &gt; GENPERF03-BP01 Use managed solutions for model hosting, customization, and data access where appropriate</t>
      </text>
    </comment>
    <comment ref="E116" authorId="0" shapeId="0">
      <text>
        <t>【意図】検索品質が低いまま RAG を運用し、無関係なコンテキストによる誤回答や応答遅延が発生することを防ぐ。
【対象ドキュメント】Generative AI Lens &gt; Performance efficiency &gt; GENPERF04-BP01 Test vector embeddings for latency and relevant performance</t>
      </text>
    </comment>
    <comment ref="E117" authorId="0" shapeId="0">
      <text>
        <t>【意図】過大なベクトルサイズによりストレージ・検索コストとレイテンシが不必要に増大することを防ぐ。
【対象ドキュメント】Generative AI Lens &gt; Performance efficiency &gt; GENPERF04-BP02 Optimize vector sizes for your use case</t>
      </text>
    </comment>
    <comment ref="E118" authorId="0" shapeId="0">
      <text>
        <t>【意図】全タスクに高価な大型モデルを使い続け、推論コストが不必要に膨張することを防ぐ。
【対象ドキュメント】Generative AI Lens &gt; Cost optimization &gt; GENCOST01-BP01 Right-size model selection to optimize inference costs</t>
      </text>
    </comment>
    <comment ref="E119" authorId="0" shapeId="0">
      <text>
        <t>【意図】利用実態に合わない価格モデルにより、未使用キャパシティへの支払いまたはスロットリングが発生することを防ぐ。
【対象ドキュメント】Generative AI Lens &gt; Cost optimization &gt; GENCOST02-BP01 Balance cost and performance when selecting inference paradigms</t>
      </text>
    </comment>
    <comment ref="E120" authorId="0" shapeId="0">
      <text>
        <t>【意図】過剰プロビジョニングされた GPU リソースが遊休のまま高額な費用を発生させ続けることを防ぐ。
【対象ドキュメント】Generative AI Lens &gt; Cost optimization &gt; GENCOST02-BP02 Optimize resource consumption to minimize hosting costs</t>
      </text>
    </comment>
    <comment ref="E121" authorId="0" shapeId="0">
      <text>
        <t>【意図】冗長なプロンプトが全リクエストで課金され、トークンコストが恒常的に無駄になることを防ぐ。
【対象ドキュメント】Generative AI Lens &gt; Cost optimization &gt; GENCOST03-BP01 Optimize prompt token length</t>
      </text>
    </comment>
    <comment ref="E122" authorId="0" shapeId="0">
      <text>
        <t>【意図】無制限の長文応答により出力トークンコストとレイテンシが増大することを防ぐ。
【対象ドキュメント】Generative AI Lens &gt; Cost optimization &gt; GENCOST03-BP02 Control model response length</t>
      </text>
    </comment>
    <comment ref="E123" authorId="0" shapeId="0">
      <text>
        <t>【意図】同一コンテキストの再処理に毎回フル課金され、コストとレイテンシを無駄にすることを防ぐ。
【対象ドキュメント】Generative AI Lens &gt; Cost optimization &gt; GENCOST03-BP03 Implement prompt caching to reduce token costs</t>
      </text>
    </comment>
    <comment ref="E124" authorId="0" shapeId="0">
      <text>
        <t>【意図】対象外リクエストまで高価なモデルで処理し、無駄な推論コストが発生することを防ぐ。
【対象ドキュメント】Generative AI Lens &gt; Cost optimization &gt; GENCOST03-BP04 Annotate user input to enable cost-aware content filtering</t>
      </text>
    </comment>
    <comment ref="E125" authorId="0" shapeId="0">
      <text>
        <t>【意図】不必要に大きいベクトルの保存・検索によりベクトルストアの費用が膨らむことを防ぐ。
【対象ドキュメント】Generative AI Lens &gt; Cost optimization &gt; GENCOST04-BP01 Reduce vector length on embedded tokens</t>
      </text>
    </comment>
    <comment ref="E126" authorId="0" shapeId="0">
      <text>
        <t>【意図】エージェントのループ・暴走により推論コストが際限なく発生することを防ぐ。
【対象ドキュメント】Generative AI Lens &gt; Cost optimization &gt; GENCOST05-BP01 Create stopping conditions to control long-running workflows</t>
      </text>
    </comment>
    <comment ref="E127" authorId="0" shapeId="0">
      <text>
        <t>【意図】遊休計算リソースの常時稼働によりエネルギーとコストを浪費することを防ぐ。
【対象ドキュメント】Generative AI Lens &gt; Sustainability &gt; GENSUS01-BP01 Implement auto scaling and serverless architectures to optimize resource utilization</t>
      </text>
    </comment>
    <comment ref="E128" authorId="0" shapeId="0">
      <text>
        <t>【意図】不要なフル再学習により計算資源・エネルギー・コストを過大に消費することを防ぐ。
【対象ドキュメント】Generative AI Lens &gt; Sustainability &gt; GENSUS01-BP02 Use efficient model customization services</t>
      </text>
    </comment>
    <comment ref="E129" authorId="0" shapeId="0">
      <text>
        <t>【意図】肥大化したデータの保管・再処理が続き、エネルギーとストレージコストを浪費することを防ぐ。
【対象ドキュメント】Generative AI Lens &gt; Sustainability &gt; GENSUS02-BP01 Optimize data processing and storage to minimize energy consumption</t>
      </text>
    </comment>
    <comment ref="E130" authorId="0" shapeId="0">
      <text>
        <t>【意図】習慣的な大型モデル利用により環境負荷と推論コストが不必要に高止まりすることを防ぐ。
【対象ドキュメント】Generative AI Lens &gt; Sustainability &gt; GENSUS03-BP01 Leverage smaller models and optimized inference techniques to reduce carbon footprint</t>
      </text>
    </comment>
  </commentList>
</comments>
</file>

<file path=xl/comments/comment15.xml><?xml version="1.0" encoding="utf-8"?>
<comments xmlns="http://schemas.openxmlformats.org/spreadsheetml/2006/main">
  <authors>
    <author>SWEBOKレビューハーネス</author>
  </authors>
  <commentList>
    <comment ref="E2" authorId="0" shapeId="0">
      <text>
        <t>【意図】SLO がないと信頼性への投資判断や障害時の優先度判断ができず、過剰対応・過少対応を招く。
【対象ドキュメント】Google Cloud Well-Architected Framework &gt; オペレーショナルエクセレンス &gt; Ensure operational readiness and performance using CloudOps &gt; Define SLOs and SLAs</t>
      </text>
    </comment>
    <comment ref="E3" authorId="0" shapeId="0">
      <text>
        <t>【意図】可観測性がないと劣化や障害の予兆を検知できず、障害発生後も原因特定が長期化する。
【対象ドキュメント】Google Cloud Well-Architected Framework &gt; オペレーショナルエクセレンス &gt; Ensure operational readiness and performance using CloudOps &gt; Implement comprehensive observability</t>
      </text>
    </comment>
    <comment ref="E4" authorId="0" shapeId="0">
      <text>
        <t>【意図】負荷テストを怠るとピーク時に初めてボトルネックが顕在化し、サービス停止に至る。
【対象ドキュメント】Google Cloud Well-Architected Framework &gt; オペレーショナルエクセレンス &gt; Ensure operational readiness and performance using CloudOps &gt; Implement performance and load testing</t>
      </text>
    </comment>
    <comment ref="E5" authorId="0" shapeId="0">
      <text>
        <t>【意図】容量計画がないとリソース枯渇による停止、または過剰プロビジョニングによる浪費が発生する。
【対象ドキュメント】Google Cloud Well-Architected Framework &gt; オペレーショナルエクセレンス &gt; Ensure operational readiness and performance using CloudOps &gt; Plan and manage capacity</t>
      </text>
    </comment>
    <comment ref="E6" authorId="0" shapeId="0">
      <text>
        <t>【意図】手順がないと障害対応が属人化・混乱し、復旧時間(MTTR)が大幅に長くなる。
【対象ドキュメント】Google Cloud Well-Architected Framework &gt; オペレーショナルエクセレンス &gt; Manage incidents and problems &gt; Establish clear incident response procedures</t>
      </text>
    </comment>
    <comment ref="E7" authorId="0" shapeId="0">
      <text>
        <t>【意図】情報が分散すると対応状況の把握に時間がかかり、重複作業や対応漏れが発生する。
【対象ドキュメント】Google Cloud Well-Architected Framework &gt; オペレーショナルエクセレンス &gt; Manage incidents and problems &gt; Centralize incident management</t>
      </text>
    </comment>
    <comment ref="E8" authorId="0" shapeId="0">
      <text>
        <t>【意図】レビューを怠ると同種の障害が再発し、システムとプロセスが改善されない。
【対象ドキュメント】Google Cloud Well-Architected Framework &gt; オペレーショナルエクセレンス &gt; Manage incidents and problems &gt; Conduct thorough post-incident reviews</t>
      </text>
    </comment>
    <comment ref="E9" authorId="0" shapeId="0">
      <text>
        <t>【意図】手動対応のみだと夜間・休日の初動が遅れ、影響範囲が拡大する。
【対象ドキュメント】Google Cloud Well-Architected Framework &gt; オペレーショナルエクセレンス &gt; Manage incidents and problems &gt; Automate incident response</t>
      </text>
    </comment>
    <comment ref="E10" authorId="0" shapeId="0">
      <text>
        <t>【意図】実需要に合わないサイズのまま放置すると、コスト浪費または性能不足が慢性化する。
【対象ドキュメント】Google Cloud Well-Architected Framework &gt; オペレーショナルエクセレンス &gt; Manage and optimize cloud resources &gt; Right-size resources</t>
      </text>
    </comment>
    <comment ref="E11" authorId="0" shapeId="0">
      <text>
        <t>【意図】オートスケーリングがないと需要変動時に手動対応が必要となり、過負荷停止や過剰コストを招く。
【対象ドキュメント】Google Cloud Well-Architected Framework &gt; オペレーショナルエクセレンス &gt; Manage and optimize cloud resources &gt; Use autoscaling</t>
      </text>
    </comment>
    <comment ref="E12" authorId="0" shapeId="0">
      <text>
        <t>【意図】手動構築は再現性がなく、環境差異・構成ドリフト・復旧不能リスクを生む。
【対象ドキュメント】Google Cloud Well-Architected Framework &gt; オペレーショナルエクセレンス &gt; Automate and manage change &gt; Adopt IaC</t>
      </text>
    </comment>
    <comment ref="E13" authorId="0" shapeId="0">
      <text>
        <t>【意図】バージョン管理がないと変更の追跡・切り戻しができず、障害時の復旧が困難になる。
【対象ドキュメント】Google Cloud Well-Architected Framework &gt; オペレーショナルエクセレンス &gt; Automate and manage change &gt; Implement version control</t>
      </text>
    </comment>
    <comment ref="E14" authorId="0" shapeId="0">
      <text>
        <t>【意図】手動デプロイは人的ミスによる障害と変更リードタイムの長期化を招く。
【対象ドキュメント】Google Cloud Well-Architected Framework &gt; オペレーショナルエクセレンス &gt; Automate and manage change &gt; Build CI/CD pipelines</t>
      </text>
    </comment>
    <comment ref="E15" authorId="0" shapeId="0">
      <text>
        <t>【意図】パッチ管理を怠ると既知脆弱性が放置され、侵害リスクが増大する。
【対象ドキュメント】Google Cloud Well-Architected Framework &gt; オペレーショナルエクセレンス &gt; Automate and manage change &gt; Use configuration management tools</t>
      </text>
    </comment>
    <comment ref="E16" authorId="0" shapeId="0">
      <text>
        <t>【意図】サプライチェーン対策がないと、依存ライブラリ経由の侵害(改ざん・脆弱性混入)を防げない。
【対象ドキュメント】Google Cloud Well-Architected Framework &gt; セキュリティ &gt; Implement security by design &gt; Choose system components that help secure workloads</t>
      </text>
    </comment>
    <comment ref="E17" authorId="0" shapeId="0">
      <text>
        <t>【意図】組織レベルの強制がないと、個々のプロジェクトの設定ミスがそのまま侵害経路になる。
【対象ドキュメント】Google Cloud Well-Architected Framework &gt; セキュリティ &gt; Implement security by design &gt; Build a layered security approach</t>
      </text>
    </comment>
    <comment ref="E18" authorId="0" shapeId="0">
      <text>
        <t>【意図】基盤の堅牢化を怠ると、ブートキット・未パッチ OS・鍵管理不備が侵害の起点になる。
【対象ドキュメント】Google Cloud Well-Architected Framework &gt; セキュリティ &gt; Implement security by design &gt; Use hardened and attested infrastructure and services</t>
      </text>
    </comment>
    <comment ref="E19" authorId="0" shapeId="0">
      <text>
        <t>【意図】鍵管理方針がないと、規制要件を満たせず、鍵の漏えい・喪失時にデータ保護が破綻する。
【対象ドキュメント】Google Cloud Well-Architected Framework &gt; セキュリティ &gt; Implement security by design &gt; Encrypt data at rest and in transit</t>
      </text>
    </comment>
    <comment ref="E20" authorId="0" shapeId="0">
      <text>
        <t>【意図】転送中暗号化の欠落は盗聴・中間者攻撃による情報漏えいに直結する。
【対象ドキュメント】Google Cloud Well-Architected Framework &gt; セキュリティ &gt; Implement security by design &gt; Encrypt data at rest and in transit</t>
      </text>
    </comment>
    <comment ref="E21" authorId="0" shapeId="0">
      <text>
        <t>【意図】利用中データの保護がないと、メモリダンプ等を介した機密情報の露出リスクが残る。
【対象ドキュメント】Google Cloud Well-Architected Framework &gt; セキュリティ &gt; Implement security by design &gt; Encrypt data at rest and in transit</t>
      </text>
    </comment>
    <comment ref="E22" authorId="0" shapeId="0">
      <text>
        <t>【意図】境界型防御のみだと、認証情報の窃取や内部侵入後の横移動を防げない。
【対象ドキュメント】Google Cloud Well-Architected Framework &gt; セキュリティ &gt; Implement zero trust &gt; Secure your network</t>
      </text>
    </comment>
    <comment ref="E23" authorId="0" shapeId="0">
      <text>
        <t>【意図】セグメンテーションがないと、一箇所の侵害が全システム・全データへの侵害に拡大する。
【対象ドキュメント】Google Cloud Well-Architected Framework &gt; セキュリティ &gt; Implement zero trust &gt; Secure your network</t>
      </text>
    </comment>
    <comment ref="E24" authorId="0" shapeId="0">
      <text>
        <t>【意図】境界防御がないと DDoS や Web 攻撃による停止・侵害を防げない。
【対象ドキュメント】Google Cloud Well-Architected Framework &gt; セキュリティ &gt; Implement zero trust &gt; Secure your network</t>
      </text>
    </comment>
    <comment ref="E25" authorId="0" shapeId="0">
      <text>
        <t>【意図】MFA なしの ID はフィッシング一撃で乗っ取られ、環境全体の侵害につながる。
【対象ドキュメント】Google Cloud Well-Architected Framework &gt; セキュリティ &gt; Implement zero trust &gt; Verify every access attempt explicitly</t>
      </text>
    </comment>
    <comment ref="E26" authorId="0" shapeId="0">
      <text>
        <t>【意図】過剰権限のサービスアカウントや長期キーの漏えいは、環境全体の侵害・データ流出に直結する。
【対象ドキュメント】Google Cloud Well-Architected Framework &gt; セキュリティ &gt; Implement zero trust &gt; Verify every access attempt explicitly</t>
      </text>
    </comment>
    <comment ref="E27" authorId="0" shapeId="0">
      <text>
        <t>【意図】集中監視がないと侵害の検知が遅れ、被害の拡大と証跡の喪失を招く。
【対象ドキュメント】Google Cloud Well-Architected Framework &gt; セキュリティ &gt; Implement zero trust &gt; Monitor and maintain your network</t>
      </text>
    </comment>
    <comment ref="E28" authorId="0" shapeId="0">
      <text>
        <t>【意図】侵入検知がないと、境界を越えた攻撃者のネットワーク内活動に気づけない。
【対象ドキュメント】Google Cloud Well-Architected Framework &gt; セキュリティ &gt; Implement zero trust &gt; Monitor and maintain your network</t>
      </text>
    </comment>
    <comment ref="E29" authorId="0" shapeId="0">
      <text>
        <t>【意図】予防統制がないと、設定ミスや過剰権限が本番到達後に発見され、手戻りと侵害リスクが増える。
【対象ドキュメント】Google Cloud Well-Architected Framework &gt; セキュリティ &gt; Implement shift-left security &gt; Adopt preventive security controls</t>
      </text>
    </comment>
    <comment ref="E30" authorId="0" shapeId="0">
      <text>
        <t>【意図】デプロイ統制がないと、検証されていない・改ざんされたイメージが本番で稼働するリスクがある。
【対象ドキュメント】Google Cloud Well-Architected Framework &gt; セキュリティ &gt; Implement shift-left security &gt; Ensure that application deployments follow approved processes</t>
      </text>
    </comment>
    <comment ref="E31" authorId="0" shapeId="0">
      <text>
        <t>【意図】デプロイ前スキャンがないと、既知の脆弱性を含むイメージが本番に到達する。
【対象ドキュメント】Google Cloud Well-Architected Framework &gt; セキュリティ &gt; Implement shift-left security &gt; Scan for known vulnerabilities before application deployment</t>
      </text>
    </comment>
    <comment ref="E32" authorId="0" shapeId="0">
      <text>
        <t>【意図】デプロイ後の監視がないと、新たに公開された脆弱性への対応が遅れる。
【対象ドキュメント】Google Cloud Well-Architected Framework &gt; セキュリティ &gt; Implement shift-left security &gt; Monitor your application code for known vulnerabilities</t>
      </text>
    </comment>
    <comment ref="E33" authorId="0" shapeId="0">
      <text>
        <t>【意図】脅威インテリジェンスなしでは、新種の攻撃手法への検知・対応が後手に回る。
【対象ドキュメント】Google Cloud Well-Architected Framework &gt; セキュリティ &gt; Implement preemptive cyber defense &gt; Integrate the functions of cyber defense / Use intelligence function in all aspects</t>
      </text>
    </comment>
    <comment ref="E34" authorId="0" shapeId="0">
      <text>
        <t>【意図】データ所在地の統制がないと、域外保存による法令違反・契約違反が発生する。
【対象ドキュメント】Google Cloud Well-Architected Framework &gt; セキュリティ &gt; Meet regulatory, compliance, and privacy needs &gt; Control data residency</t>
      </text>
    </comment>
    <comment ref="E35" authorId="0" shapeId="0">
      <text>
        <t>【意図】機密データの所在が不明だと、漏えい時の影響評価も適切なアクセス制御もできない。
【対象ドキュメント】Google Cloud Well-Architected Framework &gt; セキュリティ &gt; Meet regulatory, compliance, and privacy needs &gt; Classify your confidential data</t>
      </text>
    </comment>
    <comment ref="E36" authorId="0" shapeId="0">
      <text>
        <t>【意図】アクセス制限が緩いと、内部不正・認証情報漏えい時に大規模なデータ流出を招く。
【対象ドキュメント】Google Cloud Well-Architected Framework &gt; セキュリティ &gt; Meet regulatory, compliance, and privacy needs &gt; Lock down access to sensitive data</t>
      </text>
    </comment>
    <comment ref="E37" authorId="0" shapeId="0">
      <text>
        <t>【意図】準拠状況を監視しないと、構成変更による逸脱に気づかず監査指摘・法令違反に至る。
【対象ドキュメント】Google Cloud Well-Architected Framework &gt; セキュリティ &gt; Meet regulatory, compliance, and privacy needs &gt; Monitor your compliance</t>
      </text>
    </comment>
    <comment ref="E38" authorId="0" shapeId="0">
      <text>
        <t>【意図】事業者アクセスの可視性がないと、主権・監査要件を満たせない。
【対象ドキュメント】Google Cloud Well-Architected Framework &gt; セキュリティ &gt; Meet regulatory, compliance, and privacy needs &gt; Manage your operational sovereignty</t>
      </text>
    </comment>
    <comment ref="E39" authorId="0" shapeId="0">
      <text>
        <t>【意図】AI パイプラインの保護がないと、データ汚染・モデル改ざんにより誤動作や情報漏えいが起きる。
【対象ドキュメント】Google Cloud Well-Architected Framework &gt; セキュリティ &gt; Use AI securely and responsibly &gt; Keep AI pipelines secure and robust against tampering</t>
      </text>
    </comment>
    <comment ref="E40" authorId="0" shapeId="0">
      <text>
        <t>【意図】冗長化がないとゾーン/リージョン障害でサービス全停止・データ喪失に至る。
【対象ドキュメント】Google Cloud Well-Architected Framework &gt; 信頼性 &gt; Build highly available systems through resource redundancy &gt; Identify failure domains and replicate services</t>
      </text>
    </comment>
    <comment ref="E41" authorId="0" shapeId="0">
      <text>
        <t>【意図】障害検知が遅れると、異常インスタンスへのトラフィック継続やプラットフォーム障害の見逃しが起きる。
【対象ドキュメント】Google Cloud Well-Architected Framework &gt; 信頼性 &gt; Build highly available systems through resource redundancy &gt; Detect and address issues promptly</t>
      </text>
    </comment>
    <comment ref="E42" authorId="0" shapeId="0">
      <text>
        <t>【意図】フェイルオーバーを試験しないと、実障害時に切り替えが機能しないことが本番で発覚する。
【対象ドキュメント】Google Cloud Well-Architected Framework &gt; 信頼性 &gt; Build highly available systems through resource redundancy &gt; Test failover scenarios</t>
      </text>
    </comment>
    <comment ref="E43" authorId="0" shapeId="0">
      <text>
        <t>【意図】垂直スケール依存だと上限到達で頭打ちになり、負荷増大時に停止する。
【対象ドキュメント】Google Cloud Well-Architected Framework &gt; 信頼性 &gt; Take advantage of horizontal scalability &gt; Use managed services</t>
      </text>
    </comment>
    <comment ref="E44" authorId="0" shapeId="0">
      <text>
        <t>【意図】ステートフルな設計はスケールアウトとフェイルオーバーを阻害し、可用性を下げる。
【対象ドキュメント】Google Cloud Well-Architected Framework &gt; 信頼性 &gt; Take advantage of horizontal scalability &gt; Implement a stateless design</t>
      </text>
    </comment>
    <comment ref="E45" authorId="0" shapeId="0">
      <text>
        <t>【意図】主要メトリクスの欠落は、劣化や障害予兆の見逃しにつながる。
【対象ドキュメント】Google Cloud Well-Architected Framework &gt; 信頼性 &gt; Detect potential failures by using observability &gt; Gain comprehensive insights</t>
      </text>
    </comment>
    <comment ref="E46" authorId="0" shapeId="0">
      <text>
        <t>【意図】ログが不足すると障害調査が難航し、逆に無制御だとログコストが膨張する。
【対象ドキュメント】Google Cloud Well-Architected Framework &gt; 信頼性 &gt; Detect potential failures by using observability &gt; Perform proactive troubleshooting</t>
      </text>
    </comment>
    <comment ref="E47" authorId="0" shapeId="0">
      <text>
        <t>【意図】アラート過多は疲労による重要アラートの見逃しを招き、不足は障害検知の遅れを招く。
【対象ドキュメント】Google Cloud Well-Architected Framework &gt; 信頼性 &gt; Detect potential failures by using observability &gt; Prioritize alerts</t>
      </text>
    </comment>
    <comment ref="E48" authorId="0" shapeId="0">
      <text>
        <t>【意図】スロットリングがないと突発的な過負荷でバックエンドが連鎖的に崩壊する。
【対象ドキュメント】Google Cloud Well-Architected Framework &gt; 信頼性 &gt; Design for graceful degradation &gt; Implement throttling</t>
      </text>
    </comment>
    <comment ref="E49" authorId="0" shapeId="0">
      <text>
        <t>【意図】過剰リクエストを受け続けるとバックエンドが飽和し、全面停止に至る。
【対象ドキュメント】Google Cloud Well-Architected Framework &gt; 信頼性 &gt; Design for graceful degradation &gt; Drop excess requests early</t>
      </text>
    </comment>
    <comment ref="E50" authorId="0" shapeId="0">
      <text>
        <t>【意図】リトライ制御の不備はリトライストームによる自己 DoS を、テスト不足は本番での初見障害を招く。
【対象ドキュメント】Google Cloud Well-Architected Framework &gt; 信頼性 &gt; Design for graceful degradation &gt; Handle partial errors and retries / Test overload scenarios</t>
      </text>
    </comment>
    <comment ref="E51" authorId="0" shapeId="0">
      <text>
        <t>【意図】復旧テストを怠ると、実障害時に復旧手順が機能せず停止が長期化する。
【対象ドキュメント】Google Cloud Well-Architected Framework &gt; 信頼性 &gt; Perform testing for recovery from failures &gt; Simulate failure scenarios / Iterate and improve</t>
      </text>
    </comment>
    <comment ref="E52" authorId="0" shapeId="0">
      <text>
        <t>【意図】RTO/RPO が未検証だと、災害時に想定外のデータ損失・停止時間が発生する。
【対象ドキュメント】Google Cloud Well-Architected Framework &gt; 信頼性 &gt; Perform testing for recovery from failures &gt; Define the testing objectives and scope / Verify recovery against RTO and RPO</t>
      </text>
    </comment>
    <comment ref="E53" authorId="0" shapeId="0">
      <text>
        <t>【意図】リストア未検証のバックアップは、いざという時に復元できず恒久的なデータ損失につながる。
【対象ドキュメント】Google Cloud Well-Architected Framework &gt; 信頼性 &gt; Perform testing for recovery from data loss &gt; Verify backup consistency and test restoration processes</t>
      </text>
    </comment>
    <comment ref="E54" authorId="0" shapeId="0">
      <text>
        <t>【意図】バックアップ頻度が RPO に合っていないと、障害時に許容以上のデータが失われる。
【対象ドキュメント】Google Cloud Well-Architected Framework &gt; 信頼性 &gt; Perform testing for recovery from data loss &gt; Schedule regular and frequent backups</t>
      </text>
    </comment>
    <comment ref="E55" authorId="0" shapeId="0">
      <text>
        <t>【意図】バックアップ失敗の放置は、気づかぬうちの保護喪失(サイレント障害)を招く。
【対象ドキュメント】Google Cloud Well-Architected Framework &gt; 信頼性 &gt; Perform testing for recovery from data loss &gt; Monitor backup health / Define and monitor RPO</t>
      </text>
    </comment>
    <comment ref="E56" authorId="0" shapeId="0">
      <text>
        <t>【意図】バックアップ復元のみでは RTO を満たせない大規模障害シナリオに対応できない。
【対象ドキュメント】Google Cloud Well-Architected Framework &gt; 信頼性 &gt; Perform testing for recovery from data loss &gt; Plan for scenarios beyond backup</t>
      </text>
    </comment>
    <comment ref="E57" authorId="0" shapeId="0">
      <text>
        <t>【意図】過剰な信頼性目標はコスト高騰と変更速度低下を招き、過少な目標はユーザー離反を招く。
【対象ドキュメント】Google Cloud Well-Architected Framework &gt; 信頼性 &gt; Set realistic targets for reliability &gt; Accept some failure and prioritize components / Balance reliability and cost</t>
      </text>
    </comment>
    <comment ref="E58" authorId="0" shapeId="0">
      <text>
        <t>【意図】ポストモーテム文化がないと組織が障害から学習せず、同種の障害が繰り返される。
【対象ドキュメント】Google Cloud Well-Architected Framework &gt; 信頼性 &gt; Conduct thorough postmortems &gt; Conduct blameless postmortems / Share the postmortem as widely as possible</t>
      </text>
    </comment>
    <comment ref="E59" authorId="0" shapeId="0">
      <text>
        <t>【意図】全環境を本番同等の構成にすると、価値を生まないコストが恒常的に発生する。
【対象ドキュメント】Google Cloud Well-Architected Framework &gt; コスト最適化 &gt; Optimize resource usage &gt; Choose environment-specific resources</t>
      </text>
    </comment>
    <comment ref="E60" authorId="0" shapeId="0">
      <text>
        <t>【意図】特性に合わないサービス選択は、過剰コストまたは性能・可用性不足を招く。
【対象ドキュメント】Google Cloud Well-Architected Framework &gt; コスト最適化 &gt; Optimize resource usage &gt; Choose workload-specific resources</t>
      </text>
    </comment>
    <comment ref="E61" authorId="0" shapeId="0">
      <text>
        <t>【意図】リージョン間の価格差を考慮しないと、同一構成でも恒常的な割高コストが発生する。
【対象ドキュメント】Google Cloud Well-Architected Framework &gt; コスト最適化 &gt; Optimize resource usage &gt; Select regions based on cost requirements</t>
      </text>
    </comment>
    <comment ref="E62" authorId="0" shapeId="0">
      <text>
        <t>【意図】組み込み最適化を使わないと、ストレージ肥大やスキャン課金増によりコストが不必要に膨らむ。
【対象ドキュメント】Google Cloud Well-Architected Framework &gt; コスト最適化 &gt; Optimize resource usage &gt; Use built-in cost optimization options</t>
      </text>
    </comment>
    <comment ref="E63" authorId="0" shapeId="0">
      <text>
        <t>【意図】統制がないと、意図しない高額リソースの作成による予算超過が防げない。
【対象ドキュメント】Google Cloud Well-Architected Framework &gt; コスト最適化 &gt; Optimize resource usage &gt; Enforce cost discipline using organization policies</t>
      </text>
    </comment>
    <comment ref="E64" authorId="0" shapeId="0">
      <text>
        <t>【意図】予算アラートがないと、設定ミスや攻撃による急激なコスト増に気づくのが請求後になる。
【対象ドキュメント】Google Cloud Well-Architected Framework &gt; コスト最適化 &gt; Optimize resource usage &gt; Estimate realistic budgets and set financial boundaries</t>
      </text>
    </comment>
    <comment ref="E65" authorId="0" shapeId="0">
      <text>
        <t>【意図】ラベルがないとコストの帰属先が分からず、コスト配賦も削減判断もできない。
【対象ドキュメント】Google Cloud Well-Architected Framework &gt; コスト最適化 &gt; Foster a culture of cost awareness &gt; Use consistent resource labels</t>
      </text>
    </comment>
    <comment ref="E66" authorId="0" shapeId="0">
      <text>
        <t>【意図】コストが可視化されないと、各チームが自らの支出に責任を持てず浪費が放置される。
【対象ドキュメント】Google Cloud Well-Architected Framework &gt; コスト最適化 &gt; Foster a culture of cost awareness &gt; Provide organization-wide cost visibility / Share cost reports</t>
      </text>
    </comment>
    <comment ref="E67" authorId="0" shapeId="0">
      <text>
        <t>【意図】割引を評価しないと、同じ使用量に対して恒常的に定価を払い続けることになる。
【対象ドキュメント】Google Cloud Well-Architected Framework &gt; コスト最適化 &gt; Foster a culture of cost awareness &gt; Understand discount-based cost optimization</t>
      </text>
    </comment>
    <comment ref="E68" authorId="0" shapeId="0">
      <text>
        <t>【意図】一度の最適化で放置すると、ワークロード変化に伴い非効率が再蓄積する。
【対象ドキュメント】Google Cloud Well-Architected Framework &gt; コスト最適化 &gt; Optimize continuously &gt; Use observability for resource optimization</t>
      </text>
    </comment>
    <comment ref="E69" authorId="0" shapeId="0">
      <text>
        <t>【意図】無計画な可観測性データ蓄積は、監視自体が大きなコスト要因になる。
【対象ドキュメント】Google Cloud Well-Architected Framework &gt; コスト最適化 &gt; Optimize continuously &gt; Balance troubleshooting needs with cost / Tailor data collection to roles and set role-specific retention policies</t>
      </text>
    </comment>
    <comment ref="E70" authorId="0" shapeId="0">
      <text>
        <t>【意図】クォータ上限への到達は、スケールアウト不能や API エラーによる突然の性能劣化を招く。
【対象ドキュメント】Google Cloud Well-Architected Framework &gt; パフォーマンス最適化 &gt; Plan resource allocation &gt; Configure and manage quotas</t>
      </text>
    </comment>
    <comment ref="E71" authorId="0" shapeId="0">
      <text>
        <t>【意図】性能監視がないと、劣化がユーザー影響として顕在化するまで気づけない。
【対象ドキュメント】Google Cloud Well-Architected Framework &gt; パフォーマンス最適化 &gt; Plan resource allocation &gt; Monitor performance metrics</t>
      </text>
    </comment>
    <comment ref="E72" authorId="0" shapeId="0">
      <text>
        <t>【意図】ピークをオートスケールだけに任せると、急峻な負荷立ち上がりに追従できず機会損失が生じる。
【対象ドキュメント】Google Cloud Well-Architected Framework &gt; パフォーマンス最適化 &gt; Take advantage of elasticity &gt; Plan for peak load periods</t>
      </text>
    </comment>
    <comment ref="E73" authorId="0" shapeId="0">
      <text>
        <t>【意図】リアクティブなスケールのみだと、インスタンス起動時間の分だけ需要増への追従が遅れる。
【対象ドキュメント】Google Cloud Well-Architected Framework &gt; パフォーマンス最適化 &gt; Take advantage of elasticity &gt; Use predictive scaling</t>
      </text>
    </comment>
    <comment ref="E74" authorId="0" shapeId="0">
      <text>
        <t>【意図】常時起動型の構成に固執すると、アイドル時のコストとスケール調整の運用負荷が残る。
【対象ドキュメント】Google Cloud Well-Architected Framework &gt; パフォーマンス最適化 &gt; Take advantage of elasticity &gt; Implement serverless architectures</t>
      </text>
    </comment>
    <comment ref="E75" authorId="0" shapeId="0">
      <text>
        <t>【意図】Standard モードのノード管理を過小評価すると、運用負荷と設定ミスによる性能問題が生じる。
【対象ドキュメント】Google Cloud Well-Architected Framework &gt; パフォーマンス最適化 &gt; Take advantage of elasticity &gt; Use Autopilot mode for Kubernetes</t>
      </text>
    </comment>
    <comment ref="E76" authorId="0" shapeId="0">
      <text>
        <t>【意図】性能目標がないと、チューニングの合否判定も劣化の検知もできない。
【対象ドキュメント】Google Cloud Well-Architected Framework &gt; パフォーマンス最適化 &gt; Continuously monitor and improve performance &gt; Define clear performance goals and metrics</t>
      </text>
    </comment>
    <comment ref="E77" authorId="0" shapeId="0">
      <text>
        <t>【意図】ネットワーク起因の性能劣化は可視化ツールなしでは原因特定が長期化する。
【対象ドキュメント】Google Cloud Well-Architected Framework &gt; パフォーマンス最適化 &gt; Continuously monitor and improve performance &gt; Monitor performance</t>
      </text>
    </comment>
    <comment ref="E78" authorId="0" shapeId="0">
      <text>
        <t>【意図】ライフサイクル自動化を怠ると手作業ミスと再現性欠如が常態化し、モデル更新が滞って品質劣化に気づけない。
【対象ドキュメント】Well-Architected Framework: AI and ML perspective - Operational excellence &gt; Automate the model-development lifecycle &gt; Use managed pipeline orchestration</t>
      </text>
    </comment>
    <comment ref="E79" authorId="0" shapeId="0">
      <text>
        <t>【意図】テストなしのデプロイは性能未達や品質退行を本番で露呈させ、障害とロールバック工数を招く。
【対象ドキュメント】Well-Architected Framework: AI and ML perspective - Operational excellence &gt; Automate the model-development lifecycle &gt; Implement CI/CD pipelines</t>
      </text>
    </comment>
    <comment ref="E80" authorId="0" shapeId="0">
      <text>
        <t>【意図】モデルの系譜が追えないと、問題発生時に原因特定も過去バージョンへの復旧もできない。
【対象ドキュメント】Well-Architected Framework: AI and ML perspective - Operational excellence &gt; Build a robust foundation for model development &gt; Set up version control</t>
      </text>
    </comment>
    <comment ref="E81" authorId="0" shapeId="0">
      <text>
        <t>【意図】一括切替は欠陥モデルを全ユーザーに即時露出させ、有害出力や業務停止の影響範囲を最大化する。
【対象ドキュメント】Well-Architected Framework: AI and ML perspective - Operational excellence &gt; Automate the model-development lifecycle &gt; Implement safe and controlled model releases</t>
      </text>
    </comment>
    <comment ref="E82" authorId="0" shapeId="0">
      <text>
        <t>【意図】ドリフトを放置するとモデルが静かに劣化し、誤った予測に基づく業務判断が蓄積する。
【対象ドキュメント】Well-Architected Framework: AI and ML perspective - Operational excellence &gt; Implement observability &gt; Monitor performance continuously</t>
      </text>
    </comment>
    <comment ref="E83" authorId="0" shapeId="0">
      <text>
        <t>【意図】生成AIを従来指標のみで判定すると、有害・不正確な出力が未検出のまま公開される。
【対象ドキュメント】Well-Architected Framework: AI and ML perspective - Operational excellence &gt; Implement observability &gt; Monitor performance continuously / Evaluate models during development</t>
      </text>
    </comment>
    <comment ref="E84" authorId="0" shapeId="0">
      <text>
        <t>【意図】推論サービスの劣化検知が遅れると、依存する業務・顧客体験が長時間損なわれる。
【対象ドキュメント】Well-Architected Framework: AI and ML perspective - Operational excellence &gt; Implement observability &gt; Monitor for availability</t>
      </text>
    </comment>
    <comment ref="E85" authorId="0" shapeId="0">
      <text>
        <t>【意図】クォータ上限への到達は学習ジョブ失敗やスケール不能を引き起こし、ピーク時にサービス停止を招く。
【対象ドキュメント】Well-Architected Framework: AI and ML perspective - Operational excellence &gt; Design for scalability &gt; Plan for capacity and quotas</t>
      </text>
    </comment>
    <comment ref="E86" authorId="0" shapeId="0">
      <text>
        <t>【意図】ピーク設計を欠くと需要急増時に推論APIが飽和し、機会損失と過剰プロビジョニングの両方を招く。
【対象ドキュメント】Well-Architected Framework: AI and ML perspective - Operational excellence &gt; Design for scalability &gt; Prepare for peak events</t>
      </text>
    </comment>
    <comment ref="E87" authorId="0" shapeId="0">
      <text>
        <t>【意図】学習・サービング間の特徴量スキューは本番精度を静かに劣化させ、原因究明を困難にする。
【対象ドキュメント】Well-Architected Framework: AI and ML perspective - Operational excellence &gt; Build a robust foundation for model development &gt; Set up version control(Feature Store)</t>
      </text>
    </comment>
    <comment ref="E88" authorId="0" shapeId="0">
      <text>
        <t>【意図】不要な機密データの取り込みは、モデル経由の情報漏えい(モデル反転等)と規制違反のリスクを直結で高める。
【対象ドキュメント】Well-Architected Framework: AI and ML perspective - Security &gt; Keep data secure and prevent loss or mishandling &gt; Adhere to data minimization principles</t>
      </text>
    </comment>
    <comment ref="E89" authorId="0" shapeId="0">
      <text>
        <t>【意図】広すぎる権限は学習データの持ち出し・改ざんやモデル窃取の直接経路になる。
【対象ドキュメント】Well-Architected Framework: AI and ML perspective - Security &gt; Keep data secure and prevent loss or mishandling &gt; Implement role-based access controls with least privilege</t>
      </text>
    </comment>
    <comment ref="E90" authorId="0" shapeId="0">
      <text>
        <t>【意図】暗号化と鍵管理の不備は、ストレージ侵害時にデータとモデルの一括漏えいを許す。
【対象ドキュメント】Well-Architected Framework: AI and ML perspective - Security &gt; Keep data secure and prevent loss or mishandling &gt; Implement security measures for data movement</t>
      </text>
    </comment>
    <comment ref="E91" authorId="0" shapeId="0">
      <text>
        <t>【意図】境界防御がないと、窃取された認証情報1つで学習データ・モデルの外部流出が可能になる。
【対象ドキュメント】Well-Architected Framework: AI and ML perspective - Security &gt; Keep data secure and prevent loss or mishandling &gt; Implement security measures for data movement(VPC Service Controls)</t>
      </text>
    </comment>
    <comment ref="E92" authorId="0" shapeId="0">
      <text>
        <t>【意図】汚染データの混入はモデルの判断を攻撃者の意図どおりに歪め、検出が極めて困難な侵害となる。
【対象ドキュメント】Well-Architected Framework: AI and ML perspective - Security &gt; Keep data secure and prevent loss or mishandling &gt; Guard against data poisoning</t>
      </text>
    </comment>
    <comment ref="E93" authorId="0" shapeId="0">
      <text>
        <t>【意図】入出力の未検査は、プロンプトインジェクションによる情報漏えいと有害出力のユーザー到達を直接許す。
【対象ドキュメント】Well-Architected Framework: AI and ML perspective - Security &gt; Verify and protect inputs / Monitor, evaluate, and prepare to respond to outputs(Model Armor)</t>
      </text>
    </comment>
    <comment ref="E94" authorId="0" shapeId="0">
      <text>
        <t>【意図】供給網の検証を欠くと、改ざんされたモデルや悪意あるコンテナが本番に混入し得る。
【対象ドキュメント】Well-Architected Framework: AI and ML perspective - Security &gt; Deploy on secure systems with secure tools and artifacts &gt; Follow SLSA guidelines for AI artifacts / Use validated prebuilt container images</t>
      </text>
    </comment>
    <comment ref="E95" authorId="0" shapeId="0">
      <text>
        <t>【意図】パイプライン権限の共有・過剰付与は、1箇所の侵害で全モデルの改ざんを可能にする。
【対象ドキュメント】Well-Architected Framework: AI and ML perspective - Security &gt; Keep AI pipelines secure and robust against tampering &gt; Protect pipelines and model artifacts from unauthorized access</t>
      </text>
    </comment>
    <comment ref="E96" authorId="0" shapeId="0">
      <text>
        <t>【意図】系譜と監査証跡がないと、インシデント時に影響範囲の特定と説明責任の遂行ができない。
【対象ドキュメント】Well-Architected Framework: AI and ML perspective - Security &gt; Keep AI pipelines secure and robust against tampering &gt; Enforce lineage and tracking</t>
      </text>
    </comment>
    <comment ref="E97" authorId="0" shapeId="0">
      <text>
        <t>【意図】環境分離の欠如は、実験環境の脆弱性から本番データ・モデルへの横展開を許す。
【対象ドキュメント】Well-Architected Framework: AI and ML perspective - Security &gt; Deploy on secure systems with secure tools and artifacts &gt; Train and deploy models in a secure environment</t>
      </text>
    </comment>
    <comment ref="E98" authorId="0" shapeId="0">
      <text>
        <t>【意図】使用中データの保護を怠ると、ホスト侵害時にメモリ上の機密データ・モデルが露出する。
【対象ドキュメント】Well-Architected Framework: AI and ML perspective - Security &gt; Deploy on secure systems with secure tools and artifacts &gt; Consider confidential computing for GPUs</t>
      </text>
    </comment>
    <comment ref="E99" authorId="0" shapeId="0">
      <text>
        <t>【意図】AI 資産の可視性がないと、設定ミスや脆弱性が発見されないまま攻撃面として残る。
【対象ドキュメント】Well-Architected Framework: AI and ML perspective - Security &gt; Define clear goals and requirements / Keep AI pipelines secure(Security Command Center)</t>
      </text>
    </comment>
    <comment ref="E100" authorId="0" shapeId="0">
      <text>
        <t>【意図】攻撃者視点の検証を欠くと、公開後に初めてジェイルブレイクや誤動作が発覚する。
【対象ドキュメント】Well-Architected Framework: AI and ML perspective - Security &gt; Verify and protect inputs &gt; Implement practices to secure generative AI systems</t>
      </text>
    </comment>
    <comment ref="E101" authorId="0" shapeId="0">
      <text>
        <t>【意図】対応手順がないと、有害出力や侵害の発覚後も被害の拡大を止められない。
【対象ドキュメント】Well-Architected Framework: AI and ML perspective - Security &gt; Monitor, evaluate, and prepare to respond to outputs &gt; Prepare incident response procedures</t>
      </text>
    </comment>
    <comment ref="E102" authorId="0" shapeId="0">
      <text>
        <t>【意図】固定キャパシティは需要変動時の停止か恒常的な過剰コストのどちらかを招く。
【対象ドキュメント】Well-Architected Framework: AI and ML perspective - Reliability &gt; Ensure that infrastructure is scalable and highly available &gt; Automatic and dynamic scaling</t>
      </text>
    </comment>
    <comment ref="E103" authorId="0" shapeId="0">
      <text>
        <t>【意図】単一ゾーン/リージョン構成は、障害時に AI サービス全体の停止に直結する。
【対象ドキュメント】Well-Architected Framework: AI and ML perspective - Reliability &gt; Ensure that infrastructure is scalable and highly available &gt; Design for HA and fault tolerance</t>
      </text>
    </comment>
    <comment ref="E104" authorId="0" shapeId="0">
      <text>
        <t>【意図】アクセラレータの在庫切れ(stock-out)対策がないと、学習・推論が予期せず実行不能になる。
【対象ドキュメント】Well-Architected Framework: AI and ML perspective - Reliability &gt; Ensure that infrastructure is scalable and highly available &gt; Resource management and obtainability</t>
      </text>
    </comment>
    <comment ref="E105" authorId="0" shapeId="0">
      <text>
        <t>【意図】不適切な負荷分散は特定レプリカの飽和・接続切断を招き、体感品質を大きく損なう。
【対象ドキュメント】Well-Architected Framework: AI and ML perspective - Reliability &gt; Ensure that infrastructure is scalable and highly available &gt; Load balancing</t>
      </text>
    </comment>
    <comment ref="E106" authorId="0" shapeId="0">
      <text>
        <t>【意図】チェックポイントがないと、障害1回で数日分の学習と高額なアクセラレータ費用を失う。
【対象ドキュメント】Well-Architected Framework: AI and ML perspective - Reliability &gt; Design for graceful degradation / HA and fault tolerance(asynchronous checkpointing, Xid errors)</t>
      </text>
    </comment>
    <comment ref="E107" authorId="0" shapeId="0">
      <text>
        <t>【意図】手作業構築の環境は再現不能で、障害復旧と環境間の一貫性維持が困難になる。
【対象ドキュメント】Well-Architected Framework: AI and ML perspective - Reliability &gt; Adopt an automated end-to-end MLOps platform &gt; Manage infrastructure as code</t>
      </text>
    </comment>
    <comment ref="E108" authorId="0" shapeId="0">
      <text>
        <t>【意図】未検証の入力は不良モデルの学習やパイプライン障害を誘発し、下流の全成果物を汚染する。
【対象ドキュメント】Well-Architected Framework: AI and ML perspective - Reliability &gt; Adopt an automated end-to-end MLOps platform &gt; Validate inputs and outputs</t>
      </text>
    </comment>
    <comment ref="E109" authorId="0" shapeId="0">
      <text>
        <t>【意図】ベクトルDBの単一障害点は、グラウンディング機能全体の停止=生成品質の急落を招く。
【対象ドキュメント】Well-Architected Framework: AI and ML perspective - Reliability &gt; Ensure that infrastructure is scalable and highly available &gt; Design for HA and fault tolerance(vector databases for RAG)</t>
      </text>
    </comment>
    <comment ref="E110" authorId="0" shapeId="0">
      <text>
        <t>【意図】SLO と縮退設計がないと、部分障害が連鎖して全面停止に発展し、信頼性の議論も感覚頼みになる。
【対象ドキュメント】Well-Architected Framework: AI and ML perspective - Reliability &gt; Use a modular and loosely coupled architecture &gt; Plan for graceful degradation</t>
      </text>
    </comment>
    <comment ref="E111" authorId="0" shapeId="0">
      <text>
        <t>【意図】検証なしの昇格と手動ロールバック頼みでは、劣化モデルの本番滞留時間が長期化する。
【対象ドキュメント】Well-Architected Framework: AI and ML perspective - Reliability &gt; Adopt an automated end-to-end MLOps platform &gt; Automate deployment and continuous monitoring</t>
      </text>
    </comment>
    <comment ref="E112" authorId="0" shapeId="0">
      <text>
        <t>【意図】コストの内訳が見えないと、GPU/推論費用の暴走を検知できず最適化の打ち手も選べない。
【対象ドキュメント】Well-Architected Framework: AI and ML perspective - Cost optimization &gt; Define and measure costs and returns &gt; Manage billing data / Monitor resources continuously</t>
      </text>
    </comment>
    <comment ref="E113" authorId="0" shapeId="0">
      <text>
        <t>【意図】最初から大規模構成にすると、仮説検証前に高額な学習・インフラ費用が沈没する。
【対象ドキュメント】Well-Architected Framework: AI and ML perspective - Cost optimization &gt; Optimize resource allocation &gt; Start with small models and datasets</t>
      </text>
    </comment>
    <comment ref="E114" authorId="0" shapeId="0">
      <text>
        <t>【意図】既存資産を無視した独自開発は、開発期間と学習コストを桁違いに増大させる。
【対象ドキュメント】Well-Architected Framework: AI and ML perspective - Cost optimization &gt; Use managed services and pre-trained models &gt; Start with existing and pre-trained models</t>
      </text>
    </comment>
    <comment ref="E115" authorId="0" shapeId="0">
      <text>
        <t>【意図】過剰プロビジョニングされた GPU/TPU は最大級の無駄なクラウド支出源になる。
【対象ドキュメント】Well-Architected Framework: AI and ML perspective - Cost optimization &gt; Optimize resource allocation &gt; Use autoscaling / Discover resource requirements through experimentation</t>
      </text>
    </comment>
    <comment ref="E116" authorId="0" shapeId="0">
      <text>
        <t>【意図】重複したデータエンジニアリングはストレージ・処理コストと品質不整合を組織全体に増殖させる。
【対象ドキュメント】Well-Architected Framework: AI and ML perspective - Cost optimization &gt; Enforce data management and governance practices &gt; Make datasets and features reusable</t>
      </text>
    </comment>
    <comment ref="E117" authorId="0" shapeId="0">
      <text>
        <t>【意図】ROI 測定なしの AI 投資は、価値を生まないワークロードへの支出を放置する。
【対象ドキュメント】Well-Architected Framework: AI and ML perspective - Cost optimization &gt; Define and measure costs and returns &gt; Establish business goals and KPIs / Foster a culture of cost awareness</t>
      </text>
    </comment>
    <comment ref="E118" authorId="0" shapeId="0">
      <text>
        <t>【意図】実験追跡がないと結果を再現できず、高価なアクセラレータの低使用率にも気づけない。
【対象ドキュメント】Well-Architected Framework: AI and ML perspective - Performance optimization &gt; Establish performance objectives and evaluation methods &gt; Monitor performance across lifecycle stages</t>
      </text>
    </comment>
    <comment ref="E119" authorId="0" shapeId="0">
      <text>
        <t>【意図】従来のレイテンシ指標だけでは生成AIの体感品質劣化を捉えられない。
【対象ドキュメント】Well-Architected Framework: AI and ML perspective - Performance optimization &gt; Establish performance objectives and evaluation methods &gt; Monitor performance across lifecycle stages(serving)</t>
      </text>
    </comment>
    <comment ref="E120" authorId="0" shapeId="0">
      <text>
        <t>【意図】リソースが「忙しい」だけの計測では、中断・再初期化で失われる実効学習時間を見逃す。
【対象ドキュメント】Well-Architected Framework: AI and ML perspective - Performance optimization &gt; Match your design choices to your performance requirements &gt; Goodput metrics(scheduling/runtime/program goodput)</t>
      </text>
    </comment>
    <comment ref="E121" authorId="0" shapeId="0">
      <text>
        <t>【意図】環境混在は本番データの汚損と、実験負荷による本番性能劣化を招く。
【対象ドキュメント】Well-Architected Framework: AI and ML perspective - Performance optimization &gt; Run and track frequent experiments &gt; Treat data as a service(resource/data isolation)</t>
      </text>
    </comment>
    <comment ref="E122" authorId="0" shapeId="0">
      <text>
        <t>【意図】その場しのぎの評価はモデル間比較を無効にし、劣化した候補の採用を許す。
【対象ドキュメント】Well-Architected Framework: AI and ML perspective - Performance optimization &gt; Establish performance objectives and evaluation methods &gt; Automate evaluation for reproducibility</t>
      </text>
    </comment>
    <comment ref="E123" authorId="0" shapeId="0">
      <text>
        <t>【意図】サービング構成の初期値放置は、レイテンシ要件未達か過剰コストのどちらかを固定化する。
【対象ドキュメント】Well-Architected Framework: AI and ML perspective - Performance optimization &gt; Build and automate training and serving infrastructure &gt; Use specialized infrastructure for prediction</t>
      </text>
    </comment>
  </commentList>
</comments>
</file>

<file path=xl/comments/comment16.xml><?xml version="1.0" encoding="utf-8"?>
<comments xmlns="http://schemas.openxmlformats.org/spreadsheetml/2006/main">
  <authors>
    <author>SWEBOKレビューハーネス</author>
    <author>Checklist maintainer</author>
  </authors>
  <commentList>
    <comment ref="E2" authorId="0" shapeId="0">
      <text>
        <t>【意図】単一データセンター障害で全停止するのを防ぐ。ゾーン冗長がないと1施設の障害が全面停止に直結する。
【対象ドキュメント】Azure Well-Architected Framework &gt; 信頼性の柱 &gt; RE:05 (Architecture Strategies for Designing for Redundancy &gt; Azure facilitation: availability zones / zone-redundant compute)</t>
      </text>
    </comment>
    <comment ref="E3" authorId="0" shapeId="0">
      <text>
        <t>【意図】リージョン規模の障害時にフェイルオーバーできず長時間停止するのを防ぐ。
【対象ドキュメント】Azure Well-Architected Framework &gt; 信頼性の柱 &gt; RE:05 (Designing for Redundancy &gt; Achieve zero downtime through active-active redundancy / Use an active-passive architecture design)</t>
      </text>
    </comment>
    <comment ref="E4" authorId="0" shapeId="0">
      <text>
        <t>【意図】データベース障害時の手動復旧による長時間停止・データ損失を防ぐ。
【対象ドキュメント】Azure Well-Architected Framework &gt; 信頼性の柱 &gt; RE:05 (Designing for Redundancy &gt; Data resources / Azure facilitation: SQL Database active geo-replication, Cosmos DB global distribution)</t>
      </text>
    </comment>
    <comment ref="E5" authorId="0" shapeId="0">
      <text>
        <t>【意図】既定のLRSのままではゾーン/リージョン障害時にデータへアクセスできず、復旧目標を満たせない。
【対象ドキュメント】Azure Well-Architected Framework &gt; 信頼性の柱 &gt; RE:05 (Designing for Redundancy &gt; Related links: Azure Storage redundancy / Zone-redundant storage)</t>
      </text>
    </comment>
    <comment ref="E6" authorId="0" shapeId="0">
      <text>
        <t>【意図】DNSが単一障害点になると、インフラが健全でもワークロード全体が到達不能になる。
【対象ドキュメント】Azure Well-Architected Framework &gt; 信頼性の柱 &gt; RE:05 (Designing for Redundancy &gt; DNS-specific Azure facilitation)</t>
      </text>
    </comment>
    <comment ref="E7" authorId="0" shapeId="0">
      <text>
        <t>【意図】誤削除により冗長構成が崩壊し、フル復旧作業を強いられるのを防ぐ。
【対象ドキュメント】Azure Well-Architected Framework &gt; 信頼性の柱 &gt; RE:05 (Designing for Redundancy &gt; Apply delete protection to preserve redundancy)</t>
      </text>
    </comment>
    <comment ref="E8" authorId="0" shapeId="0">
      <text>
        <t>【意図】ポート枯渇によるアプリケーションの断続的な接続失敗・性能劣化を防ぐ。
【対象ドキュメント】Azure Well-Architected Framework &gt; 信頼性の柱 &gt; RE:05 (Designing for Redundancy &gt; Azure facilitation: Mitigates port exhaustion via Azure NAT Gateway or Azure Firewall)</t>
      </text>
    </comment>
    <comment ref="E9" authorId="0" shapeId="0">
      <text>
        <t>【意図】需要急増時の容量不足による障害、および手動スケール運用の遅延・ミスを防ぐ。
【対象ドキュメント】Azure Well-Architected Framework &gt; 信頼性の柱 &gt; RE:06 (Architecture strategies for designing a reliable scaling strategy &gt; Azure facilitation: Azure Monitor autoscale, KEDA on AKS/Container Apps)</t>
      </text>
    </comment>
    <comment ref="E10" authorId="0" shapeId="0">
      <text>
        <t>【意図】気付かぬままサービス上限に達し、繁忙期にスケールできず停止するのを防ぐ。
【対象ドキュメント】Azure Well-Architected Framework &gt; 信頼性の柱 &gt; RE:06 (Reliable scaling strategy &gt; Adapt scaling strategies to fit individual components or flows)</t>
      </text>
    </comment>
    <comment ref="E11" authorId="0" shapeId="0">
      <text>
        <t>【意図】検知から復旧まで人手に依存すると、夜間・休日のインシデントで復旧が大幅に遅延する。
【対象ドキュメント】Azure Well-Architected Framework &gt; 信頼性の柱 &gt; RE:07 (Architecture strategies for self-healing and self-preservation &gt; Azure facilitation: Azure Monitor action groups)</t>
      </text>
    </comment>
    <comment ref="E12" authorId="0" shapeId="0">
      <text>
        <t>【意図】破損メッセージの無限再処理により後続メッセージ処理全体が停止するのを防ぐ。
【対象ドキュメント】Azure Well-Architected Framework &gt; 信頼性の柱 &gt; RE:07 (Self-healing and self-preservation &gt; Application design guidance: dead-letter queue)</t>
      </text>
    </comment>
    <comment ref="E13" authorId="0" shapeId="0">
      <text>
        <t>【意図】災害時に計画なしでは復旧targetsを満たせず、事業停止が長期化する。
【対象ドキュメント】Azure Well-Architected Framework &gt; 信頼性の柱 &gt; RE:09 (Architecture strategies for disaster recovery &gt; Azure facilitation: Azure Site Recovery, PaaS failover capabilities)</t>
      </text>
    </comment>
    <comment ref="E14" authorId="0" shapeId="0">
      <text>
        <t>【意図】バックアップ未取得または復元不能なバックアップにより、障害・ランサムウェア時にデータを恒久喪失する。
【対象ドキュメント】Azure Well-Architected Framework &gt; 信頼性の柱 &gt; RE:09 (Disaster recovery &gt; Implement robust backup strategies / Azure facilitation: Azure Backup)</t>
      </text>
    </comment>
    <comment ref="E15" authorId="0" shapeId="0">
      <text>
        <t>【意図】未検証のDR計画は本番災害時に機能せず、想定外の復旧遅延を招く。
【対象ドキュメント】Azure Well-Architected Framework &gt; 信頼性の柱 &gt; RE:09 (Disaster recovery &gt; Practice with regular drills)</t>
      </text>
    </comment>
    <comment ref="E16" authorId="0" shapeId="0">
      <text>
        <t>【意図】独自実装の認証は最新の攻撃手法に追随できず、認証破りによる全面侵害の起点になる。
【対象ドキュメント】Azure Well-Architected Framework &gt; セキュリティの柱 &gt; SE:05 (Architecture strategies for identity and access management &gt; The role of an identity provider / Azure facilitation: Microsoft Entra ID)</t>
      </text>
    </comment>
    <comment ref="E17" authorId="0" shapeId="0">
      <text>
        <t>【意図】埋め込まれた資格情報の漏えいがデータ侵害に直結する。マネージドIDで資格情報管理自体を排除する。
【対象ドキュメント】Azure Well-Architected Framework &gt; セキュリティの柱 &gt; SE:05 (Identity and access management &gt; Workload identity / Resource identity: managed identities)</t>
      </text>
    </comment>
    <comment ref="E18" authorId="0" shapeId="0">
      <text>
        <t>【意図】過剰権限のIDが侵害されると被害範囲(blast radius)が拡大する。
【対象ドキュメント】Azure Well-Architected Framework &gt; セキュリティの柱 &gt; SE:05 (Identity and access management &gt; Provide role-based authorization / Azure RBAC / Group access management)</t>
      </text>
    </comment>
    <comment ref="E19" authorId="0" shapeId="0">
      <text>
        <t>【意図】常設の特権アカウントは攻撃者にとって最大の標的であり、侵害時の被害が甚大になる。
【対象ドキュメント】Azure Well-Architected Framework &gt; セキュリティの柱 &gt; SE:05 (Identity and access management &gt; Protect critical impact accounts / Azure RBAC: Privileged Identity Management)</t>
      </text>
    </comment>
    <comment ref="E20" authorId="0" shapeId="0">
      <text>
        <t>【意図】パスワードのみの認証は資格情報窃取による不正アクセスを許す。
【対象ドキュメント】Azure Well-Architected Framework &gt; セキュリティの柱 &gt; SE:05 (Identity and access management &gt; Make conditional access choices / Conditional access policies)</t>
      </text>
    </comment>
    <comment ref="E21" authorId="0" shapeId="0">
      <text>
        <t>【意図】オンプレ侵害がそのままクラウド全体の侵害へ波及するのを防ぐ。
【対象ドキュメント】Azure Well-Architected Framework &gt; セキュリティの柱 &gt; SE:05 (Identity and access management &gt; Hybrid systems)</t>
      </text>
    </comment>
    <comment ref="E22" authorId="0" shapeId="0">
      <text>
        <t>【意図】サブネット内の水平移動(east-west)を許すと、1コンポーネントの侵害がワークロード全体に波及する。
【対象ドキュメント】Azure Well-Architected Framework &gt; セキュリティの柱 &gt; SE:06 (Architecture strategies for networking and connectivity &gt; Network security groups)</t>
      </text>
    </comment>
    <comment ref="E23" authorId="0" shapeId="0">
      <text>
        <t>【意図】無統制なegressはマルウェアのC2通信・データ持ち出し(exfiltration)を検知・遮断できない。
【対象ドキュメント】Azure Well-Architected Framework &gt; セキュリティの柱 &gt; SE:06 (Networking and connectivity &gt; Apply firewalls at the edge / Azure facilitation: Azure Firewall)</t>
      </text>
    </comment>
    <comment ref="E24" authorId="0" shapeId="0">
      <text>
        <t>【意図】SQLインジェクション・XSS等のOWASP Top 10攻撃がアプリケーションへ直接到達するのを防ぐ。
【対象ドキュメント】Azure Well-Architected Framework &gt; セキュリティの柱 &gt; SE:06 (Networking and connectivity &gt; Azure facilitation: Azure Web Application Firewall)</t>
      </text>
    </comment>
    <comment ref="E25" authorId="0" shapeId="0">
      <text>
        <t>【意図】パブリック経由のPaaSアクセスはインターネットからの攻撃面となり、認証情報漏えい時に直接侵害される。
【対象ドキュメント】Azure Well-Architected Framework &gt; セキュリティの柱 &gt; SE:06 (Networking and connectivity &gt; Private endpoints / Azure service firewalls)</t>
      </text>
    </comment>
    <comment ref="E26" authorId="0" shapeId="0">
      <text>
        <t>【意図】公開RDP/SSHはブルートフォース攻撃の常套的な侵入口となる。
【対象ドキュメント】Azure Well-Architected Framework &gt; セキュリティの柱 &gt; SE:06 (Networking and connectivity &gt; Azure Bastion)</t>
      </text>
    </comment>
    <comment ref="E27" authorId="0" shapeId="0">
      <text>
        <t>【意図】基本保護のみではテレメトリ・アラートがなく、大規模DDoS時に迅速な対応ができない。
【対象ドキュメント】Azure Well-Architected Framework &gt; セキュリティの柱 &gt; SE:06 (Networking and connectivity &gt; Azure DDoS Protection)</t>
      </text>
    </comment>
    <comment ref="E28" authorId="0" shapeId="0">
      <text>
        <t>【意図】古いTLSや失効管理されない証明書は中間者攻撃・なりすまし・突然の期限切れ停止を招く。
【対象ドキュメント】Azure Well-Architected Framework &gt; セキュリティの柱 &gt; SE:07 (Architecture strategies for encryption &gt; Encrypt data in transit / Data-in-transit protection: Key Vault)</t>
      </text>
    </comment>
    <comment ref="E29" authorId="0" shapeId="0">
      <text>
        <t>【意図】暗号化の欠落や独自実装は、媒体・バックアップ経由の情報漏えいや規制違反を招く。
【対象ドキュメント】Azure Well-Architected Framework &gt; セキュリティの柱 &gt; SE:07 (Encryption &gt; Use native encryption mechanisms / Choose an encryption keys approach / Azure facilitation: Customer-managed keys)</t>
      </text>
    </comment>
    <comment ref="E30" authorId="0" shapeId="0">
      <text>
        <t>【意図】ハードコードされたシークレットはリポジトリ閲覧者全員に露出し、漏えい即侵害につながる。
【対象ドキュメント】Azure Well-Architected Framework &gt; セキュリティの柱 &gt; SE:09 (Architecture strategies for protecting application secrets &gt; Prevent hardcoding / Azure facilitation: Key Vault, Defender for Cloud secret scanning)</t>
      </text>
    </comment>
    <comment ref="E31" authorId="0" shapeId="0">
      <text>
        <t>【意図】長寿命の固定シークレットは漏えい時の悪用期間が無期限になる。
【対象ドキュメント】Azure Well-Architected Framework &gt; セキュリティの柱 &gt; SE:09 (Protecting application secrets &gt; Secret rotation / Secret storage: auditing)</t>
      </text>
    </comment>
    <comment ref="E32" authorId="0" shapeId="0">
      <text>
        <t>【意図】脅威検知がないと侵害の兆候(既知の不正IP接続等)を見逃し、検知遅延が被害を拡大させる。
【対象ドキュメント】Azure Well-Architected Framework &gt; セキュリティの柱 &gt; SE:10 (Architecture strategies for monitoring and threat detection &gt; Azure facilitation: Microsoft Defender for Cloud)</t>
      </text>
    </comment>
    <comment ref="E33" authorId="0" shapeId="0">
      <text>
        <t>【意図】ログが分散・欠落していると侵害の検知も事後のフォレンジックも不可能になる。
【対象ドキュメント】Azure Well-Architected Framework &gt; セキュリティの柱 &gt; SE:10 (Monitoring and threat detection &gt; Store, aggregate, and analyze data / Azure facilitation: Azure Monitor, Microsoft Sentinel)</t>
      </text>
    </comment>
    <comment ref="E34" authorId="0" shapeId="0">
      <text>
        <t>【意図】ネットワークレベルの可視性がないと侵入や内部からの異常通信を検知できない。
【対象ドキュメント】Azure Well-Architected Framework &gt; セキュリティの柱 &gt; SE:10 (Monitoring and threat detection &gt; Networking: Virtual network flow logs, traffic analytics)</t>
      </text>
    </comment>
    <comment ref="E35" authorId="0" shapeId="0">
      <text>
        <t>【意図】漏えい資格情報や異常サインインを放置すると、正規アカウント経由の静かな侵害が進行する。
【対象ドキュメント】Azure Well-Architected Framework &gt; セキュリティの柱 &gt; SE:10 (Monitoring and threat detection &gt; Identity: Microsoft Entra ID Protection)</t>
      </text>
    </comment>
    <comment ref="E36" authorId="0" shapeId="0">
      <text>
        <t>【意図】セグメント化されていない環境では単一の侵害が全体へ波及する。
【対象ドキュメント】Azure Well-Architected Framework &gt; セキュリティの柱 &gt; SE:04 / SE:06 (Design review checklist for Security &gt; SE:04 Create intentional segmentation and perimeters; networking guide &gt; Design virtual network and subnet security)</t>
      </text>
    </comment>
    <comment ref="E37" authorId="0" shapeId="0">
      <text>
        <t>【意図】コストの可視化がないと予算超過や無駄な支出に気付くのが請求後になる。
【対象ドキュメント】Azure Well-Architected Framework &gt; コスト最適化の柱 &gt; CO:03 (Architecture strategies for collecting and reviewing cost data &gt; Azure facilitation: Cost Management / Cost analysis)</t>
      </text>
    </comment>
    <comment ref="E38" authorId="0" shapeId="0">
      <text>
        <t>【意図】アラートがないと想定外の課金(リソース削除漏れ、攻撃による大量消費)を早期検知できない。
【対象ドキュメント】Azure Well-Architected Framework &gt; コスト最適化の柱 &gt; CO:03 (Collecting and reviewing cost data &gt; Automate cost alerts / Azure facilitation: budgets, budget alerts)</t>
      </text>
    </comment>
    <comment ref="E39" authorId="0" shapeId="0">
      <text>
        <t>【意図】ガードレールをすり抜けた異常なコスト急増を放置すると損失が累積する。
【対象ドキュメント】Azure Well-Architected Framework &gt; コスト最適化の柱 &gt; CO:03 (Collecting and reviewing cost data &gt; Use anomaly detection / Azure facilitation: anomaly detection)</t>
      </text>
    </comment>
    <comment ref="E40" authorId="0" shapeId="0">
      <text>
        <t>【意図】コストの帰属が不明だと部門・プロジェクト別の説明責任と最適化の優先順位付けができない。
【対象ドキュメント】Azure Well-Architected Framework &gt; コスト最適化の柱 &gt; CO:03 (Collecting and reviewing cost data &gt; Group and categorize cost data / Azure facilitation: Azure tags, tag inheritance, cost allocation rules)</t>
      </text>
    </comment>
    <comment ref="E41" authorId="0" shapeId="0">
      <text>
        <t>【意図】Cost Managementの保持期間(13か月)を超えた履歴分析・傾向把握ができなくなる。
【対象ドキュメント】Azure Well-Architected Framework &gt; コスト最適化の柱 &gt; CO:03 (Collecting and reviewing cost data &gt; Collect cost data / Azure facilitation: Cost Management exports, FOCUS)</t>
      </text>
    </comment>
    <comment ref="E42" authorId="0" shapeId="0">
      <text>
        <t>【意図】従量課金のまま安定稼働リソースを運用すると大幅な過払いが継続する。逆に未使用の予約は無駄な固定費になる。
【対象ドキュメント】Azure Well-Architected Framework &gt; コスト最適化の柱 &gt; CO:05 (Architecture strategies for getting the best rates from providers &gt; Azure facilitation: Azure reservations, Azure savings plans, eliminating unused reservations)</t>
      </text>
    </comment>
    <comment ref="E43" authorId="0" shapeId="0">
      <text>
        <t>【意図】適格ライセンスがあるのにAHB未適用だとライセンス費を二重払いする。
【対象ドキュメント】Azure Well-Architected Framework &gt; コスト最適化の柱 &gt; CO:05 (Getting the best rates &gt; Azure facilitation: Azure Hybrid Benefit / License Mobility)</t>
      </text>
    </comment>
    <comment ref="E44" authorId="0" shapeId="0">
      <text>
        <t>【意図】中断可能な処理を通常価格で実行し続けるとコスト削減機会を逃す。eviction対応がないと処理欠損が起きる。
【対象ドキュメント】Azure Well-Architected Framework &gt; コスト最適化の柱 &gt; CO:05 (Getting the best rates &gt; Azure facilitation: Azure spot instances / Use Spot VMs with Batch workloads)</t>
      </text>
    </comment>
    <comment ref="E45" authorId="0" shapeId="0">
      <text>
        <t>【意図】非本番環境を本番同等の構成で常時稼働させると無駄な支出が大きく累積する。
【対象ドキュメント】Azure Well-Architected Framework &gt; コスト最適化の柱 &gt; CO:05 / CO:08 (Getting the best rates &gt; Azure facilitation: Azure dev/test; Design review checklist for Cost Optimization &gt; CO:08 Optimize environment costs)</t>
      </text>
    </comment>
    <comment ref="E46" authorId="0" shapeId="0">
      <text>
        <t>【意図】ガードレールがないと高額リソースの誤作成・野良リソースによる予算超過を防げない。
【対象ドキュメント】Azure Well-Architected Framework &gt; コスト最適化の柱 &gt; CO:04 (Design review checklist for Cost Optimization &gt; CO:04 Set spending guardrails: governance policies, resource limits, access controls)</t>
      </text>
    </comment>
    <comment ref="E47" authorId="0" shapeId="0">
      <text>
        <t>【意図】上限のないスケールや戻らないスケールは、負荷急増・不具合時に想定外の高額課金を生む。
【対象ドキュメント】Azure Well-Architected Framework &gt; コスト最適化の柱 &gt; CO:12 / 信頼性 RE:06 (Design review checklist for Cost Optimization &gt; CO:12 Optimize scaling costs; Reliable scaling strategy &gt; Choose appropriate scale units: set a maximum limit)</t>
      </text>
    </comment>
    <comment ref="E48" authorId="0" shapeId="0">
      <text>
        <t>【意図】手動デプロイは構成ドリフトと再現不能な環境を生み、障害復旧やセキュリティ統制を困難にする。
【対象ドキュメント】Azure Well-Architected Framework &gt; オペレーショナルエクセレンスの柱 &gt; OE:05 (Architecture strategies for using infrastructure as code &gt; Prefer declarative over imperative tools / Azure facilitation: ARM templates, Bicep, Terraform)</t>
      </text>
    </comment>
    <comment ref="E49" authorId="0" shapeId="0">
      <text>
        <t>【意図】環境別のIaC分岐は本番と検証の乖離を生み、検証をすり抜けた本番障害を招く。
【対象ドキュメント】Azure Well-Architected Framework &gt; オペレーショナルエクセレンスの柱 &gt; OE:05 (Infrastructure as code &gt; Support multiple environments)</t>
      </text>
    </comment>
    <comment ref="E50" authorId="0" shapeId="0">
      <text>
        <t>【意図】誤構成のままテンプレートが量産されると、脆弱な構成が全環境へ複製される。
【対象ドキュメント】Azure Well-Architected Framework &gt; オペレーショナルエクセレンスの柱 &gt; OE:05 (Infrastructure as code &gt; Enforce security in IaC code / Azure facilitation: Defender for Cloud IaC misconfigurations)</t>
      </text>
    </comment>
    <comment ref="E51" authorId="0" shapeId="0">
      <text>
        <t>【意図】一斉リリースは不具合の影響範囲を全ユーザーへ即時拡大させる。
【対象ドキュメント】Azure Well-Architected Framework &gt; オペレーショナルエクセレンスの柱 &gt; OE:11 (Architecture strategies for safe deployment practices &gt; Adopt a progressive exposure model / Azure facilitation: Azure Pipelines, GitHub Actions approval gates)</t>
      </text>
    </comment>
    <comment ref="E52" authorId="0" shapeId="0">
      <text>
        <t>【意図】切替・切り戻し手段がないと、不具合リリース時の復旧が再デプロイ待ちになり停止が長引く。
【対象ドキュメント】Azure Well-Architected Framework &gt; オペレーショナルエクセレンスの柱 &gt; OE:11 (Safe deployment practices &gt; Azure facilitation: App Service staging slots, Azure App Configuration feature flags)</t>
      </text>
    </comment>
    <comment ref="E53" authorId="0" shapeId="0">
      <text>
        <t>【意図】データ変更を伴うリリースの失敗時、ロールバック手順がないとデータ不整合や復旧不能に陥る。
【対象ドキュメント】Azure Well-Architected Framework &gt; オペレーショナルエクセレンスの柱 &gt; OE:11 (Safe deployment practices &gt; Implement failure-detection mechanisms / Azure facilitation: point-in-time restore services)</t>
      </text>
    </comment>
    <comment ref="E54" authorId="0" shapeId="0">
      <text>
        <t>【意図】緊急時の場当たり的リリースは二次障害を生み、セキュリティ修正の適用も遅延する。
【対象ドキュメント】Azure Well-Architected Framework &gt; オペレーショナルエクセレンスの柱 &gt; OE:11 (Safe deployment practices &gt; Emergency SDP protocols)</t>
      </text>
    </comment>
    <comment ref="E55" authorId="0" shapeId="0">
      <text>
        <t>【意図】テレメトリがないと障害の検知・診断・設計判断の検証ができず、運用が手探りになる。
【対象ドキュメント】Azure Well-Architected Framework &gt; オペレーショナルエクセレンスの柱 &gt; OE:07 (Architecture Strategies for Designing a Monitoring System &gt; Azure facilitation: Azure Monitor, Application Insights, Log Analytics)</t>
      </text>
    </comment>
    <comment ref="E56" authorId="0" shapeId="0">
      <text>
        <t>【意図】相関IDがないと複数サービスをまたぐ障害の原因特定に多大な時間を要する。
【対象ドキュメント】Azure Well-Architected Framework &gt; オペレーショナルエクセレンスの柱 &gt; OE:07 (Designing a Monitoring System &gt; Emit telemetry from workload components / Correlate data for end-to-end insights)</t>
      </text>
    </comment>
    <comment ref="E57" authorId="0" shapeId="0">
      <text>
        <t>【意図】ノイズだらけのアラートは重大障害の見逃し(アラート疲れ)を招く。
【対象ドキュメント】Azure Well-Architected Framework &gt; オペレーショナルエクセレンスの柱 &gt; OE:07 (Designing a Monitoring System &gt; Define alerts around meaningful operational conditions)</t>
      </text>
    </comment>
    <comment ref="E58" authorId="0" shapeId="0">
      <text>
        <t>【意図】無計画なログ集約は監視コストの膨張と本番データの分析性低下を招く。
【対象ドキュメント】Azure Well-Architected Framework &gt; オペレーショナルエクセレンスの柱 &gt; OE:07 (Designing a Monitoring System &gt; Tailor storage and retention for usage patterns / Log Analytics workspace architecture guide)</t>
      </text>
    </comment>
    <comment ref="E59" authorId="0" shapeId="0">
      <text>
        <t>【意図】不適切なティア選定は性能不足による機会損失か、過剰スペックによる浪費のいずれかを招く。
【対象ドキュメント】Azure Well-Architected Framework &gt; パフォーマンス効率の柱 &gt; PE:03 (Design review checklist for Performance Efficiency &gt; PE:03 Select the right services)</t>
      </text>
    </comment>
    <comment ref="E60" authorId="0" shapeId="0">
      <text>
        <t>【意図】CPUのみのトリガーや無設計のスケーリングは、実負荷に追随できず性能劣化を起こす。
【対象ドキュメント】Azure Well-Architected Framework &gt; パフォーマンス効率の柱 &gt; PE:05 (Architecture strategies for optimizing scaling and partitioning &gt; Configure scaling: use meaningful load metrics / scale units)</t>
      </text>
    </comment>
    <comment ref="E61" authorId="0" shapeId="0">
      <text>
        <t>【意図】フラッピングは無駄なスケール動作の連鎖により性能不安定とコスト増を招く。
【対象ドキュメント】Azure Well-Architected Framework &gt; パフォーマンス効率の柱 &gt; PE:05 (Optimizing scaling and partitioning &gt; Configure scaling: prevent flapping)</t>
      </text>
    </comment>
    <comment ref="E62" authorId="0" shapeId="0">
      <text>
        <t>【意図】セッションアフィニティ依存はスケールアウトを妨げ、インスタンス障害でユーザーセッションを喪失する。
【対象ドキュメント】Azure Well-Architected Framework &gt; パフォーマンス効率の柱 &gt; PE:05 (Optimizing scaling and partitioning &gt; Design application to scale: eliminate server-side session state / client affinity; Azure facilitation: load balancers)</t>
      </text>
    </comment>
    <comment ref="E63" authorId="0" shapeId="0">
      <text>
        <t>【意図】パーティショニングの後付けは稼働中のデータ再分散を伴い高リスク。スキューは特定パーティションの性能劣化を生む。
【対象ドキュメント】Azure Well-Architected Framework &gt; パフォーマンス効率の柱 &gt; PE:05 (Optimizing scaling and partitioning &gt; Partition workload / Plan partitioning)</t>
      </text>
    </comment>
    <comment ref="E64" authorId="0" shapeId="0">
      <text>
        <t>【意図】重い同期処理はスケール時にもUIの応答性を悪化させ、ユーザー体験を損なう。
【対象ドキュメント】Azure Well-Architected Framework &gt; パフォーマンス効率の柱 &gt; PE:05 (Optimizing scaling and partitioning &gt; Design application to scale: use background tasks)</t>
      </text>
    </comment>
    <comment ref="E65" authorId="0" shapeId="0">
      <text>
        <t>【意図】未検証のスケール設計は本番の需要ピークで初めて破綻し、性能目標を満たせない。
【対象ドキュメント】Azure Well-Architected Framework &gt; パフォーマンス効率の柱 &gt; PE:05 / PE:06 (Optimizing scaling and partitioning &gt; Test scaling; Design review checklist &gt; PE:06 performance testing in production-like environment)</t>
      </text>
    </comment>
    <comment ref="E66" authorId="0" shapeId="0">
      <text>
        <t>【意図】スケール完了前にピークが到来すると容量不足で性能劣化・障害が発生する。
【対象ドキュメント】Azure Well-Architected Framework &gt; 信頼性の柱 &gt; RE:06 (Reliable scaling strategy &gt; Optimize the scale unit initialization time)</t>
      </text>
    </comment>
    <comment ref="E67" authorId="0" shapeId="0">
      <text>
        <t>【意図】Azure OpenAI は呼び出しごとに課金されるため、無計画なストレステストはコストが急増する。
【対象ドキュメント】Design Principles for AI Workloads on Azure &gt; Cost Optimization &gt; Use what you pay for. Minimize waste.</t>
      </text>
    </comment>
    <comment ref="E68" authorId="0" shapeId="0">
      <text>
        <t>【意図】GPU SKU は高価であり、非 AI 機能への流用や過剰プロビジョニングはコストを浪費する。
【対象ドキュメント】Design Principles for AI Workloads on Azure &gt; Cost Optimization &gt; Pay for what you intend to use / Performance Efficiency &gt; Trade-off</t>
      </text>
    </comment>
    <comment ref="E69" authorId="1" shapeId="0">
      <text>
        <t>複合項目を個別に判定できるサブ統制へ分解し、親項目は適用範囲の統制に限定する。</t>
      </text>
    </comment>
    <comment ref="E70" authorId="1" shapeId="0">
      <text>
        <t>AIゲートウェイでモデル呼出しの認証・認可を一元実施していることを独立に判定し、部分実装を一括Passにしない。</t>
      </text>
    </comment>
    <comment ref="E71" authorId="1" shapeId="0">
      <text>
        <t>AIゲートウェイでレート制限とトークンクォータを強制していることを独立に判定し、部分実装を一括Passにしない。</t>
      </text>
    </comment>
    <comment ref="E72" authorId="1" shapeId="0">
      <text>
        <t>AIゲートウェイで入出力の安全性・機密情報フィルタを適用していることを独立に判定し、部分実装を一括Passにしない。</t>
      </text>
    </comment>
    <comment ref="E73" authorId="1" shapeId="0">
      <text>
        <t>AIゲートウェイのモデルルーティング規則を品質・可用性・データ制約に基づき定義していることを独立に判定し、部分実装を一括Passにしない。</t>
      </text>
    </comment>
    <comment ref="E74" authorId="1" shapeId="0">
      <text>
        <t>AIゲートウェイの利用量を費用責任単位へ配賦できることを独立に判定し、部分実装を一括Passにしない。</t>
      </text>
    </comment>
    <comment ref="E75" authorId="0" shapeId="0">
      <text>
        <t>【意図】怠るとユーザーが権限のないデータに基づく応答を受け取り、情報漏えいにつながる。
【対象ドキュメント】Application Design for AI Workloads on Azure &gt; Design a security strategy for your workload's AI components &gt; Core security principles / Recommendations &gt; Block direct access to data stores</t>
      </text>
    </comment>
    <comment ref="E76" authorId="0" shapeId="0">
      <text>
        <t>【意図】怠ると RAG 応答を通じて未認可の文書・機密情報が漏えいする。
【対象ドキュメント】Application Design for AI Workloads on Azure &gt; Design a security strategy for your workload's AI components &gt; Security-trimmed grounding</t>
      </text>
    </comment>
    <comment ref="E77" authorId="0" shapeId="0">
      <text>
        <t>【意図】怠るとあるユーザーの個人情報を含む応答が別ユーザーに返却され、プライバシー侵害・データ漏えいが発生する。
【対象ドキュメント】Application Design for AI Workloads on Azure &gt; Implement multi-layer caching strategies &gt; User privacy protection / Cache key components</t>
      </text>
    </comment>
    <comment ref="E78" authorId="0" shapeId="0">
      <text>
        <t>【意図】怠るとホスティング先のモデル廃止時にアプリケーションが停止または大規模改修を強いられる。
【対象ドキュメント】Application Design for AI Workloads on Azure &gt; Plan for model deprecation</t>
      </text>
    </comment>
    <comment ref="E79" authorId="1" shapeId="0">
      <text>
        <t>複合項目を個別に判定できるサブ統制へ分解し、親項目は適用範囲の統制に限定する。</t>
      </text>
    </comment>
    <comment ref="E80" authorId="1" shapeId="0">
      <text>
        <t>直接のモデル呼出しでなくエージェントを採用する必要性を評価していることを独立に判定し、部分実装を一括Passにしない。</t>
      </text>
    </comment>
    <comment ref="E81" authorId="1" shapeId="0">
      <text>
        <t>採用するエージェントフレームワークでエージェント・ツール・メモリの境界を定義していることを独立に判定し、部分実装を一括Passにしない。</t>
      </text>
    </comment>
    <comment ref="E82" authorId="1" shapeId="0">
      <text>
        <t>決定的ワークフローと探索的エージェント協調を使い分けていることを独立に判定し、部分実装を一括Passにしない。</t>
      </text>
    </comment>
    <comment ref="E83" authorId="0" shapeId="0">
      <text>
        <t>【意図】怠るとプライバシーリスクとトークンオーバーヘッドが増大し、デプロイ後にタスクの継続ができなくなる。
【対象ドキュメント】Application Design for AI Workloads on Azure &gt; Evaluate the use of orchestration and agents in generative AI solutions &gt; Agent state persistence</t>
      </text>
    </comment>
    <comment ref="E84" authorId="0" shapeId="0">
      <text>
        <t>【意図】怠るとピーク時にスロットリングが発生し、サービス停止や応答遅延につながる。
【対象ドキュメント】Application Platform for AI Workloads on Azure &gt; Recommendations &gt; Understand your quotas and limits / Considerations for the model hosting and inferencing platform &gt; Nonfunctional requirements</t>
      </text>
    </comment>
    <comment ref="E85" authorId="0" shapeId="0">
      <text>
        <t>【意図】常時稼働の GPU コンピュートはコストを浪費し、本番データを扱う EDA 環境の統制不足はデータ漏えいを招く。
【対象ドキュメント】Application Platform for AI Workloads on Azure &gt; Considerations for the EDA platform &gt; Functional requirements / Nonfunctional requirements / Tools</t>
      </text>
    </comment>
    <comment ref="E86" authorId="0" shapeId="0">
      <text>
        <t>【意図】怠ると学習コストが急増し、モデル鮮度要件のある再学習がスケジュール内に完了しない。
【対象ドキュメント】Application Platform for AI Workloads on Azure &gt; Considerations for the model training and fine-tuning platform &gt; Tools</t>
      </text>
    </comment>
    <comment ref="E87" authorId="0" shapeId="0">
      <text>
        <t>【意図】分離を怠ると他ワークロードとの競合で性能が不安定になり、セキュリティ境界も曖昧になる。
【対象ドキュメント】Application Platform for AI Workloads on Azure &gt; Considerations for the model hosting and inferencing platform &gt; Tools &gt; Online inferencing</t>
      </text>
    </comment>
    <comment ref="E88" authorId="0" shapeId="0">
      <text>
        <t>【意図】怠ると推論エンドポイントが単一障害点となり、AI 機能全体が停止する。
【対象ドキュメント】Application Platform for AI Workloads on Azure &gt; Considerations for the model hosting and inferencing platform &gt; Nonfunctional requirements(What are the reliability requirements for the platform?)</t>
      </text>
    </comment>
    <comment ref="E89" authorId="0" shapeId="0">
      <text>
        <t>【意図】怠るとモデル資産・学習データへの不正アクセスや改ざんのリスクが高まる。
【対象ドキュメント】Design Principles for AI Workloads on Azure &gt; Security &gt; Protect the integrity of the design by implementing segmentation / Application Platform &gt; Nonfunctional requirements(What networking controls are required?)</t>
      </text>
    </comment>
    <comment ref="E90" authorId="0" shapeId="0">
      <text>
        <t>【意図】怠ると古い/誤ったモデルが本番で使用されるリスクがあり、障害時の原因究明もできない。
【対象ドキュメント】Application Platform for AI Workloads on Azure &gt; Considerations for the model hosting and inferencing platform &gt; Functional requirements(Does the platform support traceability?)</t>
      </text>
    </comment>
    <comment ref="E91" authorId="0" shapeId="0">
      <text>
        <t>【意図】不均衡データセットはバイアスされたモデルを生み、特定グループへの不公平な結果を招く。
【対象ドキュメント】Design Training Data for AI Workloads on Azure &gt; Data ingestion and analysis &gt; Data sources</t>
      </text>
    </comment>
    <comment ref="E92" authorId="0" shapeId="0">
      <text>
        <t>【意図】怠ると下位環境経由で本番の機微データが漏えいする。
【対象ドキュメント】Design Training Data for AI Workloads on Azure &gt; Data ingestion and analysis &gt; Data collection store / Data segmentation</t>
      </text>
    </comment>
    <comment ref="E93" authorId="0" shapeId="0">
      <text>
        <t>【意図】怠ると説明可能性・監査対応ができず、前処理で混入したバイアスの特定も不可能になる。
【対象ドキュメント】Design Training Data for AI Workloads on Azure &gt; Lineage tracking</t>
      </text>
    </comment>
    <comment ref="E94" authorId="1" shapeId="0">
      <text>
        <t>複合項目を個別に判定できるサブ統制へ分解し、親項目は適用範囲の統制に限定する。</t>
      </text>
    </comment>
    <comment ref="E95" authorId="1" shapeId="0">
      <text>
        <t>公開済み特徴量を不変とし、変更を新バージョンとして管理していることを独立に判定し、部分実装を一括Passにしない。</t>
      </text>
    </comment>
    <comment ref="E96" authorId="1" shapeId="0">
      <text>
        <t>特徴量の命名規約と所有者を定義していることを独立に判定し、部分実装を一括Passにしない。</t>
      </text>
    </comment>
    <comment ref="E97" authorId="1" shapeId="0">
      <text>
        <t>特徴量のドリフトと品質劣化を自動検知していることを独立に判定し、部分実装を一括Passにしない。</t>
      </text>
    </comment>
    <comment ref="E98" authorId="1" shapeId="0">
      <text>
        <t>未使用・低品質な特徴量を廃止する手順があることを独立に判定し、部分実装を一括Passにしない。</t>
      </text>
    </comment>
    <comment ref="E99" authorId="0" shapeId="0">
      <text>
        <t>【意図】怠ると障害発生時に稼働していたモデルを復元できず、復旧が長期化する。
【対象ドキュメント】Design Training Data for AI Workloads on Azure &gt; Data maintenance &gt; Data retention</t>
      </text>
    </comment>
    <comment ref="E100" authorId="0" shapeId="0">
      <text>
        <t>【意図】怠るとソースシステムに過負荷がかかり、本来業務とAI機能双方の可用性・性能が劣化する。
【対象ドキュメント】Grounding Data Design for AI Workloads on Azure &gt; Indexing &gt; Specialized index technology</t>
      </text>
    </comment>
    <comment ref="E101" authorId="0" shapeId="0">
      <text>
        <t>【意図】怠るとインデックス経由で機微情報が漏えいし、漏えい発覚時にも即時除去ができない。
【対象ドキュメント】Grounding Data Design for AI Workloads on Azure &gt; Data preparation &gt; Data volume rescoping(Sensitive data)/ Index maintenance &gt; Deployment strategy(Emergency updates)</t>
      </text>
    </comment>
    <comment ref="E102" authorId="0" shapeId="0">
      <text>
        <t>【意図】in-place 更新はダウンタイムや SLO 違反のリスクがあり、未検証データでの推論は品質事故につながる。
【対象ドキュメント】Grounding Data Design for AI Workloads on Azure &gt; Index maintenance &gt; Deployment strategy(Side-by-side deployments)/ Maintaining compatibility</t>
      </text>
    </comment>
    <comment ref="E103" authorId="0" shapeId="0">
      <text>
        <t>【意図】怠ると古いグラウンディングデータに基づく不正確な応答が返り続ける。
【対象ドキュメント】Grounding Data Design for AI Workloads on Azure &gt; Index maintenance &gt; Freshness operations / Recommendations &gt; Update your index to prevent inferencing on stale data</t>
      </text>
    </comment>
    <comment ref="E104" authorId="0" shapeId="0">
      <text>
        <t>【意図】怠るとテキストの切り捨てや検索関連性低下により応答精度が下がり、トークンコストも増大する。
【対象ドキュメント】Grounding Data Design for AI Workloads on Azure &gt; Data preparation &gt; Chunking and the context window size</t>
      </text>
    </comment>
    <comment ref="E105" authorId="0" shapeId="0">
      <text>
        <t>【意図】怠ると GDPR 等の規制違反となり、削除済みのはずの個人データが応答に出現する。
【対象ドキュメント】Grounding Data Design for AI Workloads on Azure &gt; Index maintenance &gt; Maintenance criteria(Data deletion)</t>
      </text>
    </comment>
    <comment ref="E106" authorId="0" shapeId="0">
      <text>
        <t>【意図】怠るとリアルタイム推論パスの一部であるインデックス障害が AI 機能全体を停止させる。
【対象ドキュメント】Data Platform for AI Workloads on Azure &gt; Considerations for a search index &gt; Does the index have built-in reliability features?</t>
      </text>
    </comment>
    <comment ref="E107" authorId="0" shapeId="0">
      <text>
        <t>【意図】埋め込みから元テキストが復元され得るため、保護を怠ると機微情報の漏えいや改ざんが起きる。
【対象ドキュメント】Data Platform for AI Workloads on Azure &gt; Considerations for a search index &gt; Do the security features of the index fulfill your security data design?</t>
      </text>
    </comment>
    <comment ref="E108" authorId="0" shapeId="0">
      <text>
        <t>【意図】怠ると共有インデックス経由で他ユーザー・他テナントの文書が漏えいする。
【対象ドキュメント】Data Platform for AI Workloads on Azure &gt; Considerations for a search index &gt; Do the security features of the index fulfill your security data design?(Document-level access controls)</t>
      </text>
    </comment>
    <comment ref="E109" authorId="0" shapeId="0">
      <text>
        <t>【意図】怠るとパイプライン障害が検知されず、古い/不完全なデータでの学習・推論が発生する。
【対象ドキュメント】Data Platform for AI Workloads on Azure &gt; Considerations for data processing platform &gt; Is there a built-in orchestrator for managing workflows? / What monitoring capabilities do you need?</t>
      </text>
    </comment>
    <comment ref="E110" authorId="1" shapeId="0">
      <text>
        <t>複合項目を個別に判定できるサブ統制へ分解し、親項目は適用範囲の統制に限定する。</t>
      </text>
    </comment>
    <comment ref="E111" authorId="1" shapeId="0">
      <text>
        <t>データ主権要件に基づきソブリンクラウド利用の要否を評価していることを独立に判定し、部分実装を一括Passにしない。</t>
      </text>
    </comment>
    <comment ref="E112" authorId="1" shapeId="0">
      <text>
        <t>Microsoft Purview等で対象データをカタログ化・分類し、系譜を追跡していることを独立に判定し、部分実装を一括Passにしない。</t>
      </text>
    </comment>
    <comment ref="E113" authorId="1" shapeId="0">
      <text>
        <t>機密性要件に応じConfidential Computingとカスタマーマネージドキーを評価・適用していることを独立に判定し、部分実装を一括Passにしない。</t>
      </text>
    </comment>
    <comment ref="E114" authorId="1" shapeId="0">
      <text>
        <t>対象リージョンで必要なAzureサービスと機能が提供されることを事前確認していることを独立に判定し、部分実装を一括Passにしない。</t>
      </text>
    </comment>
    <comment ref="E115" authorId="0" shapeId="0">
      <text>
        <t>【意図】怠るとデプロイの再現性がなく、品質劣化したモデルが検証なしに本番へ到達する。
【対象ドキュメント】MLOps and GenAIOps for AI Workloads on Azure &gt; Deployment pipelines / Automation</t>
      </text>
    </comment>
    <comment ref="E116" authorId="0" shapeId="0">
      <text>
        <t>【意図】怠ると実験の再現・比較ができず、本番モデルの由来を説明できない。
【対象ドキュメント】MLOps and GenAIOps for AI Workloads on Azure &gt; Workload operations lifecycle &gt; MLOps &gt; Tools</t>
      </text>
    </comment>
    <comment ref="E117" authorId="0" shapeId="0">
      <text>
        <t>【意図】怠ると不良モデルが全ユーザーに一斉公開され、品質事故の影響範囲が最大化する。
【対象ドキュメント】MLOps and GenAIOps for AI Workloads on Azure &gt; Workload operations lifecycle &gt; Deployment / Tools</t>
      </text>
    </comment>
    <comment ref="E118" authorId="0" shapeId="0">
      <text>
        <t>【意図】怠るとモデル劣化(decay)が検知されず、不正確な結果が長期間ユーザーに提供される。
【対象ドキュメント】MLOps and GenAIOps for AI Workloads on Azure &gt; Workload operations lifecycle &gt; Monitoring / Model maintenance</t>
      </text>
    </comment>
    <comment ref="E119" authorId="0" shapeId="0">
      <text>
        <t>【意図】無自覚な方式選定は本番データの漏えりまたはコスト超過を招き、系譜がないと判断根拠を説明できない。
【対象ドキュメント】MLOps and GenAIOps for AI Workloads on Azure &gt; Automation(Models can be trained with two distinct approaches / incorporate data lineage)</t>
      </text>
    </comment>
    <comment ref="E120" authorId="0" shapeId="0">
      <text>
        <t>【意図】怠ると非決定的な AI の品質劣化が検知・対処されず、ユーザー影響が長期化する。
【対象ドキュメント】AI Workload Operations on Azure &gt; Extend the observability platform</t>
      </text>
    </comment>
    <comment ref="E121" authorId="1" shapeId="0">
      <text>
        <t>複合項目を個別に判定できるサブ統制へ分解し、親項目は適用範囲の統制に限定する。</t>
      </text>
    </comment>
    <comment ref="E122" authorId="1" shapeId="0">
      <text>
        <t>推論エンドポイントをblue-green／カナリア等で安全に更新できることを独立に判定し、部分実装を一括Passにしない。</t>
      </text>
    </comment>
    <comment ref="E123" authorId="1" shapeId="0">
      <text>
        <t>検索インデックスをside-by-side構築し、エイリアス切替で安全に更新できることを独立に判定し、部分実装を一括Passにしない。</t>
      </text>
    </comment>
    <comment ref="E124" authorId="1" shapeId="0">
      <text>
        <t>オーケストレーションコードをフィーチャーフラグまたはblue-greenで安全に更新できることを独立に判定し、部分実装を一括Passにしない。</t>
      </text>
    </comment>
    <comment ref="E125" authorId="1" shapeId="0">
      <text>
        <t>複合項目を個別に判定できるサブ統制へ分解し、親項目は適用範囲の統制に限定する。</t>
      </text>
    </comment>
    <comment ref="E126" authorId="1" shapeId="0">
      <text>
        <t>エージェントの意図解決・ツール選択・タスク遵守を独立指標で評価していることを独立に判定し、部分実装を一括Passにしない。</t>
      </text>
    </comment>
    <comment ref="E127" authorId="1" shapeId="0">
      <text>
        <t>エージェント依存先をモック化し、タイムアウト・誤応答・部分障害を試験していることを独立に判定し、部分実装を一括Passにしない。</t>
      </text>
    </comment>
    <comment ref="E128" authorId="1" shapeId="0">
      <text>
        <t>エージェントをシナリオベースで評価し、モデル採点と人手レビューを組み合わせていることを独立に判定し、部分実装を一括Passにしない。</t>
      </text>
    </comment>
    <comment ref="E129" authorId="0" shapeId="0">
      <text>
        <t>【意図】怠るとプロンプトインジェクションによるモデル挙動の乗っ取りや有害コンテンツの生成が未制御になる。
【対象ドキュメント】Test and Evaluate AI Workloads on Azure &gt; Validate agentic workflows &gt; Test the security aspects</t>
      </text>
    </comment>
    <comment ref="E130" authorId="0" shapeId="0">
      <text>
        <t>【意図】怠ると本番負荷でスロットリング連鎖やカスケード障害が発生する。
【対象ドキュメント】Test and Evaluate AI Workloads on Azure &gt; Test the inference endpoint</t>
      </text>
    </comment>
    <comment ref="E131" authorId="1" shapeId="0">
      <text>
        <t>複合項目を個別に判定できるサブ統制へ分解し、親項目は適用範囲の統制に限定する。</t>
      </text>
    </comment>
    <comment ref="E132" authorId="1" shapeId="0">
      <text>
        <t>グラウンディング処理の機能・統合テストを実施していることを独立に判定し、部分実装を一括Passにしない。</t>
      </text>
    </comment>
    <comment ref="E133" authorId="1" shapeId="0">
      <text>
        <t>グラウンディングデータのスキーマ後方互換性をテストしていることを独立に判定し、部分実装を一括Passにしない。</t>
      </text>
    </comment>
    <comment ref="E134" authorId="1" shapeId="0">
      <text>
        <t>グラウンディングデータの鮮度・品質を自動検査していることを独立に判定し、部分実装を一括Passにしない。</t>
      </text>
    </comment>
    <comment ref="E135" authorId="1" shapeId="0">
      <text>
        <t>検索インデックスの想定負荷試験を実施していることを独立に判定し、部分実装を一括Passにしない。</t>
      </text>
    </comment>
    <comment ref="E136" authorId="1" shapeId="0">
      <text>
        <t>グラウンディング検索のアクセス制御をセキュリティテストしていることを独立に判定し、部分実装を一括Passにしない。</t>
      </text>
    </comment>
    <comment ref="E137" authorId="0" shapeId="0">
      <text>
        <t>【意図】怠るとモデルが現実と乖離したまま稼働し続け、誤った予測・応答が業務判断に使われる。
【対象ドキュメント】Test and Evaluate AI Workloads on Azure &gt; Guidance for testing model training and fine-tuning &gt; Testing for model decay / Test tools</t>
      </text>
    </comment>
    <comment ref="E138" authorId="0" shapeId="0">
      <text>
        <t>【意図】怠ると個人情報がモデル・インデックス・ログへ漏えいし、規制違反となる。
【対象ドキュメント】Responsible AI in Azure Workloads &gt; Operationalize content safety measures(Anonymize data)</t>
      </text>
    </comment>
    <comment ref="E139" authorId="0" shapeId="0">
      <text>
        <t>【意図】怠ると倫理・法的問題(操作的な出力、IP 侵害、有害コンテンツ)が本番で発生し、ブランド毀損・訴訟につながる。
【対象ドキュメント】Responsible AI in Azure Workloads &gt; Develop policies for responsible AI / Enforce governance on policies for responsible AI</t>
      </text>
    </comment>
    <comment ref="E140" authorId="0" shapeId="0">
      <text>
        <t>【意図】怠るとユーザーの信頼を失い、誤った AI 判断を利用者が是正する手段がなくなる。
【対象ドキュメント】Responsible AI in Azure Workloads &gt; Make the user experience safe(Build transparency / Collect feedback / Apply ethical safeguards for AI-generated audio and video)</t>
      </text>
    </comment>
    <comment ref="E141" authorId="1" shapeId="0">
      <text>
        <t>複合項目を個別に判定できるサブ統制へ分解し、親項目は適用範囲の統制に限定する。</t>
      </text>
    </comment>
    <comment ref="E142" authorId="1" shapeId="0">
      <text>
        <t>エージェント活動を改ざん耐性のある監査ログへ記録していることを独立に判定し、部分実装を一括Passにしない。</t>
      </text>
    </comment>
    <comment ref="E143" authorId="1" shapeId="0">
      <text>
        <t>エージェントとツールにRBAC・最小権限を適用していることを独立に判定し、部分実装を一括Passにしない。</t>
      </text>
    </comment>
    <comment ref="E144" authorId="1" shapeId="0">
      <text>
        <t>エージェントを外部から停止する独立サーキットブレーカーを実装していることを独立に判定し、部分実装を一括Passにしない。</t>
      </text>
    </comment>
    <comment ref="E145" authorId="1" shapeId="0">
      <text>
        <t>高影響アクション前にhuman-in-the-loopチェックポイントを強制していることを独立に判定し、部分実装を一括Passにしない。</t>
      </text>
    </comment>
    <comment ref="E146" authorId="1" shapeId="0">
      <text>
        <t>エージェント異常を人間へエスカレーションする条件と経路を実装していることを独立に判定し、部分実装を一括Passにしない。</t>
      </text>
    </comment>
    <comment ref="E147" authorId="1" shapeId="0">
      <text>
        <t>複合項目を個別に判定できるサブ統制へ分解し、親項目は適用範囲の統制に限定する。</t>
      </text>
    </comment>
    <comment ref="E148" authorId="1" shapeId="0">
      <text>
        <t>ユーザー入力をコンテンツ安全性サービスで検査していることを独立に判定し、部分実装を一括Passにしない。</t>
      </text>
    </comment>
    <comment ref="E149" authorId="1" shapeId="0">
      <text>
        <t>モデル出力をコンテンツ安全性サービスで検査していることを独立に判定し、部分実装を一括Passにしない。</t>
      </text>
    </comment>
    <comment ref="E150" authorId="1" shapeId="0">
      <text>
        <t>画像等のマルチモーダル入力に埋め込まれた有害・隠れ命令を検査していることを独立に判定し、部分実装を一括Passにしない。</t>
      </text>
    </comment>
    <comment ref="E151" authorId="1" shapeId="0">
      <text>
        <t>複数モデル呼出しの安全性検査をゲートウェイ／オーケストレーション層へ集約していることを独立に判定し、部分実装を一括Passにしない。</t>
      </text>
    </comment>
    <comment ref="E152" authorId="0" shapeId="0">
      <text>
        <t>【意図】怠ると法的・コンプライアンス上の説明責任を果たせず、公平性の問題を検出できない。
【対象ドキュメント】Responsible AI in Azure Workloads &gt; Operationalize content safety measures(Make technical decisions about the AI system auditable / Use the right metrics / Tools)</t>
      </text>
    </comment>
  </commentList>
</comments>
</file>

<file path=xl/comments/comment17.xml><?xml version="1.0" encoding="utf-8"?>
<comments xmlns="http://schemas.openxmlformats.org/spreadsheetml/2006/main">
  <authors>
    <author>SWEBOKレビューハーネス</author>
  </authors>
  <commentList>
    <comment ref="E2" authorId="0" shapeId="0">
      <text>
        <t>【意図】パスワード漏えい単独でテナンシ全体の乗っ取りに直結するのを防ぐ。管理者アカウント侵害は全リソースの破壊・データ侵害につながる。
【対象ドキュメント】Well-Architected Framework for OCI &gt; Security and Compliance &gt; Manage Identities and Authorization Policies &gt; Use Multi-Factor Authentication (MFA)</t>
      </text>
    </comment>
    <comment ref="E3" authorId="0" shapeId="0">
      <text>
        <t>【意図】全能アカウントの常用は誤操作・侵害時の被害範囲を最大化する。ブレークグラス運用に限定して爆発半径を抑える。
【対象ドキュメント】Well-Architected Framework for OCI &gt; Security and Compliance &gt; Manage Identities and Authorization Policies &gt; Don't Use the Tenancy Administrator Account for Day-to-Day Operations</t>
      </text>
    </comment>
    <comment ref="E4" authorId="0" shapeId="0">
      <text>
        <t>【意図】委任されたIAM管理者が自身を最上位管理者グループへ追加する権限昇格経路を塞ぐ。
【対象ドキュメント】Well-Architected Framework for OCI &gt; Security and Compliance &gt; Manage Identities and Authorization Policies &gt; Restrict IAM Administrator Groups from Managing Default Administrators and Credential Administrators Groups</t>
      </text>
    </comment>
    <comment ref="E5" authorId="0" shapeId="0">
      <text>
        <t>【意図】ポリシーの意図しない削除は正当なアクセスの全停止または過剰許可による侵害を引き起こす。
【対象ドキュメント】Well-Architected Framework for OCI &gt; Security and Compliance &gt; Manage Identities and Authorization Policies &gt; Prevent Accidental or Malicious Deletion of (and Changes to) Access Policies</t>
      </text>
    </comment>
    <comment ref="E6" authorId="0" shapeId="0">
      <text>
        <t>【意図】単一ドメイン共用では非本番のユーザー管理ミスが本番アクセスに波及する。認証境界を分けて影響を局所化する。
【対象ドキュメント】Well-Architected Framework for OCI &gt; Security and Compliance &gt; Manage Identities and Authorization Policies &gt; Use Multiple Identity Domains</t>
      </text>
    </comment>
    <comment ref="E7" authorId="0" shapeId="0">
      <text>
        <t>【意図】IDの二重管理は退職者アカウントの残存や棚卸し漏れを生み、不正アクセスの温床となる。
【対象ドキュメント】Well-Architected Framework for OCI &gt; Security and Compliance &gt; Manage Identities and Authorization Policies &gt; Federate Oracle Cloud Infrastructure Identity and Access Management</t>
      </text>
    </comment>
    <comment ref="E8" authorId="0" shapeId="0">
      <text>
        <t>【意図】放置された休眠アカウントや長期未ローテーションの認証情報は攻撃者の侵入口となる。
【対象ドキュメント】Well-Architected Framework for OCI &gt; Security and Compliance &gt; Manage Identities and Authorization Policies &gt; Monitor and Manage the Activities and Status of All Users</t>
      </text>
    </comment>
    <comment ref="E9" authorId="0" shapeId="0">
      <text>
        <t>【意図】コンパートメント未分離ではポリシーが粗くなり過剰権限が常態化する。課金・監査の単位も失われる。
【対象ドキュメント】Well-Architected Framework for OCI &gt; Security and Compliance &gt; Isolate Resources and Control Access &gt; Organize Resources Using Compartments and Tags</t>
      </text>
    </comment>
    <comment ref="E10" authorId="0" shapeId="0">
      <text>
        <t>【意図】インスタンス侵害時に埋め込み資格情報が窃取されると、被害がテナンシ全体へ横展開する。
【対象ドキュメント】Well-Architected Framework for OCI &gt; Security and Compliance &gt; Isolate Resources and Control Access &gt; Don't Store User Credentials on Compute Instances</t>
      </text>
    </comment>
    <comment ref="E11" authorId="0" shapeId="0">
      <text>
        <t>【意図】インターネットに露出したSSH/RDPはブルートフォースの標的となり、侵入起点になる。
【対象ドキュメント】Well-Architected Framework for OCI &gt; Security and Compliance &gt; Isolate Resources and Control Access &gt; Harden Login Access to Compute Instances</t>
      </text>
    </comment>
    <comment ref="E12" authorId="0" shapeId="0">
      <text>
        <t>【意図】予防的ガードレールがないと、人為ミスによる公開設定・非暗号化リソースの作成を事後にしか検知できない。
【対象ドキュメント】Well-Architected Framework for OCI &gt; Security and Compliance &gt; Isolate Resources and Control Access &gt; Define Security Zones</t>
      </text>
    </comment>
    <comment ref="E13" authorId="0" shapeId="0">
      <text>
        <t>【意図】DBの公開露出や過剰権限はデータ侵害の最短経路。攻撃対象領域を最小化する。
【対象ドキュメント】Well-Architected Framework for OCI &gt; Security and Compliance &gt; Secure Your Databases &gt; Control User and Network Access</t>
      </text>
    </comment>
    <comment ref="E14" authorId="0" shapeId="0">
      <text>
        <t>【意図】誤操作・悪意によるDB削除は即データ損失となる。削除権限の分離で不可逆事故を防ぐ。
【対象ドキュメント】Well-Architected Framework for OCI &gt; Security and Compliance &gt; Secure Your Databases &gt; Restrict Permissions for Deleting Database Resources</t>
      </text>
    </comment>
    <comment ref="E15" authorId="0" shapeId="0">
      <text>
        <t>【意図】ストレージやバックアップ媒体からの物理的・論理的窃取時に平文データが漏えいする事態を防ぐ。
【対象ドキュメント】Well-Architected Framework for OCI &gt; Security and Compliance &gt; Secure Your Databases &gt; Encrypt Data</t>
      </text>
    </comment>
    <comment ref="E16" authorId="0" shapeId="0">
      <text>
        <t>【意図】既知脆弱性の放置は攻撃の常套的な侵入口。パッチ運用の欠如は侵害リスクを継続的に増大させる。
【対象ドキュメント】Well-Architected Framework for OCI &gt; Security and Compliance &gt; Secure Your Databases &gt; Apply Security Patches</t>
      </text>
    </comment>
    <comment ref="E17" authorId="0" shapeId="0">
      <text>
        <t>【意図】DB構成のドリフトや機密データの所在不明は、コンプライアンス違反や検知遅延を招く。
【対象ドキュメント】Well-Architected Framework for OCI &gt; Security and Compliance &gt; Secure Your Databases &gt; Enable Data Safe</t>
      </text>
    </comment>
    <comment ref="E18" authorId="0" shapeId="0">
      <text>
        <t>【意図】パブリックエンドポイントのDBは認証情報漏えい時にインターネットから直接攻撃可能になる。
【対象ドキュメント】Well-Architected Framework for OCI &gt; Security and Compliance &gt; Secure Your Databases &gt; Enable Private Endpoints for Autonomous Databases</t>
      </text>
    </comment>
    <comment ref="E19" authorId="0" shapeId="0">
      <text>
        <t>【意図】削除権限の拡散は誤削除・ランサムウェアによる一括破壊のリスクを高める。
【対象ドキュメント】Well-Architected Framework for OCI &gt; Security and Compliance &gt; Protect Data at Rest &gt; Restrict Permissions for Deleting Storage Resources</t>
      </text>
    </comment>
    <comment ref="E20" authorId="0" shapeId="0">
      <text>
        <t>【意図】パブリックバケットは最も頻発するクラウドデータ漏えい経路。設定ミス一つで全データが公開される。
【対象ドキュメント】Well-Architected Framework for OCI &gt; Security and Compliance &gt; Protect Data at Rest &gt; Ensure Secure Access to Object Storage</t>
      </text>
    </comment>
    <comment ref="E21" authorId="0" shapeId="0">
      <text>
        <t>【意図】エクスポート設定の不備は同一ネットワーク上の任意ホストからのファイル読み書きを許してしまう。
【対象ドキュメント】Well-Architected Framework for OCI &gt; Security and Compliance &gt; Protect Data at Rest &gt; Ensure Secure Access to File Storage</t>
      </text>
    </comment>
    <comment ref="E22" authorId="0" shapeId="0">
      <text>
        <t>【意図】Oracle管理キーのみではキーライフサイクルの統制要件(ローテーション・失効)を満たせない場合がある。
【対象ドキュメント】Well-Architected Framework for OCI &gt; Security and Compliance &gt; Protect Data at Rest &gt; Encrypt Data in Block Volumes / Encrypt Data in Object Storage</t>
      </text>
    </comment>
    <comment ref="E23" authorId="0" shapeId="0">
      <text>
        <t>【意図】ハードコードされたシークレットはコード流出と同時に漏えいし、ローテーションも不可能になる。
【対象ドキュメント】Well-Architected Framework for OCI &gt; Security and Compliance &gt; Protect Data at Rest &gt; Maintain Keys and Secrets in Oracle Cloud Infrastructure Vault</t>
      </text>
    </comment>
    <comment ref="E24" authorId="0" shapeId="0">
      <text>
        <t>【意図】広範なイングレス許可は侵入・スキャン・ラテラルムーブメントの起点となる。
【対象ドキュメント】Well-Architected Framework for OCI &gt; Security and Compliance &gt; Ensure Secure Network Access &gt; Implement Network Access Controls</t>
      </text>
    </comment>
    <comment ref="E25" authorId="0" shapeId="0">
      <text>
        <t>【意図】弱いTLS設定や証明書失効の放置は盗聴・なりすまし・サービス停止を招く。
【対象ドキュメント】Well-Architected Framework for OCI &gt; Security and Compliance &gt; Ensure Secure Network Access &gt; Secure the Load Balancers</t>
      </text>
    </comment>
    <comment ref="E26" authorId="0" shapeId="0">
      <text>
        <t>【意図】資格情報が漏えいしても接続元制限があれば外部からの悪用を阻止できる。
【対象ドキュメント】Well-Architected Framework for OCI &gt; Security and Compliance &gt; Ensure Secure Network Access &gt; Restrict Access Using Network Sources</t>
      </text>
    </comment>
    <comment ref="E27" authorId="0" shapeId="0">
      <text>
        <t>【意図】DNS改ざんはフィッシング・トラフィック乗っ取りに直結する。
【対象ドキュメント】Well-Architected Framework for OCI &gt; Security and Compliance &gt; Ensure Secure Network Access &gt; Secure DNS Zones and Records</t>
      </text>
    </comment>
    <comment ref="E28" authorId="0" shapeId="0">
      <text>
        <t>【意図】設定ミスや危険なアクティビティの検知が遅れると、侵害が長期化し被害が拡大する。
【対象ドキュメント】Well-Architected Framework for OCI &gt; Security and Compliance &gt; Monitor and Audit Your Environment &gt; Enable Cloud Guard for Monitoring</t>
      </text>
    </comment>
    <comment ref="E29" authorId="0" shapeId="0">
      <text>
        <t>【意図】監査証跡の不足はインシデント調査・フォレンジックとコンプライアンス報告を不可能にする。
【対象ドキュメント】Well-Architected Framework for OCI &gt; Security and Compliance &gt; Monitor and Audit Your Environment &gt; Configure Auditing</t>
      </text>
    </comment>
    <comment ref="E30" authorId="0" shapeId="0">
      <text>
        <t>【意図】フローログがないと不審な通信・データ持ち出しの検知と事後調査ができない。
【対象ドキュメント】Well-Architected Framework for OCI &gt; Security and Compliance &gt; Monitor and Audit Your Environment &gt; Monitor VCN Flow Logs</t>
      </text>
    </comment>
    <comment ref="E31" authorId="0" shapeId="0">
      <text>
        <t>【意図】未検出の既知脆弱性は攻撃者の主要な侵入経路であり、放置期間に比例してリスクが増大する。
【対象ドキュメント】Well-Architected Framework for OCI &gt; Security and Compliance &gt; Monitor and Audit Your Environment &gt; Continuously Scan for Vulnerabilities</t>
      </text>
    </comment>
    <comment ref="E32" authorId="0" shapeId="0">
      <text>
        <t>【意図】ログが分散したままでは横断的な攻撃の相関検知ができず、対応が遅れる。
【対象ドキュメント】Well-Architected Framework for OCI &gt; Security and Compliance &gt; Monitor and Audit Your Environment &gt; Aggregate Service Logs to SIEM Platforms</t>
      </text>
    </comment>
    <comment ref="E33" authorId="0" shapeId="0">
      <text>
        <t>【意図】単一AD/FD集中配置ではデータセンター障害・ハードウェア障害で全面停止する。
【対象ドキュメント】Well-Architected Framework for OCI &gt; Reliability and Resilience &gt; Design for Scalability &gt; Distribute Your Traffic Across Availability Domains and Regions</t>
      </text>
    </comment>
    <comment ref="E34" authorId="0" shapeId="0">
      <text>
        <t>【意図】固定キャパシティでは負荷急増時に性能劣化・停止し、過剰確保ではコストが浪費される。
【対象ドキュメント】Well-Architected Framework for OCI &gt; Reliability and Resilience &gt; Design for Scalability &gt; Scale Cloud Resources to Meet Your Workload Requirements</t>
      </text>
    </comment>
    <comment ref="E35" authorId="0" shapeId="0">
      <text>
        <t>【意図】未検証のスケーリング設定は本番のピークで初めて破綻が露見する。
【対象ドキュメント】Well-Architected Framework for OCI &gt; Reliability and Resilience &gt; Design for Scalability &gt; Perform Load Tests</t>
      </text>
    </comment>
    <comment ref="E36" authorId="0" shapeId="0">
      <text>
        <t>【意図】サービス制限への到達はスケールアウトやフェイルオーバーの失敗として顕在化し、障害時の復旧を妨げる。
【対象ドキュメント】Well-Architected Framework for OCI &gt; Reliability and Resilience &gt; Manage Your Service Limits &gt; Monitor and Manage Your Service Limits</t>
      </text>
    </comment>
    <comment ref="E37" authorId="0" shapeId="0">
      <text>
        <t>【意図】クォータ未設定では開発環境の無秩序な消費がテナンシ制限を食いつぶし、本番の拡張を阻害する。
【対象ドキュメント】Well-Architected Framework for OCI &gt; Reliability and Resilience &gt; Manage Your Service Limits &gt; Set Compartment Quotas</t>
      </text>
    </comment>
    <comment ref="E38" authorId="0" shapeId="0">
      <text>
        <t>【意図】災害時にDRリージョンの制限不足でインスタンスが起動できず、DR計画が机上の空論になる。
【対象ドキュメント】Well-Architected Framework for OCI &gt; Reliability and Resilience &gt; Manage Your Service Limits &gt; Factor Failover Usage in Your Service Limits</t>
      </text>
    </comment>
    <comment ref="E39" authorId="0" shapeId="0">
      <text>
        <t>【意図】単一回線構成では回線・プロバイダ障害でハイブリッド接続が全断し、業務が停止する。
【対象ドキュメント】Well-Architected Framework for OCI &gt; Reliability and Resilience &gt; Define Your Network and Connectivity Architecture &gt; Use Redundant Connections for Your On-Premises Environments and Private Resources</t>
      </text>
    </comment>
    <comment ref="E40" authorId="0" shapeId="0">
      <text>
        <t>【意図】CIDR重複は後からのピアリング・ハイブリッド接続を不可能にし、再構築コストが莫大になる。
【対象ドキュメント】Well-Architected Framework for OCI &gt; Reliability and Resilience &gt; Define Your Network and Connectivity Architecture &gt; Establish Non-Overlapping Private Network Ranges Across Private Environments</t>
      </text>
    </comment>
    <comment ref="E41" authorId="0" shapeId="0">
      <text>
        <t>【意図】手狭なCIDRはIP枯渇によるスケール不能・再設計を招く。
【対象ドキュメント】Well-Architected Framework for OCI &gt; Reliability and Resilience &gt; Define Your Network and Connectivity Architecture &gt; Size Your Virtual Cloud Network to Allow for Expansion</t>
      </text>
    </comment>
    <comment ref="E42" authorId="0" shapeId="0">
      <text>
        <t>【意図】インターネット経由のサービスアクセスは露出面と障害点を増やし、データ転送の信頼性も低下する。
【対象ドキュメント】Well-Architected Framework for OCI &gt; Reliability and Resilience &gt; Define Your Network and Connectivity Architecture &gt; Bypass the Internet When Connecting to Public Resources</t>
      </text>
    </comment>
    <comment ref="E43" authorId="0" shapeId="0">
      <text>
        <t>【意図】ヘルスチェック欠如では異常インスタンスへの振り分けが続き、部分障害がユーザー影響として長期化する。
【対象ドキュメント】Well-Architected Framework for OCI &gt; Reliability and Resilience &gt; Understand the Health of Your Workload &gt; Implement Health Checks</t>
      </text>
    </comment>
    <comment ref="E44" authorId="0" shapeId="0">
      <text>
        <t>【意図】バックアップ欠如は論理破壊・ランサムウェア・誤削除からの回復手段を失い、恒久的データ損失に至る。
【対象ドキュメント】Well-Architected Framework for OCI &gt; Reliability and Resilience &gt; Back Up Your Data &gt; Backup Data in Storage Services</t>
      </text>
    </comment>
    <comment ref="E45" authorId="0" shapeId="0">
      <text>
        <t>【意図】DBバックアップの不備は障害・破損時に業務データを恒久喪失させる最大級の事故要因。
【対象ドキュメント】Well-Architected Framework for OCI &gt; Reliability and Resilience &gt; Back Up Your Data &gt; Backup Data in Your Databases</t>
      </text>
    </comment>
    <comment ref="E46" authorId="0" shapeId="0">
      <text>
        <t>【意図】未検証のバックアップは「取れているつもり」で終わる。復元できないバックアップは存在しないのと同じ。
【対象ドキュメント】Well-Architected Framework for OCI &gt; Reliability and Resilience &gt; Back Up Your Data &gt; Verify Your Backup Integrity and Processes</t>
      </text>
    </comment>
    <comment ref="E47" authorId="0" shapeId="0">
      <text>
        <t>【意図】バックアップは本番同等の機密データの複製であり、保護が弱いと格好の窃取対象になる。
【対象ドキュメント】Well-Architected Framework for OCI &gt; Reliability and Resilience &gt; Back Up Your Data &gt; Validate Backup Security and Encryption</t>
      </text>
    </comment>
    <comment ref="E48" authorId="0" shapeId="0">
      <text>
        <t>【意図】単一リージョン内のみのデータ保持では、リージョン規模の障害でバックアップごと失われる。
【対象ドキュメント】Well-Architected Framework for OCI &gt; Reliability and Resilience &gt; Replicate Your Data &gt; Boot and Block Volume Replication / Object Storage Replication</t>
      </text>
    </comment>
    <comment ref="E49" authorId="0" shapeId="0">
      <text>
        <t>【意図】DBレプリカがないとリージョン/AD障害時の復旧がバックアップリストアのみとなり、RTO/RPOが大幅に悪化する。
【対象ドキュメント】Well-Architected Framework for OCI &gt; Reliability and Resilience &gt; Replicate Your Data &gt; Oracle Database Replication</t>
      </text>
    </comment>
    <comment ref="E50" authorId="0" shapeId="0">
      <text>
        <t>【意図】DR計画の欠如は広域災害時に復旧方針の意思決定から始めることになり、停止が長期化する。
【対象ドキュメント】Well-Architected Framework for OCI &gt; Reliability and Resilience &gt; Plan Your Disaster Recovery Strategy &gt; Develop a Disaster Recovery Plan / Design Disaster Recovery Solutions</t>
      </text>
    </comment>
    <comment ref="E51" authorId="0" shapeId="0">
      <text>
        <t>【意図】手動DR切替は手順ミス・所要時間超過のリスクが高く、実際の災害時に機能しないことが多い。
【対象ドキュメント】Well-Architected Framework for OCI &gt; Reliability and Resilience &gt; Plan Your Disaster Recovery Strategy &gt; Implement Full Stack Disaster Recovery</t>
      </text>
    </comment>
    <comment ref="E52" authorId="0" shapeId="0">
      <text>
        <t>【意図】訓練なしの冗長構成は初回の本番障害がテストになる。切替不能・手順陳腐化が放置される。
【対象ドキュメント】Well-Architected Framework for OCI &gt; Reliability and Resilience &gt; About Reliable and Resilient Cloud Topology Practices &gt; Periodically Test with Simulations and Forced Failovers</t>
      </text>
    </comment>
    <comment ref="E53" authorId="0" shapeId="0">
      <text>
        <t>【意図】要件不在の設計は過剰投資か過小保護のいずれかになり、障害時に責任範囲も曖昧になる。
【対象ドキュメント】Well-Architected Framework for OCI &gt; Reliability and Resilience &gt; About Reliable and Resilient Cloud Topology Practices &gt; Define the Requirements / Architect for Reliability</t>
      </text>
    </comment>
    <comment ref="E54" authorId="0" shapeId="0">
      <text>
        <t>【意図】根拠のないシェイプ選定は性能不足かコスト超過を生む。
【対象ドキュメント】Well-Architected Framework for OCI &gt; Performance and Cost Optimization &gt; Plan the Compute Resources &gt; Learn About the Available Compute Instance Shapes</t>
      </text>
    </comment>
    <comment ref="E55" authorId="0" shapeId="0">
      <text>
        <t>【意図】計測なしの固定サイジングは使用率の低い過剰リソースへの支払いを継続させる。
【対象ドキュメント】Well-Architected Framework for OCI &gt; Performance and Cost Optimization &gt; Plan the Compute Resources &gt; Determine the Right Compute Sizing and Configuration by Collecting Compute Related Metrics</t>
      </text>
    </comment>
    <comment ref="E56" authorId="0" shapeId="0">
      <text>
        <t>【意図】弾力性機能を使わない固定構成はピーク基準の常時課金となりコスト効率が悪い。
【対象ドキュメント】Well-Architected Framework for OCI &gt; Performance and Cost Optimization &gt; Plan the Compute Resources &gt; Identify Available Elastic Features in the Compute Service</t>
      </text>
    </comment>
    <comment ref="E57" authorId="0" shapeId="0">
      <text>
        <t>【意図】特性と不一致のストレージ選定は性能ボトルネックまたは過剰コストの恒常化を招く。
【対象ドキュメント】Well-Architected Framework for OCI &gt; Performance and Cost Optimization &gt; Decide Your Storage Solution &gt; Identify the Application Storage Characteristics and Requirements / Evaluate Available Storage Options</t>
      </text>
    </comment>
    <comment ref="E58" authorId="0" shapeId="0">
      <text>
        <t>【意図】遠隔リージョン選定は恒常的なレイテンシ劣化としてユーザー体験に影響し続ける。
【対象ドキュメント】Well-Architected Framework for OCI &gt; Performance and Cost Optimization &gt; Tune and Monitor Network &gt; Choose a Region Location Based On Networking Requirements</t>
      </text>
    </comment>
    <comment ref="E59" authorId="0" shapeId="0">
      <text>
        <t>【意図】ネットワーク性能の劣化は検知が遅れがちで、原因切り分けにも計測データが不可欠。
【対象ドキュメント】Well-Architected Framework for OCI &gt; Performance and Cost Optimization &gt; Tune and Monitor Network &gt; Monitor Networking Metrics / Use Global Health Checks to Monitor Your Workload</t>
      </text>
    </comment>
    <comment ref="E60" authorId="0" shapeId="0">
      <text>
        <t>【意図】契約形態のミスマッチは同一構成でも大きなコスト差を生む。
【対象ドキュメント】Well-Architected Framework for OCI &gt; Performance and Cost Optimization &gt; Track and Manage Usage and Cost &gt; Evaluate the Different Pricing Models</t>
      </text>
    </comment>
    <comment ref="E61" authorId="0" shapeId="0">
      <text>
        <t>【意図】コストの帰属が不明だと最適化の責任者が決まらず、無駄が放置される。
【対象ドキュメント】Well-Architected Framework for OCI &gt; Performance and Cost Optimization &gt; Track and Manage Usage and Cost &gt; Implement a Compartment Structure to Help Manage Costs / Implement Cost Tracking Tags for Flexible Cost Tracking</t>
      </text>
    </comment>
    <comment ref="E62" authorId="0" shapeId="0">
      <text>
        <t>【意図】予算監視がないと設定ミスや不正利用による想定外の高額請求を月次請求書で初めて知ることになる。
【対象ドキュメント】Well-Architected Framework for OCI &gt; Performance and Cost Optimization &gt; Track and Manage Usage and Cost &gt; Define Budgets</t>
      </text>
    </comment>
    <comment ref="E63" authorId="0" shapeId="0">
      <text>
        <t>【意図】ライフサイクル未設定ではアクセスされないデータがStandard階層に堆積しコストが単調増加する。
【対象ドキュメント】Well-Architected Framework for OCI &gt; Performance and Cost Optimization &gt; Track and Manage Usage and Cost &gt; Implement Object Storage, Object Lifecycle Management</t>
      </text>
    </comment>
    <comment ref="E64" authorId="0" shapeId="0">
      <text>
        <t>【意図】支出の可視化と定点観測なしにはコスト異常もリザーブの過不足も発見できない。
【対象ドキュメント】Well-Architected Framework for OCI &gt; Performance and Cost Optimization &gt; Track and Manage Usage and Cost &gt; Leverage Cost Reports / Track and Optimize Your Spending by Using Cost Analysis</t>
      </text>
    </comment>
    <comment ref="E65" authorId="0" shapeId="0">
      <text>
        <t>【意図】ゾンビリソースは何の価値も生まずに課金され続ける。
【対象ドキュメント】Well-Architected Framework for OCI &gt; Performance and Cost Optimization &gt; Track and Manage Usage and Cost &gt; Implement a Process to Terminate or STOP Unused Resources</t>
      </text>
    </comment>
    <comment ref="E66" authorId="0" shapeId="0">
      <text>
        <t>【意図】手作業運用は再現性がなくヒューマンエラーが混入し、スケールもしない。
【対象ドキュメント】Well-Architected Framework for OCI &gt; Operational Efficiency &gt; About Best Practices for Operating Cloud Deployments Efficiently &gt; Perform Operations as Code</t>
      </text>
    </comment>
    <comment ref="E67" authorId="0" shapeId="0">
      <text>
        <t>【意図】手順と学習の仕組みがないと、同じ障害が繰り返され対応が属人化する。
【対象ドキュメント】Well-Architected Framework for OCI &gt; Operational Efficiency &gt; About Best Practices for Operating Cloud Deployments Efficiently &gt; Define Operational Procedures / Expect Failure, and Learn</t>
      </text>
    </comment>
    <comment ref="E68" authorId="0" shapeId="0">
      <text>
        <t>【意図】KPI不在の運用は正常/異常の判断基準を持たず、改善の効果測定もできない。
【対象ドキュメント】Well-Architected Framework for OCI &gt; Operational Efficiency &gt; About Best Practices for Operating Cloud Deployments Efficiently &gt; Identify and Monitor Workload Key Performance Indicators</t>
      </text>
    </comment>
    <comment ref="E69" authorId="0" shapeId="0">
      <text>
        <t>【意図】差別化にならない基盤運用の内製は、運用工数と障害リスクを不必要に抱え込む。
【対象ドキュメント】Well-Architected Framework for OCI &gt; Operational Efficiency &gt; About Best Practices for Operating Cloud Deployments Efficiently &gt; Leverage Managed Services</t>
      </text>
    </comment>
    <comment ref="E70" authorId="0" shapeId="0">
      <text>
        <t>【意図】「クラウド側がやってくれるはず」という誤解は、パッチ未適用・バックアップ未取得などの重大な空白を生む。
【対象ドキュメント】Well-Architected Framework for OCI &gt; Operational Efficiency &gt; About Best Practices for Operating Cloud Deployments Efficiently &gt; Identify Your Responsibilities</t>
      </text>
    </comment>
    <comment ref="E71" authorId="0" shapeId="0">
      <text>
        <t>【意図】IaC不在の環境は構成ドリフトと再現不能な「秘伝の環境」を生み、復旧・複製が不可能になる。
【対象ドキュメント】Well-Architected Framework for OCI &gt; Operational Efficiency &gt; Plan Your Deployment Strategy &gt; Adopt Infrastructure as Code / Adopt Terraform to Implement Repeatable Workflows</t>
      </text>
    </comment>
    <comment ref="E72" authorId="0" shapeId="0">
      <text>
        <t>【意図】検証を経ない変更適用は本番障害の主要因であり、変更の追跡も不可能になる。
【対象ドキュメント】Well-Architected Framework for OCI &gt; Operational Efficiency &gt; Plan Your Deployment Strategy &gt; Adopt Build and Deployment Management Systems / Test and Validate Changes</t>
      </text>
    </comment>
    <comment ref="E73" authorId="0" shapeId="0">
      <text>
        <t>【意図】データ所在地規制の見落としはコンプライアンス違反として事後の移設を強いられる。
【対象ドキュメント】Well-Architected Framework for OCI &gt; Operational Efficiency &gt; Plan Your Deployment Strategy &gt; Choose a Region Based on Your Customers and Data</t>
      </text>
    </comment>
    <comment ref="E74" authorId="0" shapeId="0">
      <text>
        <t>【意図】アラーム不備は障害の検知遅延を、過剰なノイズはアラート疲れによる見逃しを引き起こす。
【対象ドキュメント】Well-Architected Framework for OCI &gt; Operational Efficiency &gt; Monitor Your Workload &gt; Create a Set of Alarms for Each Metric / Tune Your Alarms</t>
      </text>
    </comment>
    <comment ref="E75" authorId="0" shapeId="0">
      <text>
        <t>【意図】ログ未収集では障害調査・傾向分析の材料がなく、復旧と再発防止が遅れる。
【対象ドキュメント】Well-Architected Framework for OCI &gt; Operational Efficiency &gt; Monitor Your Workload &gt; Enable Service Logging</t>
      </text>
    </comment>
    <comment ref="E76" authorId="0" shapeId="0">
      <text>
        <t>【意図】OSパッチの手動・不定期運用は適用漏れを常態化させ、既知脆弱性が放置される。
【対象ドキュメント】Well-Architected Framework for OCI &gt; Operational Efficiency &gt; Manage Your Operating Systems &gt; View and Manage Available Security Updates / Automate and Manage OS Updates</t>
      </text>
    </comment>
    <comment ref="E77" authorId="0" shapeId="0">
      <text>
        <t>【意図】メンテナンス計画の不在は更新の先送りと、無計画な作業によるサービス影響を招く。
【対象ドキュメント】Well-Architected Framework for OCI &gt; Operational Efficiency &gt; Manage Your Operating Systems &gt; Establish a Maintenance Schedule</t>
      </text>
    </comment>
    <comment ref="E78" authorId="0" shapeId="0">
      <text>
        <t>【意図】場当たり的なテナンシ構築はガバナンス不在の構成を量産し、後からの是正コストが膨大になる。
【対象ドキュメント】Well-Architected Framework for OCI &gt; Get Started &gt; Get Started With Well-Architected OCI Landing Zones &gt; About Landing Zones and the OCI Well-Architected Pillars</t>
      </text>
    </comment>
    <comment ref="E79" authorId="0" shapeId="0">
      <text>
        <t>【意図】配置モデルの無根拠な選定は、規制違反・性能問題・想定外コストの原因となる。
【対象ドキュメント】Well-Architected Framework for OCI &gt; Distributed Cloud &gt; About Effective Strategies for Distributed Cloud Implementation &gt; Create a Design and Deployment Strategy / About Distributed Cloud Deployment Models</t>
      </text>
    </comment>
    <comment ref="E80" authorId="0" shapeId="0">
      <text>
        <t>【意図】環境ごとにバラバラな運用・セキュリティ統制は、可視性の欠落と統制不能な構成を生む。
【対象ドキュメント】Well-Architected Framework for OCI &gt; Distributed Cloud &gt; About Effective Strategies for Distributed Cloud Implementation &gt; Follow Distributed Cloud Design Principles</t>
      </text>
    </comment>
    <comment ref="E81" authorId="0" shapeId="0">
      <text>
        <t>【意図】マルチクラウドDBの独自構成は、サポート対象外の構成やクラウド間障害時の復旧不能を招く。
【対象ドキュメント】Well-Architected Framework for OCI &gt; Distributed Cloud &gt; Deploy Multicloud OCI Oracle Database Services &gt; Deploy Oracle Database@Azure / Deploy Oracle Database@AWS / Deploy Oracle Database@Google Cloud</t>
      </text>
    </comment>
  </commentList>
</comments>
</file>

<file path=xl/comments/comment18.xml><?xml version="1.0" encoding="utf-8"?>
<comments xmlns="http://schemas.openxmlformats.org/spreadsheetml/2006/main">
  <authors>
    <author>SWEBOKレビューハーネス</author>
    <author>Checklist maintainer</author>
  </authors>
  <commentList>
    <comment ref="E2" authorId="0" shapeId="0">
      <text>
        <t>【意図】目的の曖昧なAI開発は、技術的に成功しても価値を生まない成果物を量産する。
【対象ドキュメント】GCP: AI and ML perspective - Operational excellence &gt; Define problems and required outcomes / Cost optimization &gt; Establish business goals and KPIs | Azure: AI workloads on Azure(Get started)&gt; What are the common challenges?(Ethical requirements)</t>
      </text>
    </comment>
    <comment ref="E3" authorId="0" shapeId="0">
      <text>
        <t>【意図】場当たり的な開発により、評価・セキュリティ・コストの検討漏れが下流工程で顕在化することを防ぐ。
【対象ドキュメント】AWS: Generative AI Lens &gt; 概要(guidance across the generative AI lifecycle stages of scoping, model selection, customization, development, deployment, and continuous improvement)</t>
      </text>
    </comment>
    <comment ref="E4" authorId="0" shapeId="0">
      <text>
        <t>【意図】品質異常発生時に運用が対応できず、診断・復旧が遅延することを防ぐ。
【対象ドキュメント】Azure: AI Workload Operations on Azure &gt; 冒頭 / Design Principles &gt; Operational Excellence &gt; Foster a continuous learning and experimentation mindset</t>
      </text>
    </comment>
    <comment ref="E5" authorId="1" shapeId="0">
      <text>
        <t>不良入力による無駄な学習と劣化モデルの生成を、処理の入口で防ぐ。</t>
      </text>
    </comment>
    <comment ref="E6" authorId="1" shapeId="0">
      <text>
        <t>平均的な品質だけでは見えない母集団の欠落や偏りを検出する。</t>
      </text>
    </comment>
    <comment ref="E7" authorId="1" shapeId="0">
      <text>
        <t>属人的な手作業によるデータ差異と再現不能を防ぐ。</t>
      </text>
    </comment>
    <comment ref="E8" authorId="0" shapeId="0">
      <text>
        <t>【意図】評価が楽観的に偏り、本番で期待性能を下回るモデルがリリースされることを防ぐ。
【対象ドキュメント】Azure: Test and Evaluate AI Workloads on Azure &gt; Guidance for testing model training and fine-tuning &gt; Data to evaluate and test / Feature and label integrity</t>
      </text>
    </comment>
    <comment ref="E9" authorId="0" shapeId="0">
      <text>
        <t>【意図】低品質な検索コンテキストや接地されない生成は、ハルシネーション(誤情報)による誤回答と信頼失墜を招く。
【対象ドキュメント】AWS: Generative AI Lens &gt; Performance efficiency &gt; GENPERF04-BP01 / GENPERF04-BP02 | GCP: AI and ML perspective - Operational excellence &gt; Implement observability(grounding assessment) / Reliability &gt; Design for HA(vector databases for RAG)</t>
      </text>
    </comment>
    <comment ref="E10" authorId="1" shapeId="0">
      <text>
        <t>明示同意を全案件へ一律要求せず、適用法令と処理目的に即した合法性・透明性を確認する。</t>
      </text>
    </comment>
    <comment ref="E11" authorId="1" shapeId="0">
      <text>
        <t>不要な個人データの蓄積による漏えい・規制リスクを減らす。</t>
      </text>
    </comment>
    <comment ref="E12" authorId="1" shapeId="0">
      <text>
        <t>データ有用性を保ちながら個人への結び付きと漏えい影響を抑える。</t>
      </text>
    </comment>
    <comment ref="E13" authorId="1" shapeId="0">
      <text>
        <t>目的終了後もデータが残り続けるリスクを防ぐ。</t>
      </text>
    </comment>
    <comment ref="E14" authorId="1" shapeId="0">
      <text>
        <t>派生データや検索索引に個人データが残る見落としを防ぐ。</t>
      </text>
    </comment>
    <comment ref="E15" authorId="0" shapeId="0">
      <text>
        <t>【意図】既存モデル・サービスを無視した過剰な自作は、コスト・期間・運用負荷・環境負荷を不必要に増大させる。
【対象ドキュメント】GCP: AI and ML perspective - Cost optimization &gt; Use managed services and pre-trained models &gt; Start with existing and pre-trained models | Azure: AI workloads on Azure(Get started)&gt; Evaluate your build versus buy options</t>
      </text>
    </comment>
    <comment ref="E16" authorId="1" shapeId="0">
      <text>
        <t>固定順序を前提にせず、ユースケース制約に最も合う方式または組合せを選ぶ。</t>
      </text>
    </comment>
    <comment ref="E17" authorId="0" shapeId="0">
      <text>
        <t>【意図】モデル提供終了時にサービス停止や急な品質変化が発生することを防ぐ。
【対象ドキュメント】Azure: Application Design for AI Workloads on Azure &gt; Plan for model deprecation</t>
      </text>
    </comment>
    <comment ref="E18" authorId="1" shapeId="0">
      <text>
        <t>評価データの偏りやすり替わりにより、見かけ上だけ品質が上がることを防ぐ。</t>
      </text>
    </comment>
    <comment ref="E19" authorId="1" shapeId="0">
      <text>
        <t>主観的な『良くなった』ではなく、再現可能な合否判断を可能にする。</t>
      </text>
    </comment>
    <comment ref="E20" authorId="1" shapeId="0">
      <text>
        <t>変更ごとの評価漏れと環境差による比較不能を防ぐ。</t>
      </text>
    </comment>
    <comment ref="E21" authorId="0" shapeId="0">
      <text>
        <t>【意図】自動指標のみでは捉えられない品質・安全性の問題が本番に流出することを防ぐ。
【対象ドキュメント】GCP: AI and ML perspective - Operational excellence &gt; Implement observability(human-in-the-loop evaluation)</t>
      </text>
    </comment>
    <comment ref="E22" authorId="0" shapeId="0">
      <text>
        <t>【意図】リリース後の品質回帰やモデル劣化を検出する手段がなくなることを防ぐ。
【対象ドキュメント】Azure: AI Workload Operations on Azure &gt; Support testing in production / Test &gt; Live-site testing</t>
      </text>
    </comment>
    <comment ref="E23" authorId="1" shapeId="0">
      <text>
        <t>未検証入力が推論コンテキストへ直接入り、命令乗っ取りや情報漏えいを起こすことを防ぐ。</t>
      </text>
    </comment>
    <comment ref="E24" authorId="1" shapeId="0">
      <text>
        <t>データと命令の混同による間接プロンプトインジェクションを抑える。</t>
      </text>
    </comment>
    <comment ref="E25" authorId="1" shapeId="0">
      <text>
        <t>表層的な文字列検査だけでは見逃す操作意図を検出する。</t>
      </text>
    </comment>
    <comment ref="E26" authorId="1" shapeId="0">
      <text>
        <t>モデルが生成した不正・機密内容の後段流出を防ぐ。</t>
      </text>
    </comment>
    <comment ref="E27" authorId="1" shapeId="0">
      <text>
        <t>多層防御が実際の攻撃変種に耐えるかを継続確認する。</t>
      </text>
    </comment>
    <comment ref="E28" authorId="0" shapeId="0">
      <text>
        <t>【意図】未制御の有害出力が利用者に届き、実害・法的問題・ブランド毀損を招くことを防ぐ。
【対象ドキュメント】AWS: Generative AI Lens &gt; Security &gt; GENSEC02-BP01 Implement guardrails to mitigate harmful or incorrect model responses | GCP: AI and ML perspective - Security &gt; Monitor, evaluate, and prepare to respond to outputs &gt; Implement safety filters and content screening | Azure: Design Principles for AI Workloads on Azure &gt; Security &gt; Earn user trust / Responsible AI in Azure Workloads &gt; Operationalize content safety measures</t>
      </text>
    </comment>
    <comment ref="E29" authorId="0" shapeId="0">
      <text>
        <t>【意図】認証のない推論エンドポイントは、推論資源の不正利用と情報漏えいの起点になる。
【対象ドキュメント】Azure: Design Principles for AI Workloads on Azure &gt; Security &gt; Reduce the attack surface by enforcing strict user access and API design</t>
      </text>
    </comment>
    <comment ref="E30" authorId="0" shapeId="0">
      <text>
        <t>【意図】過剰権限はモデル経由の機密データ漏えいと、データ・モデルの窃取・改ざんの最短経路になる。
【対象ドキュメント】AWS: Generative AI Lens &gt; Security &gt; GENSEC01-BP01 / GENSEC01-BP03 | GCP: AI and ML perspective - Security &gt; Keep data secure and prevent loss or mishandling &gt; Implement RBAC with least privilege | Azure: Design Principles for AI Workloads on Azure &gt; Security &gt; Invest in robust access management</t>
      </text>
    </comment>
    <comment ref="E31" authorId="0" shapeId="0">
      <text>
        <t>【意図】AI応答経由で未認可の文書・データが漏えいすることを防ぐ。
【対象ドキュメント】Azure: Application Design for AI Workloads on Azure &gt; Security-trimmed grounding / Grounding Data Design &gt; Index capabilities(security trimming)</t>
      </text>
    </comment>
    <comment ref="E32" authorId="0" shapeId="0">
      <text>
        <t>【意図】エージェントの自律的な誤動作・暴走による不正な業務実行・データ破壊を止められないことを防ぐ。
【対象ドキュメント】AWS: Generative AI Lens &gt; Security &gt; GENSEC05-BP01 Implement least privilege access and permissions boundaries for agentic workflows | Azure: Responsible AI in Azure Workloads &gt; Implement agentic AI safeguards</t>
      </text>
    </comment>
    <comment ref="E33" authorId="0" shapeId="0">
      <text>
        <t>【意図】汚染データは検出困難な形でモデル・ナレッジベースの判断を歪め、バックドアや偏向・有害出力の源として機能し得る。
【対象ドキュメント】AWS: Generative AI Lens &gt; Security &gt; GENSEC06-BP01 Implement data purification filters for model training workflows | GCP: AI and ML perspective - Security &gt; Keep data secure and prevent loss or mishandling &gt; Guard against data poisoning</t>
      </text>
    </comment>
    <comment ref="E34" authorId="0" shapeId="0">
      <text>
        <t>【意図】モデルから訓練に使われた機微情報が抽出され、データ漏えいが発生することを防ぐ。
【対象ドキュメント】Azure: Design Principles for AI Workloads on Azure &gt; Security &gt; Protect data at rest, in transit, and in use</t>
      </text>
    </comment>
    <comment ref="E35" authorId="0" shapeId="0">
      <text>
        <t>【意図】検証されない成果物は、改ざんモデル・悪意あるコードの本番混入経路になる。
【対象ドキュメント】GCP: AI and ML perspective - Security &gt; Deploy on secure systems with secure tools and artifacts &gt; Follow SLSA guidelines for AI artifacts</t>
      </text>
    </comment>
    <comment ref="E36" authorId="0" shapeId="0">
      <text>
        <t>【意図】攻撃者視点の検証がないと、AI特有の脆弱性(モデル操作・データ抽出)は本番の攻撃で初めて発覚する。
【対象ドキュメント】GCP: AI and ML perspective - Security &gt; Verify and protect inputs(red team testing, automated robustness tests) | Azure: Design Principles for AI Workloads on Azure &gt; Security &gt; Conduct security testing / Responsible AI &gt; Operationalize content safety measures(Identify and mitigate threats)</t>
      </text>
    </comment>
    <comment ref="E37" authorId="0" shapeId="0">
      <text>
        <t>【意図】システムプロンプト漏えいがガードレール回避・模倣攻撃の足掛かりになることを防ぐ。
【対象ドキュメント】AWS: Generative AI Lens &gt; Security &gt; GENSEC04-BP01 Implement a secure prompt catalog</t>
      </text>
    </comment>
    <comment ref="E38" authorId="0" shapeId="0">
      <text>
        <t>【意図】証跡がないと、インシデント時に「誰が何を入力し何が出力されたか」を追跡できず、不正利用の調査と規制当局への説明が不可能になる。
【対象ドキュメント】AWS: Generative AI Lens &gt; Security &gt; GENSEC03-BP01 / GENSEC01-BP04 | GCP: AI and ML perspective - Security &gt; Monitor, evaluate, and prepare to respond to outputs &gt; Establish audit trails</t>
      </text>
    </comment>
    <comment ref="E39" authorId="0" shapeId="0">
      <text>
        <t>【意図】変更影響範囲(blast radius)の拡大と、セキュリティ制御をクライアント側に依存する脆弱な設計を防ぐ。
【対象ドキュメント】Azure: Application Design for AI Workloads on Azure &gt; Application layer architecture / Recommendations(Keep intelligence away from the client / Isolate behaviors and actions)</t>
      </text>
    </comment>
    <comment ref="E40" authorId="0" shapeId="0">
      <text>
        <t>【意図】手作業運用による環境差異・構成ドリフト・評価漏れ・リリース事故を防ぐ。
【対象ドキュメント】AWS: Generative AI Lens &gt; Operational excellence &gt; GENOPS04-BP01 / GENOPS04-BP02 | GCP: AI and ML perspective - Reliability &gt; Adopt an automated end-to-end MLOps platform &gt; Manage infrastructure as code</t>
      </text>
    </comment>
    <comment ref="E41" authorId="0" shapeId="0">
      <text>
        <t>【意図】一括リリースは欠陥モデル・不良インデックスの影響を全ユーザーに即時拡大させる。
【対象ドキュメント】GCP: AI and ML perspective - Reliability &gt; Automate deployment and continuous monitoring &gt; Controlled deployment | Azure: Design Principles for AI Workloads on Azure &gt; Operational Excellence &gt; Implement safe deployments / MLOps and GenAIOps &gt; Deployment</t>
      </text>
    </comment>
    <comment ref="E42" authorId="0" shapeId="0">
      <text>
        <t>【意図】プロンプト変更起因の品質・安全性の変動を追跡・原因特定・復旧できなくなることを防ぐ。
【対象ドキュメント】AWS: Generative AI Lens &gt; Reliability &gt; GENREL04-BP01 / Operational excellence &gt; GENOPS03-BP01 | Azure: Application Design for AI Workloads on Azure &gt; Externalize prompts and configuration</t>
      </text>
    </comment>
    <comment ref="E43" authorId="1" shapeId="0">
      <text>
        <t>暗黙更新や構成要素の組合せ不明による再現不能を防ぐ。</t>
      </text>
    </comment>
    <comment ref="E44" authorId="1" shapeId="0">
      <text>
        <t>モデルの由来と承認状態が不明なまま利用されることを防ぐ。</t>
      </text>
    </comment>
    <comment ref="E45" authorId="1" shapeId="0">
      <text>
        <t>テスト対象と本番実体の不一致により評価が無効になることを防ぐ。</t>
      </text>
    </comment>
    <comment ref="E46" authorId="0" shapeId="0">
      <text>
        <t>【意図】系譜と再現性がないと、データ問題発覚時の影響特定・コンプライアンス対応・バイアス調査が不可能になり、同じ試行錯誤とコストが繰り返される。
【対象ドキュメント】GCP: AI and ML perspective - Security &gt; Keep AI pipelines secure and robust against tampering &gt; Enforce lineage and tracking / Performance optimization &gt; Run and track frequent experiments &gt; Standardize for reproducibility | Azure: MLOps and GenAIOps for AI Workloads on Azure &gt; MLOps &gt; Tools / Design Training Data &gt; Lineage tracking</t>
      </text>
    </comment>
    <comment ref="E47" authorId="0" shapeId="0">
      <text>
        <t>【意図】非決定的なAIの品質はいつでも変化し得るため、監視がないと劣化に気づけず放置される。
【対象ドキュメント】AWS: Generative AI Lens &gt; Operational excellence &gt; GENOPS01-BP01 / GENOPS01-BP02 | Azure: AI Workload Operations on Azure &gt; Extend the observability platform / Design Principles &gt; Operational Excellence &gt; Create an automated monitoring system</t>
      </text>
    </comment>
    <comment ref="E48" authorId="0" shapeId="0">
      <text>
        <t>【意図】監視なしのモデルは静かに陳腐化し、誤予測・不正確な結果による損害が検知されないまま蓄積する。
【対象ドキュメント】GCP: AI and ML perspective - Reliability &gt; Automate deployment and continuous monitoring / Operational excellence &gt; Monitor performance continuously | Azure: Design Principles for AI Workloads on Azure &gt; Operational Excellence &gt; Automate the detection and mitigation of model decay / Test &gt; Testing for model decay</t>
      </text>
    </comment>
    <comment ref="E49" authorId="0" shapeId="0">
      <text>
        <t>【意図】障害・遅延の発生箇所を特定できず、復旧と改善が遅れることを防ぐ。
【対象ドキュメント】AWS: Generative AI Lens &gt; Operational excellence &gt; GENOPS02-BP01 / GENOPS03-BP02</t>
      </text>
    </comment>
    <comment ref="E50" authorId="0" shapeId="0">
      <text>
        <t>【意図】利用量・性能の異常を見逃し、コスト超過やUX悪化を招くことを防ぐ。
【対象ドキュメント】AWS: Generative AI Lens &gt; Operational excellence &gt; GENOPS02-BP02 / Performance efficiency &gt; GENPERF01-BP02</t>
      </text>
    </comment>
    <comment ref="E51" authorId="0" shapeId="0">
      <text>
        <t>【意図】手順のない初動は被害拡大と対応遅延を招き、説明責任も果たせない。
【対象ドキュメント】GCP: AI and ML perspective - Security &gt; Monitor, evaluate, and prepare to respond to outputs &gt; Prepare incident response procedures</t>
      </text>
    </comment>
    <comment ref="E52" authorId="0" shapeId="0">
      <text>
        <t>【意図】誤ったAI応答が是正されず、品質改善のシグナルも得られないことを防ぐ。
【対象ドキュメント】AWS: Generative AI Lens &gt; Operational excellence &gt; GENOPS01-BP02 | Azure: Responsible AI in Azure Workloads &gt; Make the user experience safe(Collect feedback)</t>
      </text>
    </comment>
    <comment ref="E53" authorId="0" shapeId="0">
      <text>
        <t>【意図】一時的な障害・制限が、全面的なサービス停止や無限リトライによる連鎖障害に発展することを防ぐ。
【対象ドキュメント】AWS: Generative AI Lens &gt; Reliability &gt; GENREL03-BP01 / GENREL03-BP02 | Azure: Design Principles for AI Workloads on Azure &gt; Reliability &gt; Conduct failure mode analysis / Test &gt; Test the inference endpoint(Failure handling)</t>
      </text>
    </comment>
    <comment ref="E54" authorId="0" shapeId="0">
      <text>
        <t>【意図】需要超過によるスロットリング多発やアクセラレータの確保失敗が、学習遅延とサービスの実質停止に直結することを防ぐ。
【対象ドキュメント】AWS: Generative AI Lens &gt; Reliability &gt; GENREL01-BP01 / Operational excellence &gt; GENOPS02-BP03 | GCP: AI and ML perspective - Operational excellence &gt; Design for scalability &gt; Plan for capacity and quotas / Performance optimization &gt; Goodput metrics(obtainability modes)</t>
      </text>
    </comment>
    <comment ref="E55" authorId="0" shapeId="0">
      <text>
        <t>【意図】性能劣化・容量不足が本番で顕在化し、ユーザー体験が悪化することを防ぐ。
【対象ドキュメント】Azure: Design Principles for AI Workloads on Azure &gt; Performance Efficiency &gt; Establish performance benchmarks / Evaluate resource needs</t>
      </text>
    </comment>
    <comment ref="E56" authorId="1" shapeId="0">
      <text>
        <t>マルチゾーン／リージョンを一律要求せず、AI機能のSLO・RTO/RPO・コスト制約に応じた対策を選ぶ。</t>
      </text>
    </comment>
    <comment ref="E57" authorId="0" shapeId="0">
      <text>
        <t>【意図】チェックポイントなしの中断は、数日分の計算とその費用を丸ごと失わせる。
【対象ドキュメント】GCP: AI and ML perspective - Performance optimization &gt; Match design choices to performance requirements &gt; Runtime goodput(automatic checkpointing)</t>
      </text>
    </comment>
    <comment ref="E58" authorId="1" shapeId="0">
      <text>
        <t>利用量増加時の費用構造と採算分岐を把握し、最適化判断の基準を作る。</t>
      </text>
    </comment>
    <comment ref="E59" authorId="1" shapeId="0">
      <text>
        <t>必要以上に大きいモデルの常用による費用・遅延を防ぐ。</t>
      </text>
    </comment>
    <comment ref="E60" authorId="1" shapeId="0">
      <text>
        <t>品質に寄与しないトークン消費を抑える。</t>
      </text>
    </comment>
    <comment ref="E61" authorId="1" shapeId="0">
      <text>
        <t>重複推論・検索を減らしつつ、他利用者の応答混入を防ぐ。</t>
      </text>
    </comment>
    <comment ref="E62" authorId="1" shapeId="0">
      <text>
        <t>コスト責任が不明な共有基盤で利用が無制限に増えることを防ぐ。</t>
      </text>
    </comment>
    <comment ref="E63" authorId="1" shapeId="0">
      <text>
        <t>設定ミスや攻撃による急激な費用増加を早期に止める。</t>
      </text>
    </comment>
    <comment ref="E64" authorId="0" shapeId="0">
      <text>
        <t>【意図】利用実態に合わない契約形態による過払い・キャパシティ不足を防ぐ。
【対象ドキュメント】AWS: Generative AI Lens &gt; Cost optimization &gt; GENCOST02-BP01 / GENCOST02-BP02</t>
      </text>
    </comment>
    <comment ref="E65" authorId="0" shapeId="0">
      <text>
        <t>【意図】ループ・暴走による際限のない推論コストとリソース占有を防ぐ。
【対象ドキュメント】AWS: Generative AI Lens &gt; Cost optimization &gt; GENCOST05-BP01 / Reliability &gt; GENREL03-BP02</t>
      </text>
    </comment>
    <comment ref="E66" authorId="0" shapeId="0">
      <text>
        <t>【意図】GPUの過剰プロビジョニング・放置はコストを急増させる。
【対象ドキュメント】Azure: Design Principles for AI Workloads on Azure &gt; Performance Efficiency &gt; Trade-off / Cost Optimization &gt; Use what you pay for</t>
      </text>
    </comment>
    <comment ref="E67" authorId="0" shapeId="0">
      <text>
        <t>【意図】過剰な計算資源の常用によりエネルギー・コストを浪費することを防ぐ。
【対象ドキュメント】AWS: Generative AI Lens &gt; Sustainability &gt; GENSUS01-BP01 / GENSUS01-BP02 / GENSUS03-BP01</t>
      </text>
    </comment>
    <comment ref="E68" authorId="0" shapeId="0">
      <text>
        <t>【意図】「モデル提供者側が対処済み」という誤解により、利用者側で必要な安全対策が欠落することを防ぐ。
【対象ドキュメント】AWS: Generative AI Lens - AWS Well-Architected Framework &gt; 概要(Responsible AI practices are highlighted, considering shared responsibilities between model producers, providers and consumers)</t>
      </text>
    </comment>
    <comment ref="E69" authorId="0" shapeId="0">
      <text>
        <t>【意図】倫理検討を後付けにすると、差別的な判断や規制違反が本番で発覚し重大なレピュテーション損害となる。
【対象ドキュメント】GCP: AI and ML perspective - Operational excellence &gt; Build a culture of operational excellence &gt; Embed AI ethics and safety considerations</t>
      </text>
    </comment>
    <comment ref="E70" authorId="0" shapeId="0">
      <text>
        <t>【意図】集計精度のみの評価は特定集団への系統的な不利益(不公平な結果)を見逃す。
【対象ドキュメント】GCP: AI and ML perspective - Operational excellence &gt; Implement observability &gt; Evaluate models during development(subgroup analysis, counterfactual generation) | Azure: Design Training Data for AI Workloads on Azure &gt; Data ingestion and analysis / Data preprocessing</t>
      </text>
    </comment>
    <comment ref="E71" authorId="0" shapeId="0">
      <text>
        <t>【意図】説明できないAIは劣化原因の分析を阻み、規制対応・利用者の信頼獲得を困難にし、誤った自動判断が是正されないまま残る。
【対象ドキュメント】GCP: Best practices for implementing ML on Google Cloud &gt; Model monitoring &gt; Use feature attributions to detect performance degradation | Azure: Responsible AI in Azure Workloads &gt; Make the user experience safe(Build transparency / Collect feedback)/ Application Design &gt; Consider nonfunctional requirements(Compliance and explainability)</t>
      </text>
    </comment>
    <comment ref="E72" authorId="1" shapeId="0">
      <text>
        <t>直接利用者だけを見て、判断対象者や下流利用者への影響を見落とすことを防ぐ。</t>
      </text>
    </comment>
    <comment ref="E73" authorId="1" shapeId="0">
      <text>
        <t>抽象的な原則を、リリース時に実際に判定できる統制へ変換する。</t>
      </text>
    </comment>
    <comment ref="E74" authorId="1" shapeId="0">
      <text>
        <t>出所や制約が不明なデータの再利用により、品質・権利・公平性問題が再発することを防ぐ。</t>
      </text>
    </comment>
    <comment ref="E75" authorId="1" shapeId="0">
      <text>
        <t>AI機能停止後もデータや自動判断への依存が残り、利用者の権利・業務が損なわれることを防ぐ。</t>
      </text>
    </comment>
    <comment ref="E76" authorId="1" shapeId="0">
      <text>
        <t>曖昧な目的やプロンプトだけの制約により、エージェントが意図外操作を行うことを防ぐ。</t>
      </text>
    </comment>
    <comment ref="E77" authorId="1" shapeId="0">
      <text>
        <t>複数段の自律処理で、誰が何を根拠に操作したか不明になることを防ぐ。</t>
      </text>
    </comment>
    <comment ref="E78" authorId="1" shapeId="0">
      <text>
        <t>低リスク支援と高影響の自律操作を同じ統制で扱うことを防ぐ。</t>
      </text>
    </comment>
    <comment ref="E79" authorId="1" shapeId="0">
      <text>
        <t>暗黙の自然言語契約により、誤解した指示や不正データが連鎖することを防ぐ。</t>
      </text>
    </comment>
    <comment ref="E80" authorId="1" shapeId="0">
      <text>
        <t>確率的な計画失敗が無限反復、外部副作用、費用暴走へ拡大することを防ぐ。</t>
      </text>
    </comment>
    <comment ref="E81" authorId="1" shapeId="0">
      <text>
        <t>生成AIだけの観点で従来型MLを評価する、またはエージェント固有リスクを通常の推論APIとして扱う誤りを防ぐ。</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computer.org/education/bodies-of-knowledge/software-engineering" TargetMode="External" Id="rId1"/><Relationship Type="http://schemas.openxmlformats.org/officeDocument/2006/relationships/hyperlink" Target="https://docs.aws.amazon.com/wellarchitected/latest/framework/welcome.html" TargetMode="External" Id="rId2"/><Relationship Type="http://schemas.openxmlformats.org/officeDocument/2006/relationships/hyperlink" Target="https://docs.aws.amazon.com/wellarchitected/latest/generative-ai-lens/generative-ai-lens.html" TargetMode="External" Id="rId3"/><Relationship Type="http://schemas.openxmlformats.org/officeDocument/2006/relationships/hyperlink" Target="https://docs.aws.amazon.com/wellarchitected/latest/responsible-ai-lens/responsible-ai-lens.html" TargetMode="External" Id="rId4"/><Relationship Type="http://schemas.openxmlformats.org/officeDocument/2006/relationships/hyperlink" Target="https://docs.aws.amazon.com/wellarchitected/latest/machine-learning-lens/machine-learning-lens.html" TargetMode="External" Id="rId5"/><Relationship Type="http://schemas.openxmlformats.org/officeDocument/2006/relationships/hyperlink" Target="https://docs.aws.amazon.com/wellarchitected/latest/agentic-ai-lens/agentic-ai-lens.html" TargetMode="External" Id="rId6"/><Relationship Type="http://schemas.openxmlformats.org/officeDocument/2006/relationships/hyperlink" Target="https://cloud.google.com/architecture/framework" TargetMode="External" Id="rId7"/><Relationship Type="http://schemas.openxmlformats.org/officeDocument/2006/relationships/hyperlink" Target="https://cloud.google.com/architecture/framework/perspectives/ai-ml" TargetMode="External" Id="rId8"/><Relationship Type="http://schemas.openxmlformats.org/officeDocument/2006/relationships/hyperlink" Target="https://learn.microsoft.com/en-us/azure/well-architected/" TargetMode="External" Id="rId9"/><Relationship Type="http://schemas.openxmlformats.org/officeDocument/2006/relationships/hyperlink" Target="https://learn.microsoft.com/en-us/azure/well-architected/ai/" TargetMode="External" Id="rId10"/><Relationship Type="http://schemas.openxmlformats.org/officeDocument/2006/relationships/hyperlink" Target="https://docs.oracle.com/en/solutions/oci-best-practices/toc.htm" TargetMode="External" Id="rId11"/><Relationship Type="http://schemas.openxmlformats.org/officeDocument/2006/relationships/hyperlink" Target="https://www.iso.org/standard/72089.html" TargetMode="External" Id="rId12"/><Relationship Type="http://schemas.openxmlformats.org/officeDocument/2006/relationships/hyperlink" Target="https://www.iso.org/standard/78176.html" TargetMode="External" Id="rId13"/><Relationship Type="http://schemas.openxmlformats.org/officeDocument/2006/relationships/hyperlink" Target="https://www.iso.org/standards.html" TargetMode="External" Id="rId14"/><Relationship Type="http://schemas.openxmlformats.org/officeDocument/2006/relationships/hyperlink" Target="https://owasp.org/www-project-application-security-verification-standard/" TargetMode="External" Id="rId15"/><Relationship Type="http://schemas.openxmlformats.org/officeDocument/2006/relationships/hyperlink" Target="https://www.nist.gov/itl" TargetMode="External" Id="rId16"/><Relationship Type="http://schemas.openxmlformats.org/officeDocument/2006/relationships/hyperlink" Target="https://www.cisecurity.org/cis-benchmarks" TargetMode="External" Id="rId17"/><Relationship Type="http://schemas.openxmlformats.org/officeDocument/2006/relationships/hyperlink" Target="https://www.rfc-editor.org/" TargetMode="External" Id="rId18"/><Relationship Type="http://schemas.openxmlformats.org/officeDocument/2006/relationships/hyperlink" Target="https://sre.google/books/" TargetMode="External" Id="rId19"/><Relationship Type="http://schemas.openxmlformats.org/officeDocument/2006/relationships/hyperlink" Target="https://dora.dev/" TargetMode="External" Id="rId20"/><Relationship Type="http://schemas.openxmlformats.org/officeDocument/2006/relationships/hyperlink" Target="https://www.finops.org/framework/" TargetMode="External" Id="rId21"/><Relationship Type="http://schemas.openxmlformats.org/officeDocument/2006/relationships/hyperlink" Target="https://standards.ieee.org/" TargetMode="External" Id="rId22"/></Relationships>
</file>

<file path=xl/worksheets/_rels/sheet6.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9.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0.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1.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2.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3.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4.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5.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6.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7.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8.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9.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20.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21.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22.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3.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sheet1.xml><?xml version="1.0" encoding="utf-8"?>
<worksheet xmlns="http://schemas.openxmlformats.org/spreadsheetml/2006/main">
  <sheetPr>
    <outlinePr summaryBelow="1" summaryRight="1"/>
    <pageSetUpPr/>
  </sheetPr>
  <dimension ref="A1:I23"/>
  <sheetViews>
    <sheetView workbookViewId="0">
      <pane ySplit="4" topLeftCell="A5" activePane="bottomLeft" state="frozen"/>
      <selection pane="bottomLeft" activeCell="A1" sqref="A1"/>
    </sheetView>
  </sheetViews>
  <sheetFormatPr baseColWidth="8" defaultRowHeight="15"/>
  <cols>
    <col width="24" customWidth="1" min="1" max="1"/>
    <col width="16" customWidth="1" min="2" max="2"/>
    <col width="44" customWidth="1" min="3" max="3"/>
    <col width="8" customWidth="1" min="4" max="4"/>
    <col width="8" customWidth="1" min="5" max="5"/>
    <col width="8" customWidth="1" min="6" max="6"/>
    <col width="8" customWidth="1" min="7" max="7"/>
    <col width="8" customWidth="1" min="8" max="8"/>
    <col width="70" customWidth="1" min="9" max="9"/>
  </cols>
  <sheetData>
    <row r="1">
      <c r="A1" s="1" t="inlineStr">
        <is>
          <t>SWEBOK Guide v4.0a（固定参照版）・クラウドWell-Architected Framework参照・整合 開発レビューチェックリスト</t>
        </is>
      </c>
    </row>
    <row r="2" ht="60" customHeight="1">
      <c r="A2" s="2" t="inlineStr">
        <is>
          <t>更新: 2026-07-18 / SWEBOK参照版: v4.0a / .workspace/swebok-v4a.pdf (SHA-256: b3cb8028fecb9607f757504c861947fa3bf423087ea8bf08c58020f0ba3596dc)。全18KAとの関係と適用・除外理由は「KA対応表」を参照。WAFは規範的な一律要件ではなく、案件条件に基づき適用判定する。各レビューシートに適用／N/A、Pass／Fail、証跡、指摘、例外承認、再確認の実施記録列を追加。出典は「出典マスター」、運用は「利用ガイド」、追加承認65件は「追加項目管理」を参照。</t>
        </is>
      </c>
    </row>
    <row r="3"/>
    <row r="4">
      <c r="A4" s="3" t="inlineStr">
        <is>
          <t>領域</t>
        </is>
      </c>
      <c r="B4" s="3" t="inlineStr">
        <is>
          <t>シート</t>
        </is>
      </c>
      <c r="C4" s="3" t="inlineStr">
        <is>
          <t>対象ドキュメント</t>
        </is>
      </c>
      <c r="D4" s="3" t="inlineStr">
        <is>
          <t>項目数（数式）</t>
        </is>
      </c>
      <c r="E4" s="3" t="inlineStr">
        <is>
          <t>Critical</t>
        </is>
      </c>
      <c r="F4" s="3" t="inlineStr">
        <is>
          <t>High</t>
        </is>
      </c>
      <c r="G4" s="3" t="inlineStr">
        <is>
          <t>Medium</t>
        </is>
      </c>
      <c r="H4" s="3" t="inlineStr">
        <is>
          <t>Low</t>
        </is>
      </c>
      <c r="I4" s="3" t="inlineStr">
        <is>
          <t>カバレッジ総評</t>
        </is>
      </c>
    </row>
    <row r="5">
      <c r="A5" s="4" t="inlineStr">
        <is>
          <t>ソフトウェア要件定義</t>
        </is>
      </c>
      <c r="B5" s="5" t="inlineStr">
        <is>
          <t>01_要件定義</t>
        </is>
      </c>
      <c r="C5" s="4" t="inlineStr">
        <is>
          <t>swebok-v4a.pdf ch01 Software Requirements</t>
        </is>
      </c>
      <c r="D5" s="5">
        <f>COUNTA('01_要件定義'!$A$2:$A$89)</f>
        <v/>
      </c>
      <c r="E5" s="5">
        <f>COUNTIF('01_要件定義'!$D$2:$D$89,"Critical")</f>
        <v/>
      </c>
      <c r="F5" s="5">
        <f>COUNTIF('01_要件定義'!$D$2:$D$89,"High")</f>
        <v/>
      </c>
      <c r="G5" s="5">
        <f>COUNTIF('01_要件定義'!$D$2:$D$89,"Medium")</f>
        <v/>
      </c>
      <c r="H5" s="5">
        <f>COUNTIF('01_要件定義'!$D$2:$D$89,"Low")</f>
        <v/>
      </c>
      <c r="I5" s="4" t="inlineStr">
        <is>
          <t>チェックリストはSWEBOK v4 第1章の主要トピック(要求の分類、獲得、分析、仕様化、妥当性確認、管理、優先順位付け・トレーサビリティ・計測、ツール)をほぼ網羅しており、ISO 29148/25010による実務補完も適切。特に3.1の望ましい性質(曖昧性・テスト可能性・原子性等)と6章の管理活動(スクラビング・変更管理・スコープマッチング)のカバーが厚い。一方、3.4「要求間対立への対処」の解決プロセス記録、QoS制約間の相互関係・トレードオフ(1.5/3.2)、7.6「要求プロセスの品質と改善」が手薄であり、gap として補完を提案する。</t>
        </is>
      </c>
    </row>
    <row r="6">
      <c r="A6" s="4" t="inlineStr">
        <is>
          <t>ソフトウェアアーキテクチャ設計</t>
        </is>
      </c>
      <c r="B6" s="5" t="inlineStr">
        <is>
          <t>02_アーキテクチャ</t>
        </is>
      </c>
      <c r="C6" s="4" t="inlineStr">
        <is>
          <t>swebok-v4a.pdf ch02 Software Architecture</t>
        </is>
      </c>
      <c r="D6" s="5">
        <f>COUNTA('02_アーキテクチャ'!$A$2:$A$83)</f>
        <v/>
      </c>
      <c r="E6" s="5">
        <f>COUNTIF('02_アーキテクチャ'!$D$2:$D$83,"Critical")</f>
        <v/>
      </c>
      <c r="F6" s="5">
        <f>COUNTIF('02_アーキテクチャ'!$D$2:$D$83,"High")</f>
        <v/>
      </c>
      <c r="G6" s="5">
        <f>COUNTIF('02_アーキテクチャ'!$D$2:$D$83,"Medium")</f>
        <v/>
      </c>
      <c r="H6" s="5">
        <f>COUNTIF('02_アーキテクチャ'!$D$2:$D$83,"Low")</f>
        <v/>
      </c>
      <c r="I6" s="4" t="inlineStr">
        <is>
          <t>SWEBOK v4 第2章(Software Architecture)の4トピック(基礎/記述/プロセス/評価)を、10カテゴリ76項目でほぼ網羅的にカバーしている。特に2.4(重要決定・根拠・技術的負債)、2.1(ビュー/ビューポイント)、4章(評価・レビュー・メトリクス)への対応が厚く、実務補完(観測可能性、ライセンス、Docs as Code等)も適切に織り込まれている。一方、1.3の再利用・プロダクトライン、3.4のアーキテクチャ知識管理、3.1のライフサイクルコンテキスト(アジャイル等での創発的アーキテクチャのリスク)への対応がやや手薄である。</t>
        </is>
      </c>
    </row>
    <row r="7">
      <c r="A7" s="4" t="inlineStr">
        <is>
          <t>ソフトウェア詳細設計</t>
        </is>
      </c>
      <c r="B7" s="5" t="inlineStr">
        <is>
          <t>03_詳細設計</t>
        </is>
      </c>
      <c r="C7" s="4" t="inlineStr">
        <is>
          <t>swebok-v4a.pdf ch03 Software Design</t>
        </is>
      </c>
      <c r="D7" s="5">
        <f>COUNTA('03_詳細設計'!$A$2:$A$98)</f>
        <v/>
      </c>
      <c r="E7" s="5">
        <f>COUNTIF('03_詳細設計'!$D$2:$D$98,"Critical")</f>
        <v/>
      </c>
      <c r="F7" s="5">
        <f>COUNTIF('03_詳細設計'!$D$2:$D$98,"High")</f>
        <v/>
      </c>
      <c r="G7" s="5">
        <f>COUNTIF('03_詳細設計'!$D$2:$D$98,"Medium")</f>
        <v/>
      </c>
      <c r="H7" s="5">
        <f>COUNTIF('03_詳細設計'!$D$2:$D$98,"Low")</f>
        <v/>
      </c>
      <c r="I7" s="4" t="inlineStr">
        <is>
          <t>SWEBOK v4 CHAPTER 03(Software Design)の主要トピックはおおむねカバーされている。特に設計原則(1.4)、詳細設計の対象(2.2)、設計品質特性(3.1〜3.8)、記録・根拠(4章)、レビューと評価(6章)に対応する項目が体系的に配置されている。一方、既製コンポーネント/フレームワーク再利用の検討(2.2/5.6)、セーフティ(3.7)、外部システムとの統合・相互運用性(3.6)、採用設計手法の明示(5章)がやや手薄である。API仕様・DB実務・Web UI 実務の項目は SWEBOK を実務標準で補完したものとして妥当である。</t>
        </is>
      </c>
    </row>
    <row r="8">
      <c r="A8" s="4" t="inlineStr">
        <is>
          <t>ソフトウェア実装</t>
        </is>
      </c>
      <c r="B8" s="5" t="inlineStr">
        <is>
          <t>04_実装</t>
        </is>
      </c>
      <c r="C8" s="4" t="inlineStr">
        <is>
          <t>swebok-v4a.pdf ch04 Software Construction</t>
        </is>
      </c>
      <c r="D8" s="5">
        <f>COUNTA('04_実装'!$A$2:$A$86)</f>
        <v/>
      </c>
      <c r="E8" s="5">
        <f>COUNTIF('04_実装'!$D$2:$D$86,"Critical")</f>
        <v/>
      </c>
      <c r="F8" s="5">
        <f>COUNTIF('04_実装'!$D$2:$D$86,"High")</f>
        <v/>
      </c>
      <c r="G8" s="5">
        <f>COUNTIF('04_実装'!$D$2:$D$86,"Medium")</f>
        <v/>
      </c>
      <c r="H8" s="5">
        <f>COUNTIF('04_実装'!$D$2:$D$86,"Low")</f>
        <v/>
      </c>
      <c r="I8" s="4" t="inlineStr">
        <is>
          <t>SWEBOK v4 第4章の中核である構築の基礎(複雑性最小化・検証可能性・標準適用)、構築技術(エラー処理・防御的プログラミング・並行処理・API設計・性能)、管理(依存関係・統合・CI)、構築テストをコードレビュー実務の観点で幅広くカバーしており、実務補完(セキュアコーディング詳細、レビュー記録)も適切に組み込まれている。一方、2.3 構築の計測、3.5 再利用のための構築(可変性の実装・資産の文書化)、4.8 実行時コンフィギュレーションと国際化はチェック項目が手薄である。4.6〜4.7(実行可能モデル、状態ベース/テーブル駆動)や4.13(ヘテロジニアスシステム)は適用場面が限定的であり、汎用チェックリストからの除外は妥当と判断する。</t>
        </is>
      </c>
    </row>
    <row r="9">
      <c r="A9" s="4" t="inlineStr">
        <is>
          <t>ソフトウェアテスト</t>
        </is>
      </c>
      <c r="B9" s="5" t="inlineStr">
        <is>
          <t>05_テスト</t>
        </is>
      </c>
      <c r="C9" s="4" t="inlineStr">
        <is>
          <t>swebok-v4a.pdf ch05 Software Testing</t>
        </is>
      </c>
      <c r="D9" s="5">
        <f>COUNTA('05_テスト'!$A$2:$A$91)</f>
        <v/>
      </c>
      <c r="E9" s="5">
        <f>COUNTIF('05_テスト'!$D$2:$D$91,"Critical")</f>
        <v/>
      </c>
      <c r="F9" s="5">
        <f>COUNTIF('05_テスト'!$D$2:$D$91,"High")</f>
        <v/>
      </c>
      <c r="G9" s="5">
        <f>COUNTIF('05_テスト'!$D$2:$D$91,"Medium")</f>
        <v/>
      </c>
      <c r="H9" s="5">
        <f>COUNTIF('05_テスト'!$D$2:$D$91,"Low")</f>
        <v/>
      </c>
      <c r="I9" s="4" t="inlineStr">
        <is>
          <t>チェックリストはSWEBOK v4 第5章の主要トピック(テストレベル、仕様/構造/経験ベース技法、テストプロセス、測定、完了判定)を計画〜報告のライフサイクル全体にわたり高い密度でカバーしており、フォールト/フェイラの区別やオラクル問題、テスト理論の限界といった基礎概念も項目に反映されている。一方、SWEBOKが独立トピックとして扱う利用ベース技法(運用プロファイルによる信頼性評価)、テスト容易性、適合・コンプライアンステスト、アルファ/ベータテスト、テストツール選定は既存項目で明示的にカバーされていない。自動テストコードのカテゴリはSWEBOK記述を超える実務補完だが、シフトレフト開発(6.1.2)の趣旨と整合している。</t>
        </is>
      </c>
    </row>
    <row r="10">
      <c r="A10" s="4" t="inlineStr">
        <is>
          <t>ソフトウェア運用</t>
        </is>
      </c>
      <c r="B10" s="5" t="inlineStr">
        <is>
          <t>06_運用</t>
        </is>
      </c>
      <c r="C10" s="4" t="inlineStr">
        <is>
          <t>swebok-v4a.pdf ch06 SE Operations</t>
        </is>
      </c>
      <c r="D10" s="5">
        <f>COUNTA('06_運用'!$A$2:$A$106)</f>
        <v/>
      </c>
      <c r="E10" s="5">
        <f>COUNTIF('06_運用'!$D$2:$D$106,"Critical")</f>
        <v/>
      </c>
      <c r="F10" s="5">
        <f>COUNTIF('06_運用'!$D$2:$D$106,"High")</f>
        <v/>
      </c>
      <c r="G10" s="5">
        <f>COUNTIF('06_運用'!$D$2:$D$106,"Medium")</f>
        <v/>
      </c>
      <c r="H10" s="5">
        <f>COUNTIF('06_運用'!$D$2:$D$106,"Low")</f>
        <v/>
      </c>
      <c r="I10" s="4" t="inlineStr">
        <is>
          <t>SWEBOK v4 第6章(Software Engineering Operations)の3大プロセス(計画・デリバリー・統制)と実践的考慮事項・ツールをほぼ全域にわたりカバーしており、SLO/エラーバジェットや Runbook 具体性などSRE実務の補完も適切である。一方、運用計画の柱である財務管理・予算(2.1.1)、情報セキュリティリスクアセスメントとポリシー/教育(2.6)、承認外構成変更の検知(4.3)、継続的な運用リスク管理とリスク許容度の合意(5.2)が手薄であり、これらを補うことで章構成との対応が完全に近くなる。</t>
        </is>
      </c>
    </row>
    <row r="11">
      <c r="A11" s="4" t="inlineStr">
        <is>
          <t>ソフトウェア保守</t>
        </is>
      </c>
      <c r="B11" s="5" t="inlineStr">
        <is>
          <t>07_保守</t>
        </is>
      </c>
      <c r="C11" s="4" t="inlineStr">
        <is>
          <t>swebok-v4a.pdf ch07 Software Maintenance</t>
        </is>
      </c>
      <c r="D11" s="5">
        <f>COUNTA('07_保守'!$A$2:$A$87)</f>
        <v/>
      </c>
      <c r="E11" s="5">
        <f>COUNTIF('07_保守'!$D$2:$D$87,"Critical")</f>
        <v/>
      </c>
      <c r="F11" s="5">
        <f>COUNTIF('07_保守'!$D$2:$D$87,"High")</f>
        <v/>
      </c>
      <c r="G11" s="5">
        <f>COUNTIF('07_保守'!$D$2:$D$87,"Medium")</f>
        <v/>
      </c>
      <c r="H11" s="5">
        <f>COUNTIF('07_保守'!$D$2:$D$87,"Low")</f>
        <v/>
      </c>
      <c r="I11" s="4" t="inlineStr">
        <is>
          <t>チェックリストは SWEBOK v4 第7章の主要トピック(保守区分、影響分析、保守性・技術的負債、リファクタリング/リエンジニアリング、テスト、SCM、供給者管理・SLA、測定、プロセス、プログラム理解)をほぼ網羅しており、EOL・移行・廃棄など ISO/IEC/IEEE 14764 の Disposal 側も実務的に補完している。一方、章が明示する「保守区分別のコスト/工数傾向分析」「リリース/バージョン計画の利用者合意・競合調整」「継続的デリバリー/デプロイの自動化」「稼働ソフトウェアのサーベイランス(容量・継続性・可用性)」はやや手薄である。全体として SWEBOK 準拠度は高く、追加提案は4件にとどまる。</t>
        </is>
      </c>
    </row>
    <row r="12">
      <c r="A12" s="4" t="inlineStr">
        <is>
          <t>ソフトウェア構成管理</t>
        </is>
      </c>
      <c r="B12" s="5" t="inlineStr">
        <is>
          <t>08_構成管理</t>
        </is>
      </c>
      <c r="C12" s="4" t="inlineStr">
        <is>
          <t>swebok-v4a.pdf ch08 Software Configuration Management</t>
        </is>
      </c>
      <c r="D12" s="5">
        <f>COUNTA('08_構成管理'!$A$2:$A$97)</f>
        <v/>
      </c>
      <c r="E12" s="5">
        <f>COUNTIF('08_構成管理'!$D$2:$D$97,"Critical")</f>
        <v/>
      </c>
      <c r="F12" s="5">
        <f>COUNTIF('08_構成管理'!$D$2:$D$97,"High")</f>
        <v/>
      </c>
      <c r="G12" s="5">
        <f>COUNTIF('08_構成管理'!$D$2:$D$97,"Medium")</f>
        <v/>
      </c>
      <c r="H12" s="5">
        <f>COUNTIF('08_構成管理'!$D$2:$D$97,"Low")</f>
        <v/>
      </c>
      <c r="I12" s="4" t="inlineStr">
        <is>
          <t>SWEBOK v4 第8章の6大トピック(SCMプロセス管理、構成識別、変更管理、状況記録、構成監査、リリース管理・配布)とツール(7節)をすべてカバーし、ブランチ戦略・バージョニング・CI/CDといった実務領域も8-1.3/8-2.3/8-6.1由来として体系的に展開している。デビエーション/ウェーバー、FCA/PCA、SBOMなど形式的な要素も漏れなく項目化されており、章構成に対するカバレッジは高い。一方、ソフトウェアライブラリのバックアップ・復旧(2.6節)、リリース配布先の追跡(6.2節)、ツール移行性(1.3.3節)の3点が手薄であり、gapsとして補完を提案する。</t>
        </is>
      </c>
    </row>
    <row r="13">
      <c r="A13" s="4" t="inlineStr">
        <is>
          <t>SEマネジメント</t>
        </is>
      </c>
      <c r="B13" s="5" t="inlineStr">
        <is>
          <t>09_マネジメント</t>
        </is>
      </c>
      <c r="C13" s="4" t="inlineStr">
        <is>
          <t>swebok-v4a.pdf ch09 SE Management</t>
        </is>
      </c>
      <c r="D13" s="5">
        <f>COUNTA('09_マネジメント'!$A$2:$A$94)</f>
        <v/>
      </c>
      <c r="E13" s="5">
        <f>COUNTIF('09_マネジメント'!$D$2:$D$94,"Critical")</f>
        <v/>
      </c>
      <c r="F13" s="5">
        <f>COUNTIF('09_マネジメント'!$D$2:$D$94,"High")</f>
        <v/>
      </c>
      <c r="G13" s="5">
        <f>COUNTIF('09_マネジメント'!$D$2:$D$94,"Medium")</f>
        <v/>
      </c>
      <c r="H13" s="5">
        <f>COUNTIF('09_マネジメント'!$D$2:$D$94,"Low")</f>
        <v/>
      </c>
      <c r="I13" s="4" t="inlineStr">
        <is>
          <t>SWEBOK v4 第9章(Software Engineering Management)の7トピック(開始と適用範囲の定義、計画、実行、レビューと評価、終結、測定、ツール)を、チェックリストの14カテゴリでほぼ網羅している。特に計画(SDLC選定・見積り・リスク・品質)と監視統制・測定(15939準拠)の対応が厚い。一方、1.1「要求の決定と交渉」の実施確認、リスクの機会(ポジティブリスク)側面、4.2の要員パフォーマンスレビュー、6.1の測定コミットメント(資源・責任)、3.2の契約形態・知財条項が手薄であり、gapsとして補完を提案する。</t>
        </is>
      </c>
    </row>
    <row r="14">
      <c r="A14" s="4" t="inlineStr">
        <is>
          <t>SEプロセス</t>
        </is>
      </c>
      <c r="B14" s="5" t="inlineStr">
        <is>
          <t>10_プロセス</t>
        </is>
      </c>
      <c r="C14" s="4" t="inlineStr">
        <is>
          <t>swebok-v4a.pdf ch10 SE Process</t>
        </is>
      </c>
      <c r="D14" s="5">
        <f>COUNTA('10_プロセス'!$A$2:$A$96)</f>
        <v/>
      </c>
      <c r="E14" s="5">
        <f>COUNTIF('10_プロセス'!$D$2:$D$96,"Critical")</f>
        <v/>
      </c>
      <c r="F14" s="5">
        <f>COUNTIF('10_プロセス'!$D$2:$D$96,"High")</f>
        <v/>
      </c>
      <c r="G14" s="5">
        <f>COUNTIF('10_プロセス'!$D$2:$D$96,"Medium")</f>
        <v/>
      </c>
      <c r="H14" s="5">
        <f>COUNTIF('10_プロセス'!$D$2:$D$96,"Low")</f>
        <v/>
      </c>
      <c r="I14" s="4" t="inlineStr">
        <is>
          <t>チェックリストはSWEBOK v4 第10章の主要トピック(プロセス定義の3要素と統制・実現メカニズム、ライフサイクルモデルの類型と選定根拠、12207の4プロセスカテゴリ、テーラリング、GQMベースの計測、モニタリング、PDCA/フレームワークベースのアセスメントと改善、レトロスペクティブ、プロセスインフラ・ツール統合)をほぼ網羅している。特に2.4〜2.5のライフサイクルパラダイムとアジャイルの誤解、2.8のテーラリング、3章のアセスメント・改善は手厚い。一方、2.9が明言する「測定・見積もりの精度と不確実性レベルの定義」、2.5の大規模アジャイル適用の難しさ、2.6の段階間遷移の仕様化はやや手薄であり、gapとして補完を提案する。</t>
        </is>
      </c>
    </row>
    <row r="15">
      <c r="A15" s="4" t="inlineStr">
        <is>
          <t>ソフトウェア品質保証</t>
        </is>
      </c>
      <c r="B15" s="5" t="inlineStr">
        <is>
          <t>12_品質保証</t>
        </is>
      </c>
      <c r="C15" s="4" t="inlineStr">
        <is>
          <t>swebok-v4a.pdf ch12 Software Quality</t>
        </is>
      </c>
      <c r="D15" s="5">
        <f>COUNTA('12_品質保証'!$A$2:$A$92)</f>
        <v/>
      </c>
      <c r="E15" s="5">
        <f>COUNTIF('12_品質保証'!$D$2:$D$92,"Critical")</f>
        <v/>
      </c>
      <c r="F15" s="5">
        <f>COUNTIF('12_品質保証'!$D$2:$D$92,"High")</f>
        <v/>
      </c>
      <c r="G15" s="5">
        <f>COUNTIF('12_品質保証'!$D$2:$D$92,"Medium")</f>
        <v/>
      </c>
      <c r="H15" s="5">
        <f>COUNTIF('12_品質保証'!$D$2:$D$92,"Low")</f>
        <v/>
      </c>
      <c r="I15" s="4" t="inlineStr">
        <is>
          <t>チェックリストはSWEBOK v4 第12章の主要構成(品質基礎、品質コスト、標準・インテグリティレベル、SQM計画/SQAP、品質測定、プロセス保証・プロダクト保証、V&amp;V、レビュー/監査、欠陥分析・CAPA、ツール)をほぼ網羅しており、品質ゲート(第7カテゴリ)はSWEBOKのマイルストーン評価・技術レビュー群を実務向けに具体化した妥当な補完である。一方、SQAPが明示的に扱うべきとされる供給者/COTS調達ソフトへの品質保証、QMS運営の前提となる経営層のコミットメント、安全ハザード分析(FMEA/FTA)、V&amp;Vを支える成果物間トレーサビリティの4点が手薄であり、gapとして追加を提案する。全体としてカバレッジは高く、既存項目の粒度・判定基準も客観的で実用に耐える。</t>
        </is>
      </c>
    </row>
    <row r="16">
      <c r="A16" s="4" t="inlineStr">
        <is>
          <t>ソフトウェアセキュリティ</t>
        </is>
      </c>
      <c r="B16" s="5" t="inlineStr">
        <is>
          <t>13_セキュリティ</t>
        </is>
      </c>
      <c r="C16" s="4" t="inlineStr">
        <is>
          <t>swebok-v4a.pdf ch13 Software Security</t>
        </is>
      </c>
      <c r="D16" s="5">
        <f>COUNTA('13_セキュリティ'!$A$2:$A$105)</f>
        <v/>
      </c>
      <c r="E16" s="5">
        <f>COUNTIF('13_セキュリティ'!$D$2:$D$105,"Critical")</f>
        <v/>
      </c>
      <c r="F16" s="5">
        <f>COUNTIF('13_セキュリティ'!$D$2:$D$105,"High")</f>
        <v/>
      </c>
      <c r="G16" s="5">
        <f>COUNTIF('13_セキュリティ'!$D$2:$D$105,"Medium")</f>
        <v/>
      </c>
      <c r="H16" s="5">
        <f>COUNTIF('13_セキュリティ'!$D$2:$D$105,"Low")</f>
        <v/>
      </c>
      <c r="I16" s="4" t="inlineStr">
        <is>
          <t>チェックリストはSWEBOK v4 第13章の主要トピック(セキュリティ要件・設計・構築・テスト・脆弱性管理・ツール・ドメイン固有・マネジメント)をほぼ網羅し、特に4章(Security Engineering for Software Systems)と6章(Domain-Specific)は密度高くカバーしている。CERT Top 10やCVE/CWE/CVSS、ISMS、SSE-CMM、アジャイルプラクティスなど章内の具体的言及にも対応項目がある。一方、3.2 Common Criteria(ISO/IEC 15408)によるセキュリティ評価、1.3 サイバーセキュリティのソーシャルエンジニアリング系脅威、4.2 の攻撃許容(被害限定・安全な復旧)の観点は手薄である。全体としてSWEBOK準拠度は高く、OWASP ASVS/Top 10等の実務標準による補完も適切である。</t>
        </is>
      </c>
    </row>
    <row r="17">
      <c r="A17" s="4" t="inlineStr">
        <is>
          <t>クラウド共通</t>
        </is>
      </c>
      <c r="B17" s="5" t="inlineStr">
        <is>
          <t>14_クラウド</t>
        </is>
      </c>
      <c r="C17" s="4" t="inlineStr">
        <is>
          <t>各社Well-Architected系フレームワーク共通</t>
        </is>
      </c>
      <c r="D17" s="5">
        <f>COUNTA('14_クラウド'!$A$2:$A$67)</f>
        <v/>
      </c>
      <c r="E17" s="5">
        <f>COUNTIF('14_クラウド'!$D$2:$D$67,"Critical")</f>
        <v/>
      </c>
      <c r="F17" s="5">
        <f>COUNTIF('14_クラウド'!$D$2:$D$67,"High")</f>
        <v/>
      </c>
      <c r="G17" s="5">
        <f>COUNTIF('14_クラウド'!$D$2:$D$67,"Medium")</f>
        <v/>
      </c>
      <c r="H17" s="5">
        <f>COUNTIF('14_クラウド'!$D$2:$D$67,"Low")</f>
        <v/>
      </c>
      <c r="I17" s="4" t="inlineStr">
        <is>
          <t>4フレームワークのcommonThemes計131件を意味的に統合し、信頼性・セキュリティ・コスト最適化・運用・パフォーマンス・持続可能性/ガバナンスの6カテゴリ64項目に集約した。IAM最小権限・マルチゾーン冗長・IaC・暗号化・タグ付けなど4FW共通の中核概念は1項目に統合し出典を併記、FMA・SLO/エラーバジェット・責任共有モデル等の特定FW固有の優良観点も漏れなく採録した。重要度は統合元の最高値を採用しており、131件すべてがいずれかの項目に対応付いている。</t>
        </is>
      </c>
    </row>
    <row r="18">
      <c r="A18" s="4" t="inlineStr">
        <is>
          <t>AWS</t>
        </is>
      </c>
      <c r="B18" s="5" t="inlineStr">
        <is>
          <t>15_AWS</t>
        </is>
      </c>
      <c r="C18" s="4" t="inlineStr">
        <is>
          <t>AWS Well-Architected Framework(+ Generative AI Lens)</t>
        </is>
      </c>
      <c r="D18" s="5">
        <f>COUNTA('15_AWS'!$A$2:$A$130)</f>
        <v/>
      </c>
      <c r="E18" s="5">
        <f>COUNTIF('15_AWS'!$D$2:$D$130,"Critical")</f>
        <v/>
      </c>
      <c r="F18" s="5">
        <f>COUNTIF('15_AWS'!$D$2:$D$130,"High")</f>
        <v/>
      </c>
      <c r="G18" s="5">
        <f>COUNTIF('15_AWS'!$D$2:$D$130,"Medium")</f>
        <v/>
      </c>
      <c r="H18" s="5">
        <f>COUNTIF('15_AWS'!$D$2:$D$130,"Low")</f>
        <v/>
      </c>
      <c r="I18" s="4" t="inlineStr"/>
    </row>
    <row r="19">
      <c r="A19" s="4" t="inlineStr">
        <is>
          <t>Google Cloud</t>
        </is>
      </c>
      <c r="B19" s="5" t="inlineStr">
        <is>
          <t>16_GoogleCloud</t>
        </is>
      </c>
      <c r="C19" s="4" t="inlineStr">
        <is>
          <t>Google Cloud Well-Architected Framework(+ Architecture Center AI &amp; ML)</t>
        </is>
      </c>
      <c r="D19" s="5">
        <f>COUNTA('16_GoogleCloud'!$A$2:$A$123)</f>
        <v/>
      </c>
      <c r="E19" s="5">
        <f>COUNTIF('16_GoogleCloud'!$D$2:$D$123,"Critical")</f>
        <v/>
      </c>
      <c r="F19" s="5">
        <f>COUNTIF('16_GoogleCloud'!$D$2:$D$123,"High")</f>
        <v/>
      </c>
      <c r="G19" s="5">
        <f>COUNTIF('16_GoogleCloud'!$D$2:$D$123,"Medium")</f>
        <v/>
      </c>
      <c r="H19" s="5">
        <f>COUNTIF('16_GoogleCloud'!$D$2:$D$123,"Low")</f>
        <v/>
      </c>
      <c r="I19" s="4" t="inlineStr"/>
    </row>
    <row r="20">
      <c r="A20" s="4" t="inlineStr">
        <is>
          <t>Azure</t>
        </is>
      </c>
      <c r="B20" s="5" t="inlineStr">
        <is>
          <t>17_Azure</t>
        </is>
      </c>
      <c r="C20" s="4" t="inlineStr">
        <is>
          <t>Azure Well-Architected Framework(+ AI workloads)</t>
        </is>
      </c>
      <c r="D20" s="5">
        <f>COUNTA('17_Azure'!$A$2:$A$152)</f>
        <v/>
      </c>
      <c r="E20" s="5">
        <f>COUNTIF('17_Azure'!$D$2:$D$152,"Critical")</f>
        <v/>
      </c>
      <c r="F20" s="5">
        <f>COUNTIF('17_Azure'!$D$2:$D$152,"High")</f>
        <v/>
      </c>
      <c r="G20" s="5">
        <f>COUNTIF('17_Azure'!$D$2:$D$152,"Medium")</f>
        <v/>
      </c>
      <c r="H20" s="5">
        <f>COUNTIF('17_Azure'!$D$2:$D$152,"Low")</f>
        <v/>
      </c>
      <c r="I20" s="4" t="inlineStr"/>
    </row>
    <row r="21">
      <c r="A21" s="4" t="inlineStr">
        <is>
          <t>OCI</t>
        </is>
      </c>
      <c r="B21" s="5" t="inlineStr">
        <is>
          <t>18_OCI</t>
        </is>
      </c>
      <c r="C21" s="4" t="inlineStr">
        <is>
          <t>OCI Well-Architected Framework</t>
        </is>
      </c>
      <c r="D21" s="5">
        <f>COUNTA('18_OCI'!$A$2:$A$81)</f>
        <v/>
      </c>
      <c r="E21" s="5">
        <f>COUNTIF('18_OCI'!$D$2:$D$81,"Critical")</f>
        <v/>
      </c>
      <c r="F21" s="5">
        <f>COUNTIF('18_OCI'!$D$2:$D$81,"High")</f>
        <v/>
      </c>
      <c r="G21" s="5">
        <f>COUNTIF('18_OCI'!$D$2:$D$81,"Medium")</f>
        <v/>
      </c>
      <c r="H21" s="5">
        <f>COUNTIF('18_OCI'!$D$2:$D$81,"Low")</f>
        <v/>
      </c>
      <c r="I21" s="4" t="inlineStr"/>
    </row>
    <row r="22">
      <c r="A22" s="4" t="inlineStr">
        <is>
          <t>AI(共通)</t>
        </is>
      </c>
      <c r="B22" s="5" t="inlineStr">
        <is>
          <t>19_AI</t>
        </is>
      </c>
      <c r="C22" s="4" t="inlineStr">
        <is>
          <t>AWS GenAI Lens / Azure WAF AI workloads / Google Cloud AI&amp;ML 横断</t>
        </is>
      </c>
      <c r="D22" s="5">
        <f>COUNTA('19_AI'!$A$2:$A$81)</f>
        <v/>
      </c>
      <c r="E22" s="5">
        <f>COUNTIF('19_AI'!$D$2:$D$81,"Critical")</f>
        <v/>
      </c>
      <c r="F22" s="5">
        <f>COUNTIF('19_AI'!$D$2:$D$81,"High")</f>
        <v/>
      </c>
      <c r="G22" s="5">
        <f>COUNTIF('19_AI'!$D$2:$D$81,"Medium")</f>
        <v/>
      </c>
      <c r="H22" s="5">
        <f>COUNTIF('19_AI'!$D$2:$D$81,"Low")</f>
        <v/>
      </c>
      <c r="I22" s="4" t="inlineStr">
        <is>
          <t>3フレームワークの commonThemes 81件を意味的に統合し、AIライフサイクル(企画→データ→モデル→評価→デプロイ→運用→改善)と横断関心(セキュリティ、責任あるAI、信頼性、コスト)を10カテゴリ51項目に再構成した。プロンプトインジェクション・ガードレール・モデル評価基準・ドリフト監視・推論コスト管理など3社共通の中核テーマは1項目に統合し全出典を併記、単一フレームワーク由来の固有観点(セキュリティトリミング、チェックポイント戦略、サステナビリティ等)も漏れなく採録した。重要度は統合元の最高値を採用しており、生成AI・従来型MLの双方に適用可能なベンダー中立チェックリストとして網羅性は高い。</t>
        </is>
      </c>
    </row>
    <row r="23">
      <c r="A23" s="6" t="inlineStr">
        <is>
          <t>合計</t>
        </is>
      </c>
      <c r="D23" s="7">
        <f>SUM(D5:D22)</f>
        <v/>
      </c>
      <c r="E23" s="7">
        <f>SUM(E5:E22)</f>
        <v/>
      </c>
      <c r="F23" s="7">
        <f>SUM(F5:F22)</f>
        <v/>
      </c>
      <c r="G23" s="7">
        <f>SUM(G5:G22)</f>
        <v/>
      </c>
      <c r="H23" s="7">
        <f>SUM(H5:H22)</f>
        <v/>
      </c>
      <c r="I23" t="inlineStr">
        <is>
          <t>件数は基準重要度の集計。案件重要度・判定結果は各レビュー実施時に記録する。</t>
        </is>
      </c>
    </row>
  </sheetData>
  <mergeCells count="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28" customWidth="1" min="1" max="1"/>
    <col width="48" customWidth="1" min="2" max="2"/>
    <col width="48" customWidth="1" min="3" max="3"/>
    <col width="26" customWidth="1" min="4" max="4"/>
    <col width="38" customWidth="1" min="5" max="5"/>
    <col width="22" customWidth="1" min="6" max="6"/>
    <col width="22" customWidth="1" min="7" max="7"/>
  </cols>
  <sheetData>
    <row r="1" ht="28" customHeight="1">
      <c r="A1" s="14" t="inlineStr">
        <is>
          <t>利用ガイド — 適用、判定、重複統制、リリースゲート</t>
        </is>
      </c>
    </row>
    <row r="3">
      <c r="A3" s="15" t="inlineStr">
        <is>
          <t>位置づけ</t>
        </is>
      </c>
      <c r="B3" s="2" t="inlineStr">
        <is>
          <t>SWEBOK Guide v4.0aと各社Well-Architected Frameworkを参照・整合させたレビュー観点マスター兼実施記録。規格認証や全SWEBOK KAへの完全準拠を表明するものではない。</t>
        </is>
      </c>
    </row>
    <row r="4">
      <c r="A4" s="15" t="inlineStr">
        <is>
          <t>SWEBOK参照版</t>
        </is>
      </c>
      <c r="B4" s="2" t="inlineStr">
        <is>
          <t>ローカルの .workspace/swebok-v4a.pdf を固定参照版とする（SHA-256: b3cb8028fecb9607f757504c861947fa3bf423087ea8bf08c58020f0ba3596dc）。PDF本体は再配布しない。</t>
        </is>
      </c>
    </row>
    <row r="5">
      <c r="A5" s="15" t="inlineStr">
        <is>
          <t>SWEBOK対象範囲</t>
        </is>
      </c>
      <c r="B5" s="2" t="inlineStr">
        <is>
          <t>全18 KAを対応付ける。KA 1〜10・12・13は直接参照、KA 11・14・15は部分整合、KA 16〜18は前提知識として理由付き対象外。詳細は「KA対応表」を参照。</t>
        </is>
      </c>
    </row>
    <row r="6">
      <c r="A6" s="15" t="inlineStr">
        <is>
          <t>WAFの扱い</t>
        </is>
      </c>
      <c r="B6" s="2" t="inlineStr">
        <is>
          <t>WAFは設計判断・リスク・トレードオフを評価する助言資料。各項目は案件のSLO、RTO/RPO、規制、データ分類、費用制約を入力に適用判定する。</t>
        </is>
      </c>
    </row>
    <row r="8">
      <c r="A8" t="inlineStr">
        <is>
          <t>適用プロファイル</t>
        </is>
      </c>
    </row>
    <row r="9">
      <c r="A9" s="16" t="inlineStr">
        <is>
          <t>プロファイル</t>
        </is>
      </c>
      <c r="B9" s="16" t="inlineStr">
        <is>
          <t>適用順</t>
        </is>
      </c>
      <c r="C9" s="16" t="inlineStr">
        <is>
          <t>対象</t>
        </is>
      </c>
      <c r="D9" s="16" t="inlineStr">
        <is>
          <t>利用シート</t>
        </is>
      </c>
      <c r="E9" s="16" t="inlineStr">
        <is>
          <t>重複時の扱い</t>
        </is>
      </c>
    </row>
    <row r="10">
      <c r="A10" s="17" t="inlineStr">
        <is>
          <t>CORE</t>
        </is>
      </c>
      <c r="B10" s="17" t="n">
        <v>1</v>
      </c>
      <c r="C10" s="17" t="inlineStr">
        <is>
          <t>原則全案件</t>
        </is>
      </c>
      <c r="D10" s="17" t="inlineStr">
        <is>
          <t>01〜10、12、13</t>
        </is>
      </c>
      <c r="E10" s="17" t="inlineStr">
        <is>
          <t>まず評価する</t>
        </is>
      </c>
    </row>
    <row r="11">
      <c r="A11" s="17" t="inlineStr">
        <is>
          <t>CLOUD-COMMON</t>
        </is>
      </c>
      <c r="B11" s="17" t="n">
        <v>2</v>
      </c>
      <c r="C11" s="17" t="inlineStr">
        <is>
          <t>クラウド利用案件</t>
        </is>
      </c>
      <c r="D11" s="17" t="inlineStr">
        <is>
          <t>14_クラウド</t>
        </is>
      </c>
      <c r="E11" s="17" t="inlineStr">
        <is>
          <t>Coreの証跡を再利用可</t>
        </is>
      </c>
    </row>
    <row r="12">
      <c r="A12" s="17" t="inlineStr">
        <is>
          <t>AWS/GCP/AZURE/OCI-DELTA</t>
        </is>
      </c>
      <c r="B12" s="17" t="n">
        <v>3</v>
      </c>
      <c r="C12" s="17" t="inlineStr">
        <is>
          <t>採用ベンダーのみ</t>
        </is>
      </c>
      <c r="D12" s="17" t="inlineStr">
        <is>
          <t>15〜18の該当1シート</t>
        </is>
      </c>
      <c r="E12" s="17" t="inlineStr">
        <is>
          <t>共通で未評価の固有差分を追加</t>
        </is>
      </c>
    </row>
    <row r="13">
      <c r="A13" s="17" t="inlineStr">
        <is>
          <t>AI-CONDITIONAL</t>
        </is>
      </c>
      <c r="B13" s="17" t="n">
        <v>4</v>
      </c>
      <c r="C13" s="17" t="inlineStr">
        <is>
          <t>AI/ML利用案件</t>
        </is>
      </c>
      <c r="D13" s="17" t="inlineStr">
        <is>
          <t>19_AI</t>
        </is>
      </c>
      <c r="E13" s="17" t="inlineStr">
        <is>
          <t>従来ML・生成AI・Agenticの種別でN/A判断</t>
        </is>
      </c>
    </row>
    <row r="15">
      <c r="A15" t="inlineStr">
        <is>
          <t>レビュー実施手順</t>
        </is>
      </c>
    </row>
    <row r="16">
      <c r="A16" s="2" t="inlineStr">
        <is>
          <t>1. 適用プロファイルを選び、各行の「適用判定」を適用／N/Aで記録する。N/Aは「証跡・参照箇所」に根拠を残す。</t>
        </is>
      </c>
    </row>
    <row r="17">
      <c r="A17" s="2" t="inlineStr">
        <is>
          <t>2. 基準重要度を助言値として、案件の重要度・データ分類・規制・SLOを反映した「案件重要度」と判断根拠を設定する。</t>
        </is>
      </c>
    </row>
    <row r="18">
      <c r="A18" s="2" t="inlineStr">
        <is>
          <t>3. Pass／Fail／未確認を記録し、Passは証跡、Failは指摘・Issue ID、対応方針、是正期限、担当情報を残す。</t>
        </is>
      </c>
    </row>
    <row r="19">
      <c r="A19" s="2" t="inlineStr">
        <is>
          <t>4. N/Aにもレビュアーと日付を残す。Fail是正後は明示的な再確認記録によりPassを確認し、変更履歴を保持する。</t>
        </is>
      </c>
    </row>
    <row r="21">
      <c r="A21" t="inlineStr">
        <is>
          <t>重要度とゲート</t>
        </is>
      </c>
    </row>
    <row r="22">
      <c r="A22" s="16" t="inlineStr">
        <is>
          <t>区分</t>
        </is>
      </c>
      <c r="B22" s="16" t="inlineStr">
        <is>
          <t>定義</t>
        </is>
      </c>
      <c r="C22" s="16" t="inlineStr">
        <is>
          <t>運用</t>
        </is>
      </c>
    </row>
    <row r="23">
      <c r="A23" s="17" t="inlineStr">
        <is>
          <t>基準重要度</t>
        </is>
      </c>
      <c r="B23" s="17" t="inlineStr">
        <is>
          <t>観点が一般に持つ潜在影響。マスター側の初期値。</t>
        </is>
      </c>
      <c r="C23" s="17" t="inlineStr">
        <is>
          <t>案件固有のリリース判定を単独では決めない。</t>
        </is>
      </c>
    </row>
    <row r="24">
      <c r="A24" s="17" t="inlineStr">
        <is>
          <t>案件重要度</t>
        </is>
      </c>
      <c r="B24" s="17" t="inlineStr">
        <is>
          <t>対象システムの重要度、規制、データ、SLO、露出度を反映した実行時評価。</t>
        </is>
      </c>
      <c r="C24" s="17" t="inlineStr">
        <is>
          <t>レビュー責任者が根拠とともに設定する。</t>
        </is>
      </c>
    </row>
    <row r="25">
      <c r="A25" s="17" t="inlineStr">
        <is>
          <t>案件Critical</t>
        </is>
      </c>
      <c r="B25" s="17" t="inlineStr">
        <is>
          <t>適用かつ未解決のFailが重大事故・法令違反・受入不能へ直結する。</t>
        </is>
      </c>
      <c r="C25" s="17" t="inlineStr">
        <is>
          <t>原則リリース停止。例外は記名承認と期限付きリスク受容が必要。</t>
        </is>
      </c>
    </row>
    <row r="27">
      <c r="A27" t="inlineStr">
        <is>
          <t>重複統制ルール</t>
        </is>
      </c>
    </row>
    <row r="28">
      <c r="A28" s="2" t="inlineStr">
        <is>
          <t>• 同じリスクがCore、Cloud Common、ベンダー、AIに現れる場合、先に実施した証跡を再利用してよい。</t>
        </is>
      </c>
    </row>
    <row r="29">
      <c r="A29" s="2" t="inlineStr">
        <is>
          <t>• 共通統制で十分に評価済みのベンダー行はN/Aとし、「証跡・参照箇所」に評価済みIDを記載する。ベンダー固有差分がある場合だけ別判定する。</t>
        </is>
      </c>
    </row>
    <row r="30">
      <c r="A30" s="2" t="inlineStr">
        <is>
          <t>• 同じ根本リスクは同一のIssue IDを使用し、件数・リスク集計ではIssue IDを一意に数える。行数の合算をリスク件数にしない。</t>
        </is>
      </c>
    </row>
    <row r="31">
      <c r="A31" s="2" t="inlineStr">
        <is>
          <t>• 「重複統制グループ」は候補を機械付与した補助情報。最終的な同一統制判断は証跡・対象資産・要求を確認して行う。</t>
        </is>
      </c>
    </row>
    <row r="33">
      <c r="A33" t="inlineStr">
        <is>
          <t>追加承認の移行注意</t>
        </is>
      </c>
    </row>
    <row r="34">
      <c r="A34" s="18" t="inlineStr">
        <is>
          <t>旧ブックで「追加承認」とされた65件は「追加項目管理」へ全件接続した。ただし旧ブックには承認者・承認日の原記録がないため、状態を「要原記録確認」としている。利用開始前に実在する承認記録で補完し、未確認のまま承認済みと扱わない。</t>
        </is>
      </c>
    </row>
    <row r="35"/>
  </sheetData>
  <mergeCells count="14">
    <mergeCell ref="B3:G3"/>
    <mergeCell ref="A1:G1"/>
    <mergeCell ref="A17:G17"/>
    <mergeCell ref="A18:G18"/>
    <mergeCell ref="B5:G5"/>
    <mergeCell ref="A31:G31"/>
    <mergeCell ref="A34:G35"/>
    <mergeCell ref="B4:G4"/>
    <mergeCell ref="A16:G16"/>
    <mergeCell ref="A30:G30"/>
    <mergeCell ref="A29:G29"/>
    <mergeCell ref="A19:G19"/>
    <mergeCell ref="A28:G28"/>
    <mergeCell ref="B6:G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6"/>
  <sheetViews>
    <sheetView workbookViewId="0">
      <pane ySplit="3" topLeftCell="A4" activePane="bottomLeft" state="frozen"/>
      <selection pane="bottomLeft" activeCell="A1" sqref="A1"/>
    </sheetView>
  </sheetViews>
  <sheetFormatPr baseColWidth="8" defaultRowHeight="15"/>
  <cols>
    <col width="23" customWidth="1" min="1" max="1"/>
    <col width="48" customWidth="1" min="2" max="2"/>
    <col width="24" customWidth="1" min="3" max="3"/>
    <col width="65" customWidth="1" min="4" max="4"/>
    <col width="14" customWidth="1" min="5" max="5"/>
    <col width="48" customWidth="1" min="6" max="6"/>
    <col width="14" customWidth="1" min="7" max="7"/>
    <col width="58" customWidth="1" min="8" max="8"/>
    <col width="68" customWidth="1" min="9" max="9"/>
    <col width="42" customWidth="1" min="10" max="10"/>
  </cols>
  <sheetData>
    <row r="1" ht="28" customHeight="1">
      <c r="A1" s="14" t="inlineStr">
        <is>
          <t>出典マスター</t>
        </is>
      </c>
    </row>
    <row r="3">
      <c r="A3" s="16" t="inlineStr">
        <is>
          <t>Source ID</t>
        </is>
      </c>
      <c r="B3" s="16" t="inlineStr">
        <is>
          <t>正式名称</t>
        </is>
      </c>
      <c r="C3" s="16" t="inlineStr">
        <is>
          <t>版・公開日</t>
        </is>
      </c>
      <c r="D3" s="16" t="inlineStr">
        <is>
          <t>URL</t>
        </is>
      </c>
      <c r="E3" s="16" t="inlineStr">
        <is>
          <t>参照日</t>
        </is>
      </c>
      <c r="F3" s="16" t="inlineStr">
        <is>
          <t>適用範囲</t>
        </is>
      </c>
      <c r="G3" s="16" t="inlineStr">
        <is>
          <t>変更確認日</t>
        </is>
      </c>
      <c r="H3" s="16" t="inlineStr">
        <is>
          <t>前版との差分</t>
        </is>
      </c>
      <c r="I3" s="16" t="inlineStr">
        <is>
          <t>固定参照物</t>
        </is>
      </c>
      <c r="J3" s="16" t="inlineStr">
        <is>
          <t>注記</t>
        </is>
      </c>
    </row>
    <row r="4">
      <c r="A4" s="17" t="inlineStr">
        <is>
          <t>SRC-SWEBOK-V4A</t>
        </is>
      </c>
      <c r="B4" s="17" t="inlineStr">
        <is>
          <t>Guide to the Software Engineering Body of Knowledge (SWEBOK Guide) v4.0a</t>
        </is>
      </c>
      <c r="C4" s="17" t="inlineStr">
        <is>
          <t>v4.0a / 2025-09（ローカル固定参照版）</t>
        </is>
      </c>
      <c r="D4" s="19" t="inlineStr">
        <is>
          <t>https://www.computer.org/education/bodies-of-knowledge/software-engineering</t>
        </is>
      </c>
      <c r="E4" s="20" t="n">
        <v>46221</v>
      </c>
      <c r="F4" s="17" t="inlineStr">
        <is>
          <t>全18KAを対応付け、KA 1〜10・12・13を直接参照、KA 11・14・15を部分整合、KA 16〜18を理由付き対象外とする。</t>
        </is>
      </c>
      <c r="G4" s="20" t="n">
        <v>46221</v>
      </c>
      <c r="H4" s="17" t="inlineStr">
        <is>
          <t>v4.0から2025年9月の軽微改訂版v4.0aへ更新。完全準拠ではなく対象範囲を明示した参照・整合へ位置付けを修正。</t>
        </is>
      </c>
      <c r="I4" s="17" t="inlineStr">
        <is>
          <t>.workspace/swebok-v4a.pdf / SHA-256 b3cb8028fecb9607f757504c861947fa3bf423087ea8bf08c58020f0ba3596dc</t>
        </is>
      </c>
      <c r="J4" s="17" t="inlineStr">
        <is>
          <t>添付物の同一性だけを固定し、PDF本体は再配布しない。</t>
        </is>
      </c>
    </row>
    <row r="5">
      <c r="A5" s="17" t="inlineStr">
        <is>
          <t>SRC-AWS-WAF</t>
        </is>
      </c>
      <c r="B5" s="17" t="inlineStr">
        <is>
          <t>AWS Well-Architected Framework</t>
        </is>
      </c>
      <c r="C5" s="17" t="inlineStr">
        <is>
          <t>継続更新</t>
        </is>
      </c>
      <c r="D5" s="19" t="inlineStr">
        <is>
          <t>https://docs.aws.amazon.com/wellarchitected/latest/framework/welcome.html</t>
        </is>
      </c>
      <c r="E5" s="20" t="n">
        <v>46221</v>
      </c>
      <c r="F5" s="17" t="inlineStr">
        <is>
          <t>AWSおよびクラウド共通</t>
        </is>
      </c>
      <c r="G5" s="20" t="n">
        <v>46221</v>
      </c>
      <c r="H5" s="17" t="inlineStr">
        <is>
          <t>前回登録内容から適用範囲・版の変更なし。</t>
        </is>
      </c>
      <c r="I5" s="17" t="inlineStr"/>
      <c r="J5" s="17" t="inlineStr">
        <is>
          <t>継続更新型資料は変更確認日に再確認する。</t>
        </is>
      </c>
    </row>
    <row r="6">
      <c r="A6" s="17" t="inlineStr">
        <is>
          <t>SRC-AWS-GENAI</t>
        </is>
      </c>
      <c r="B6" s="17" t="inlineStr">
        <is>
          <t>AWS Well-Architected Generative AI Lens</t>
        </is>
      </c>
      <c r="C6" s="17" t="inlineStr">
        <is>
          <t>継続更新</t>
        </is>
      </c>
      <c r="D6" s="19" t="inlineStr">
        <is>
          <t>https://docs.aws.amazon.com/wellarchitected/latest/generative-ai-lens/generative-ai-lens.html</t>
        </is>
      </c>
      <c r="E6" s="20" t="n">
        <v>46221</v>
      </c>
      <c r="F6" s="17" t="inlineStr">
        <is>
          <t>生成AI</t>
        </is>
      </c>
      <c r="G6" s="20" t="n">
        <v>46221</v>
      </c>
      <c r="H6" s="17" t="inlineStr">
        <is>
          <t>2025年11月19日公開の現行Generative AI Lensを生成AI用途へ対応付け。</t>
        </is>
      </c>
      <c r="I6" s="17" t="inlineStr"/>
      <c r="J6" s="17" t="inlineStr">
        <is>
          <t>継続更新型資料は変更確認日に再確認する。</t>
        </is>
      </c>
    </row>
    <row r="7">
      <c r="A7" s="17" t="inlineStr">
        <is>
          <t>SRC-AWS-RAI</t>
        </is>
      </c>
      <c r="B7" s="17" t="inlineStr">
        <is>
          <t>AWS Well-Architected Responsible AI Lens</t>
        </is>
      </c>
      <c r="C7" s="17" t="inlineStr">
        <is>
          <t>2025-11-19</t>
        </is>
      </c>
      <c r="D7" s="19" t="inlineStr">
        <is>
          <t>https://docs.aws.amazon.com/wellarchitected/latest/responsible-ai-lens/responsible-ai-lens.html</t>
        </is>
      </c>
      <c r="E7" s="20" t="n">
        <v>46221</v>
      </c>
      <c r="F7" s="17" t="inlineStr">
        <is>
          <t>責任あるAI</t>
        </is>
      </c>
      <c r="G7" s="20" t="n">
        <v>46221</v>
      </c>
      <c r="H7" s="17" t="inlineStr">
        <is>
          <t>2025年11月19日公開のResponsible AI Lensを追加し、案件固有の考慮事項として扱う。</t>
        </is>
      </c>
      <c r="I7" s="17" t="inlineStr"/>
      <c r="J7" s="17" t="inlineStr">
        <is>
          <t>継続更新型資料は変更確認日に再確認する。</t>
        </is>
      </c>
    </row>
    <row r="8">
      <c r="A8" s="17" t="inlineStr">
        <is>
          <t>SRC-AWS-ML</t>
        </is>
      </c>
      <c r="B8" s="17" t="inlineStr">
        <is>
          <t>AWS Well-Architected Machine Learning Lens</t>
        </is>
      </c>
      <c r="C8" s="17" t="inlineStr">
        <is>
          <t>2025-11-19</t>
        </is>
      </c>
      <c r="D8" s="19" t="inlineStr">
        <is>
          <t>https://docs.aws.amazon.com/wellarchitected/latest/machine-learning-lens/machine-learning-lens.html</t>
        </is>
      </c>
      <c r="E8" s="20" t="n">
        <v>46221</v>
      </c>
      <c r="F8" s="17" t="inlineStr">
        <is>
          <t>従来型MLを含むML全般</t>
        </is>
      </c>
      <c r="G8" s="20" t="n">
        <v>46221</v>
      </c>
      <c r="H8" s="17" t="inlineStr">
        <is>
          <t>2025年11月19日公開のMachine Learning Lensを従来型ML用途へ追加。</t>
        </is>
      </c>
      <c r="I8" s="17" t="inlineStr"/>
      <c r="J8" s="17" t="inlineStr">
        <is>
          <t>継続更新型資料は変更確認日に再確認する。</t>
        </is>
      </c>
    </row>
    <row r="9">
      <c r="A9" s="17" t="inlineStr">
        <is>
          <t>SRC-AWS-AGENTIC</t>
        </is>
      </c>
      <c r="B9" s="17" t="inlineStr">
        <is>
          <t>AWS Well-Architected Agentic AI Lens</t>
        </is>
      </c>
      <c r="C9" s="17" t="inlineStr">
        <is>
          <t>2026-06-10</t>
        </is>
      </c>
      <c r="D9" s="19" t="inlineStr">
        <is>
          <t>https://docs.aws.amazon.com/wellarchitected/latest/agentic-ai-lens/agentic-ai-lens.html</t>
        </is>
      </c>
      <c r="E9" s="20" t="n">
        <v>46221</v>
      </c>
      <c r="F9" s="17" t="inlineStr">
        <is>
          <t>エージェントAI</t>
        </is>
      </c>
      <c r="G9" s="20" t="n">
        <v>46221</v>
      </c>
      <c r="H9" s="17" t="inlineStr">
        <is>
          <t>2026年6月10日公開のAgentic AI Lensを追加し、自律性・追跡・監督の統制へ対応付け。</t>
        </is>
      </c>
      <c r="I9" s="17" t="inlineStr"/>
      <c r="J9" s="17" t="inlineStr">
        <is>
          <t>継続更新型資料は変更確認日に再確認する。</t>
        </is>
      </c>
    </row>
    <row r="10">
      <c r="A10" s="17" t="inlineStr">
        <is>
          <t>SRC-GCP-WAF</t>
        </is>
      </c>
      <c r="B10" s="17" t="inlineStr">
        <is>
          <t>Google Cloud Well-Architected Framework</t>
        </is>
      </c>
      <c r="C10" s="17" t="inlineStr">
        <is>
          <t>継続更新</t>
        </is>
      </c>
      <c r="D10" s="19" t="inlineStr">
        <is>
          <t>https://cloud.google.com/architecture/framework</t>
        </is>
      </c>
      <c r="E10" s="20" t="n">
        <v>46221</v>
      </c>
      <c r="F10" s="17" t="inlineStr">
        <is>
          <t>Google Cloudおよびクラウド共通</t>
        </is>
      </c>
      <c r="G10" s="20" t="n">
        <v>46221</v>
      </c>
      <c r="H10" s="17" t="inlineStr">
        <is>
          <t>前回登録内容から適用範囲・版の変更なし。</t>
        </is>
      </c>
      <c r="I10" s="17" t="inlineStr"/>
      <c r="J10" s="17" t="inlineStr">
        <is>
          <t>継続更新型資料は変更確認日に再確認する。</t>
        </is>
      </c>
    </row>
    <row r="11">
      <c r="A11" s="17" t="inlineStr">
        <is>
          <t>SRC-GCP-AIML</t>
        </is>
      </c>
      <c r="B11" s="17" t="inlineStr">
        <is>
          <t>Google Cloud Well-Architected Framework: AI and ML perspective</t>
        </is>
      </c>
      <c r="C11" s="17" t="inlineStr">
        <is>
          <t>2024-10-11 review</t>
        </is>
      </c>
      <c r="D11" s="19" t="inlineStr">
        <is>
          <t>https://cloud.google.com/architecture/framework/perspectives/ai-ml</t>
        </is>
      </c>
      <c r="E11" s="20" t="n">
        <v>46221</v>
      </c>
      <c r="F11" s="17" t="inlineStr">
        <is>
          <t>AI/ML</t>
        </is>
      </c>
      <c r="G11" s="20" t="n">
        <v>46221</v>
      </c>
      <c r="H11" s="17" t="inlineStr">
        <is>
          <t>AI/ML perspectiveを一般WAFから分離してAI条件付きプロファイルへ対応付け。</t>
        </is>
      </c>
      <c r="I11" s="17" t="inlineStr"/>
      <c r="J11" s="17" t="inlineStr">
        <is>
          <t>継続更新型資料は変更確認日に再確認する。</t>
        </is>
      </c>
    </row>
    <row r="12">
      <c r="A12" s="17" t="inlineStr">
        <is>
          <t>SRC-AZR-WAF</t>
        </is>
      </c>
      <c r="B12" s="17" t="inlineStr">
        <is>
          <t>Microsoft Azure Well-Architected Framework</t>
        </is>
      </c>
      <c r="C12" s="17" t="inlineStr">
        <is>
          <t>継続更新</t>
        </is>
      </c>
      <c r="D12" s="19" t="inlineStr">
        <is>
          <t>https://learn.microsoft.com/en-us/azure/well-architected/</t>
        </is>
      </c>
      <c r="E12" s="20" t="n">
        <v>46221</v>
      </c>
      <c r="F12" s="17" t="inlineStr">
        <is>
          <t>Azureおよびクラウド共通</t>
        </is>
      </c>
      <c r="G12" s="20" t="n">
        <v>46221</v>
      </c>
      <c r="H12" s="17" t="inlineStr">
        <is>
          <t>前回登録内容から適用範囲・版の変更なし。</t>
        </is>
      </c>
      <c r="I12" s="17" t="inlineStr"/>
      <c r="J12" s="17" t="inlineStr">
        <is>
          <t>継続更新型資料は変更確認日に再確認する。</t>
        </is>
      </c>
    </row>
    <row r="13">
      <c r="A13" s="17" t="inlineStr">
        <is>
          <t>SRC-AZR-AI</t>
        </is>
      </c>
      <c r="B13" s="17" t="inlineStr">
        <is>
          <t>AI Workload Documentation - Azure Well-Architected Framework</t>
        </is>
      </c>
      <c r="C13" s="17" t="inlineStr">
        <is>
          <t>継続更新</t>
        </is>
      </c>
      <c r="D13" s="19" t="inlineStr">
        <is>
          <t>https://learn.microsoft.com/en-us/azure/well-architected/ai/</t>
        </is>
      </c>
      <c r="E13" s="20" t="n">
        <v>46221</v>
      </c>
      <c r="F13" s="17" t="inlineStr">
        <is>
          <t>Azure AI/ML</t>
        </is>
      </c>
      <c r="G13" s="20" t="n">
        <v>46221</v>
      </c>
      <c r="H13" s="17" t="inlineStr">
        <is>
          <t>Azure AI Workload資料を一般WAFから分離してAI条件付きプロファイルへ対応付け。</t>
        </is>
      </c>
      <c r="I13" s="17" t="inlineStr"/>
      <c r="J13" s="17" t="inlineStr">
        <is>
          <t>継続更新型資料は変更確認日に再確認する。</t>
        </is>
      </c>
    </row>
    <row r="14">
      <c r="A14" s="17" t="inlineStr">
        <is>
          <t>SRC-OCI-WAF</t>
        </is>
      </c>
      <c r="B14" s="17" t="inlineStr">
        <is>
          <t>Well-architected framework for Oracle Cloud Infrastructure</t>
        </is>
      </c>
      <c r="C14" s="17" t="inlineStr">
        <is>
          <t>F29550-09 / 2025-05</t>
        </is>
      </c>
      <c r="D14" s="19" t="inlineStr">
        <is>
          <t>https://docs.oracle.com/en/solutions/oci-best-practices/toc.htm</t>
        </is>
      </c>
      <c r="E14" s="20" t="n">
        <v>46221</v>
      </c>
      <c r="F14" s="17" t="inlineStr">
        <is>
          <t>OCIおよびクラウド共通</t>
        </is>
      </c>
      <c r="G14" s="20" t="n">
        <v>46221</v>
      </c>
      <c r="H14" s="17" t="inlineStr">
        <is>
          <t>前回登録内容から適用範囲・版の変更なし。</t>
        </is>
      </c>
      <c r="I14" s="17" t="inlineStr"/>
      <c r="J14" s="17" t="inlineStr">
        <is>
          <t>継続更新型資料は変更確認日に再確認する。</t>
        </is>
      </c>
    </row>
    <row r="15">
      <c r="A15" s="17" t="inlineStr">
        <is>
          <t>SRC-ISO-29148</t>
        </is>
      </c>
      <c r="B15" s="17" t="inlineStr">
        <is>
          <t>ISO/IEC/IEEE 29148 Systems and software engineering — Life cycle processes — Requirements engineering</t>
        </is>
      </c>
      <c r="C15" s="17" t="inlineStr">
        <is>
          <t>参照記載版</t>
        </is>
      </c>
      <c r="D15" s="19" t="inlineStr">
        <is>
          <t>https://www.iso.org/standard/72089.html</t>
        </is>
      </c>
      <c r="E15" s="20" t="n">
        <v>46221</v>
      </c>
      <c r="F15" s="17" t="inlineStr">
        <is>
          <t>要求工学の実務補完</t>
        </is>
      </c>
      <c r="G15" s="20" t="n">
        <v>46221</v>
      </c>
      <c r="H15" s="17" t="inlineStr">
        <is>
          <t>前回登録内容から適用範囲・版の変更なし。</t>
        </is>
      </c>
      <c r="I15" s="17" t="inlineStr"/>
      <c r="J15" s="17" t="inlineStr">
        <is>
          <t>継続更新型資料は変更確認日に再確認する。</t>
        </is>
      </c>
    </row>
    <row r="16">
      <c r="A16" s="17" t="inlineStr">
        <is>
          <t>SRC-ISO-25010</t>
        </is>
      </c>
      <c r="B16" s="17" t="inlineStr">
        <is>
          <t>ISO/IEC 25010 Systems and software Quality Requirements and Evaluation</t>
        </is>
      </c>
      <c r="C16" s="17" t="inlineStr">
        <is>
          <t>参照記載版</t>
        </is>
      </c>
      <c r="D16" s="19" t="inlineStr">
        <is>
          <t>https://www.iso.org/standard/78176.html</t>
        </is>
      </c>
      <c r="E16" s="20" t="n">
        <v>46221</v>
      </c>
      <c r="F16" s="17" t="inlineStr">
        <is>
          <t>品質モデルの実務補完</t>
        </is>
      </c>
      <c r="G16" s="20" t="n">
        <v>46221</v>
      </c>
      <c r="H16" s="17" t="inlineStr">
        <is>
          <t>前回登録内容から適用範囲・版の変更なし。</t>
        </is>
      </c>
      <c r="I16" s="17" t="inlineStr"/>
      <c r="J16" s="17" t="inlineStr">
        <is>
          <t>継続更新型資料は変更確認日に再確認する。</t>
        </is>
      </c>
    </row>
    <row r="17">
      <c r="A17" s="17" t="inlineStr">
        <is>
          <t>SRC-ISO-GENERAL</t>
        </is>
      </c>
      <c r="B17" s="17" t="inlineStr">
        <is>
          <t>ISO/IEC/IEEE standards（項目の参照箇所に規格番号を記載）</t>
        </is>
      </c>
      <c r="C17" s="17" t="inlineStr">
        <is>
          <t>各参照記載版</t>
        </is>
      </c>
      <c r="D17" s="19" t="inlineStr">
        <is>
          <t>https://www.iso.org/standards.html</t>
        </is>
      </c>
      <c r="E17" s="20" t="n">
        <v>46221</v>
      </c>
      <c r="F17" s="17" t="inlineStr">
        <is>
          <t>その他ISO/IEC/IEEE規格</t>
        </is>
      </c>
      <c r="G17" s="20" t="n">
        <v>46221</v>
      </c>
      <c r="H17" s="17" t="inlineStr">
        <is>
          <t>前回登録内容から適用範囲・版の変更なし。</t>
        </is>
      </c>
      <c r="I17" s="17" t="inlineStr"/>
      <c r="J17" s="17" t="inlineStr">
        <is>
          <t>継続更新型資料は変更確認日に再確認する。</t>
        </is>
      </c>
    </row>
    <row r="18">
      <c r="A18" s="17" t="inlineStr">
        <is>
          <t>SRC-OWASP</t>
        </is>
      </c>
      <c r="B18" s="17" t="inlineStr">
        <is>
          <t>OWASP application security guidance</t>
        </is>
      </c>
      <c r="C18" s="17" t="inlineStr">
        <is>
          <t>継続更新</t>
        </is>
      </c>
      <c r="D18" s="19" t="inlineStr">
        <is>
          <t>https://owasp.org/www-project-application-security-verification-standard/</t>
        </is>
      </c>
      <c r="E18" s="20" t="n">
        <v>46221</v>
      </c>
      <c r="F18" s="17" t="inlineStr">
        <is>
          <t>ASVS、Top 10等</t>
        </is>
      </c>
      <c r="G18" s="20" t="n">
        <v>46221</v>
      </c>
      <c r="H18" s="17" t="inlineStr">
        <is>
          <t>前回登録内容から適用範囲・版の変更なし。</t>
        </is>
      </c>
      <c r="I18" s="17" t="inlineStr"/>
      <c r="J18" s="17" t="inlineStr">
        <is>
          <t>継続更新型資料は変更確認日に再確認する。</t>
        </is>
      </c>
    </row>
    <row r="19">
      <c r="A19" s="17" t="inlineStr">
        <is>
          <t>SRC-NIST</t>
        </is>
      </c>
      <c r="B19" s="17" t="inlineStr">
        <is>
          <t>NIST cybersecurity and AI guidance</t>
        </is>
      </c>
      <c r="C19" s="17" t="inlineStr">
        <is>
          <t>各参照記載版</t>
        </is>
      </c>
      <c r="D19" s="19" t="inlineStr">
        <is>
          <t>https://www.nist.gov/itl</t>
        </is>
      </c>
      <c r="E19" s="20" t="n">
        <v>46221</v>
      </c>
      <c r="F19" s="17" t="inlineStr">
        <is>
          <t>SSDF、AI RMF等</t>
        </is>
      </c>
      <c r="G19" s="20" t="n">
        <v>46221</v>
      </c>
      <c r="H19" s="17" t="inlineStr">
        <is>
          <t>前回登録内容から適用範囲・版の変更なし。</t>
        </is>
      </c>
      <c r="I19" s="17" t="inlineStr"/>
      <c r="J19" s="17" t="inlineStr">
        <is>
          <t>継続更新型資料は変更確認日に再確認する。</t>
        </is>
      </c>
    </row>
    <row r="20">
      <c r="A20" s="17" t="inlineStr">
        <is>
          <t>SRC-CIS</t>
        </is>
      </c>
      <c r="B20" s="17" t="inlineStr">
        <is>
          <t>CIS Benchmarks</t>
        </is>
      </c>
      <c r="C20" s="17" t="inlineStr">
        <is>
          <t>継続更新</t>
        </is>
      </c>
      <c r="D20" s="19" t="inlineStr">
        <is>
          <t>https://www.cisecurity.org/cis-benchmarks</t>
        </is>
      </c>
      <c r="E20" s="20" t="n">
        <v>46221</v>
      </c>
      <c r="F20" s="17" t="inlineStr">
        <is>
          <t>構成・セキュリティベースライン</t>
        </is>
      </c>
      <c r="G20" s="20" t="n">
        <v>46221</v>
      </c>
      <c r="H20" s="17" t="inlineStr">
        <is>
          <t>前回登録内容から適用範囲・版の変更なし。</t>
        </is>
      </c>
      <c r="I20" s="17" t="inlineStr"/>
      <c r="J20" s="17" t="inlineStr">
        <is>
          <t>継続更新型資料は変更確認日に再確認する。</t>
        </is>
      </c>
    </row>
    <row r="21">
      <c r="A21" s="17" t="inlineStr">
        <is>
          <t>SRC-RFC</t>
        </is>
      </c>
      <c r="B21" s="17" t="inlineStr">
        <is>
          <t>IETF RFCs</t>
        </is>
      </c>
      <c r="C21" s="17" t="inlineStr">
        <is>
          <t>各参照記載版</t>
        </is>
      </c>
      <c r="D21" s="19" t="inlineStr">
        <is>
          <t>https://www.rfc-editor.org/</t>
        </is>
      </c>
      <c r="E21" s="20" t="n">
        <v>46221</v>
      </c>
      <c r="F21" s="17" t="inlineStr">
        <is>
          <t>RFC 2119等</t>
        </is>
      </c>
      <c r="G21" s="20" t="n">
        <v>46221</v>
      </c>
      <c r="H21" s="17" t="inlineStr">
        <is>
          <t>前回登録内容から適用範囲・版の変更なし。</t>
        </is>
      </c>
      <c r="I21" s="17" t="inlineStr"/>
      <c r="J21" s="17" t="inlineStr">
        <is>
          <t>継続更新型資料は変更確認日に再確認する。</t>
        </is>
      </c>
    </row>
    <row r="22">
      <c r="A22" s="17" t="inlineStr">
        <is>
          <t>SRC-SRE</t>
        </is>
      </c>
      <c r="B22" s="17" t="inlineStr">
        <is>
          <t>Google Site Reliability Engineering resources</t>
        </is>
      </c>
      <c r="C22" s="17" t="inlineStr">
        <is>
          <t>継続更新</t>
        </is>
      </c>
      <c r="D22" s="19" t="inlineStr">
        <is>
          <t>https://sre.google/books/</t>
        </is>
      </c>
      <c r="E22" s="20" t="n">
        <v>46221</v>
      </c>
      <c r="F22" s="17" t="inlineStr">
        <is>
          <t>SRE実務補完</t>
        </is>
      </c>
      <c r="G22" s="20" t="n">
        <v>46221</v>
      </c>
      <c r="H22" s="17" t="inlineStr">
        <is>
          <t>前回登録内容から適用範囲・版の変更なし。</t>
        </is>
      </c>
      <c r="I22" s="17" t="inlineStr"/>
      <c r="J22" s="17" t="inlineStr">
        <is>
          <t>継続更新型資料は変更確認日に再確認する。</t>
        </is>
      </c>
    </row>
    <row r="23">
      <c r="A23" s="17" t="inlineStr">
        <is>
          <t>SRC-DORA</t>
        </is>
      </c>
      <c r="B23" s="17" t="inlineStr">
        <is>
          <t>DORA research and guidance</t>
        </is>
      </c>
      <c r="C23" s="17" t="inlineStr">
        <is>
          <t>継続更新</t>
        </is>
      </c>
      <c r="D23" s="19" t="inlineStr">
        <is>
          <t>https://dora.dev/</t>
        </is>
      </c>
      <c r="E23" s="20" t="n">
        <v>46221</v>
      </c>
      <c r="F23" s="17" t="inlineStr">
        <is>
          <t>デリバリ性能の実務補完</t>
        </is>
      </c>
      <c r="G23" s="20" t="n">
        <v>46221</v>
      </c>
      <c r="H23" s="17" t="inlineStr">
        <is>
          <t>前回登録内容から適用範囲・版の変更なし。</t>
        </is>
      </c>
      <c r="I23" s="17" t="inlineStr"/>
      <c r="J23" s="17" t="inlineStr">
        <is>
          <t>継続更新型資料は変更確認日に再確認する。</t>
        </is>
      </c>
    </row>
    <row r="24">
      <c r="A24" s="17" t="inlineStr">
        <is>
          <t>SRC-FINOPS</t>
        </is>
      </c>
      <c r="B24" s="17" t="inlineStr">
        <is>
          <t>FinOps Framework</t>
        </is>
      </c>
      <c r="C24" s="17" t="inlineStr">
        <is>
          <t>継続更新</t>
        </is>
      </c>
      <c r="D24" s="19" t="inlineStr">
        <is>
          <t>https://www.finops.org/framework/</t>
        </is>
      </c>
      <c r="E24" s="20" t="n">
        <v>46221</v>
      </c>
      <c r="F24" s="17" t="inlineStr">
        <is>
          <t>クラウドコスト管理</t>
        </is>
      </c>
      <c r="G24" s="20" t="n">
        <v>46221</v>
      </c>
      <c r="H24" s="17" t="inlineStr">
        <is>
          <t>前回登録内容から適用範囲・版の変更なし。</t>
        </is>
      </c>
      <c r="I24" s="17" t="inlineStr"/>
      <c r="J24" s="17" t="inlineStr">
        <is>
          <t>継続更新型資料は変更確認日に再確認する。</t>
        </is>
      </c>
    </row>
    <row r="25">
      <c r="A25" s="17" t="inlineStr">
        <is>
          <t>SRC-IEEE-GENERAL</t>
        </is>
      </c>
      <c r="B25" s="17" t="inlineStr">
        <is>
          <t>IEEE standards and guidance（項目の参照箇所に規格番号を記載）</t>
        </is>
      </c>
      <c r="C25" s="17" t="inlineStr">
        <is>
          <t>各参照記載版</t>
        </is>
      </c>
      <c r="D25" s="19" t="inlineStr">
        <is>
          <t>https://standards.ieee.org/</t>
        </is>
      </c>
      <c r="E25" s="20" t="n">
        <v>46221</v>
      </c>
      <c r="F25" s="17" t="inlineStr">
        <is>
          <t>その他IEEE参照</t>
        </is>
      </c>
      <c r="G25" s="20" t="n">
        <v>46221</v>
      </c>
      <c r="H25" s="17" t="inlineStr">
        <is>
          <t>前回登録内容から適用範囲・版の変更なし。</t>
        </is>
      </c>
      <c r="I25" s="17" t="inlineStr"/>
      <c r="J25" s="17" t="inlineStr">
        <is>
          <t>継続更新型資料は変更確認日に再確認する。</t>
        </is>
      </c>
    </row>
    <row r="26">
      <c r="A26" s="17" t="inlineStr">
        <is>
          <t>SRC-PRACTICE</t>
        </is>
      </c>
      <c r="B26" s="17" t="inlineStr">
        <is>
          <t>組織・案件固有の実務補完</t>
        </is>
      </c>
      <c r="C26" s="17" t="inlineStr">
        <is>
          <t>案件ごとに根拠を登録</t>
        </is>
      </c>
      <c r="D26" s="17" t="inlineStr"/>
      <c r="E26" s="20" t="n">
        <v>46221</v>
      </c>
      <c r="F26" s="17" t="inlineStr">
        <is>
          <t>外部規範ではない。証跡欄に組織標準・意思決定記録を添付する。</t>
        </is>
      </c>
      <c r="G26" s="20" t="n">
        <v>46221</v>
      </c>
      <c r="H26" s="17" t="inlineStr">
        <is>
          <t>前回登録内容から適用範囲・版の変更なし。</t>
        </is>
      </c>
      <c r="I26" s="17" t="inlineStr"/>
      <c r="J26" s="17" t="inlineStr">
        <is>
          <t>継続更新型資料は変更確認日に再確認する。</t>
        </is>
      </c>
    </row>
  </sheetData>
  <autoFilter ref="A3:J26"/>
  <mergeCells count="1">
    <mergeCell ref="A1:J1"/>
  </mergeCells>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18" r:id="rId15"/>
    <hyperlink xmlns:r="http://schemas.openxmlformats.org/officeDocument/2006/relationships" ref="D19" r:id="rId16"/>
    <hyperlink xmlns:r="http://schemas.openxmlformats.org/officeDocument/2006/relationships" ref="D20" r:id="rId17"/>
    <hyperlink xmlns:r="http://schemas.openxmlformats.org/officeDocument/2006/relationships" ref="D21" r:id="rId18"/>
    <hyperlink xmlns:r="http://schemas.openxmlformats.org/officeDocument/2006/relationships" ref="D22" r:id="rId19"/>
    <hyperlink xmlns:r="http://schemas.openxmlformats.org/officeDocument/2006/relationships" ref="D23" r:id="rId20"/>
    <hyperlink xmlns:r="http://schemas.openxmlformats.org/officeDocument/2006/relationships" ref="D24" r:id="rId21"/>
    <hyperlink xmlns:r="http://schemas.openxmlformats.org/officeDocument/2006/relationships" ref="D25" r:id="rId2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1"/>
  <sheetViews>
    <sheetView workbookViewId="0">
      <pane ySplit="3" topLeftCell="A4" activePane="bottomLeft" state="frozen"/>
      <selection pane="bottomLeft" activeCell="A1" sqref="A1"/>
    </sheetView>
  </sheetViews>
  <sheetFormatPr baseColWidth="8" defaultRowHeight="15"/>
  <cols>
    <col width="8" customWidth="1" min="1" max="1"/>
    <col width="42" customWidth="1" min="2" max="2"/>
    <col width="27" customWidth="1" min="3" max="3"/>
    <col width="24" customWidth="1" min="4" max="4"/>
    <col width="58" customWidth="1" min="5" max="5"/>
    <col width="38" customWidth="1" min="6" max="6"/>
    <col width="28" customWidth="1" min="7" max="7"/>
  </cols>
  <sheetData>
    <row r="1" ht="28" customHeight="1">
      <c r="A1" s="14" t="inlineStr">
        <is>
          <t>SWEBOK v4.0a Knowledge Area 対応表</t>
        </is>
      </c>
    </row>
    <row r="2"/>
    <row r="3">
      <c r="A3" s="16" t="inlineStr">
        <is>
          <t>KA</t>
        </is>
      </c>
      <c r="B3" s="16" t="inlineStr">
        <is>
          <t>Knowledge Area</t>
        </is>
      </c>
      <c r="C3" s="16" t="inlineStr">
        <is>
          <t>扱い</t>
        </is>
      </c>
      <c r="D3" s="16" t="inlineStr">
        <is>
          <t>対応シート</t>
        </is>
      </c>
      <c r="E3" s="16" t="inlineStr">
        <is>
          <t>適用範囲・除外根拠</t>
        </is>
      </c>
      <c r="F3" s="16" t="inlineStr">
        <is>
          <t>主な証跡</t>
        </is>
      </c>
      <c r="G3" s="16" t="inlineStr">
        <is>
          <t>備考</t>
        </is>
      </c>
    </row>
    <row r="4">
      <c r="A4" s="17" t="n">
        <v>1</v>
      </c>
      <c r="B4" s="17" t="inlineStr">
        <is>
          <t>Software Requirements</t>
        </is>
      </c>
      <c r="C4" s="17" t="inlineStr">
        <is>
          <t>直接参照</t>
        </is>
      </c>
      <c r="D4" s="17" t="inlineStr">
        <is>
          <t>01_要件定義</t>
        </is>
      </c>
      <c r="E4" s="17" t="inlineStr">
        <is>
          <t>レビュー対象</t>
        </is>
      </c>
      <c r="F4" s="17" t="inlineStr">
        <is>
          <t>要求仕様・トレーサビリティ</t>
        </is>
      </c>
      <c r="G4" s="17" t="inlineStr"/>
    </row>
    <row r="5">
      <c r="A5" s="17" t="n">
        <v>2</v>
      </c>
      <c r="B5" s="17" t="inlineStr">
        <is>
          <t>Software Architecture</t>
        </is>
      </c>
      <c r="C5" s="17" t="inlineStr">
        <is>
          <t>直接参照</t>
        </is>
      </c>
      <c r="D5" s="17" t="inlineStr">
        <is>
          <t>02_アーキテクチャ</t>
        </is>
      </c>
      <c r="E5" s="17" t="inlineStr">
        <is>
          <t>レビュー対象</t>
        </is>
      </c>
      <c r="F5" s="17" t="inlineStr">
        <is>
          <t>アーキテクチャ記述・意思決定</t>
        </is>
      </c>
      <c r="G5" s="17" t="inlineStr"/>
    </row>
    <row r="6">
      <c r="A6" s="17" t="n">
        <v>3</v>
      </c>
      <c r="B6" s="17" t="inlineStr">
        <is>
          <t>Software Design</t>
        </is>
      </c>
      <c r="C6" s="17" t="inlineStr">
        <is>
          <t>直接参照</t>
        </is>
      </c>
      <c r="D6" s="17" t="inlineStr">
        <is>
          <t>03_詳細設計</t>
        </is>
      </c>
      <c r="E6" s="17" t="inlineStr">
        <is>
          <t>レビュー対象</t>
        </is>
      </c>
      <c r="F6" s="17" t="inlineStr">
        <is>
          <t>詳細設計・API/DB/UI設計</t>
        </is>
      </c>
      <c r="G6" s="17" t="inlineStr"/>
    </row>
    <row r="7">
      <c r="A7" s="17" t="n">
        <v>4</v>
      </c>
      <c r="B7" s="17" t="inlineStr">
        <is>
          <t>Software Construction</t>
        </is>
      </c>
      <c r="C7" s="17" t="inlineStr">
        <is>
          <t>直接参照</t>
        </is>
      </c>
      <c r="D7" s="17" t="inlineStr">
        <is>
          <t>04_実装</t>
        </is>
      </c>
      <c r="E7" s="17" t="inlineStr">
        <is>
          <t>レビュー対象</t>
        </is>
      </c>
      <c r="F7" s="17" t="inlineStr">
        <is>
          <t>コード・実装規約・ビルド</t>
        </is>
      </c>
      <c r="G7" s="17" t="inlineStr"/>
    </row>
    <row r="8">
      <c r="A8" s="17" t="n">
        <v>5</v>
      </c>
      <c r="B8" s="17" t="inlineStr">
        <is>
          <t>Software Testing</t>
        </is>
      </c>
      <c r="C8" s="17" t="inlineStr">
        <is>
          <t>直接参照</t>
        </is>
      </c>
      <c r="D8" s="17" t="inlineStr">
        <is>
          <t>05_テスト</t>
        </is>
      </c>
      <c r="E8" s="17" t="inlineStr">
        <is>
          <t>レビュー対象</t>
        </is>
      </c>
      <c r="F8" s="17" t="inlineStr">
        <is>
          <t>テスト計画・設計・結果</t>
        </is>
      </c>
      <c r="G8" s="17" t="inlineStr"/>
    </row>
    <row r="9">
      <c r="A9" s="17" t="n">
        <v>6</v>
      </c>
      <c r="B9" s="17" t="inlineStr">
        <is>
          <t>Software Engineering Operations</t>
        </is>
      </c>
      <c r="C9" s="17" t="inlineStr">
        <is>
          <t>直接参照</t>
        </is>
      </c>
      <c r="D9" s="17" t="inlineStr">
        <is>
          <t>06_運用</t>
        </is>
      </c>
      <c r="E9" s="17" t="inlineStr">
        <is>
          <t>レビュー対象</t>
        </is>
      </c>
      <c r="F9" s="17" t="inlineStr">
        <is>
          <t>運用設計・Runbook・SLO</t>
        </is>
      </c>
      <c r="G9" s="17" t="inlineStr"/>
    </row>
    <row r="10">
      <c r="A10" s="17" t="n">
        <v>7</v>
      </c>
      <c r="B10" s="17" t="inlineStr">
        <is>
          <t>Software Maintenance</t>
        </is>
      </c>
      <c r="C10" s="17" t="inlineStr">
        <is>
          <t>直接参照</t>
        </is>
      </c>
      <c r="D10" s="17" t="inlineStr">
        <is>
          <t>07_保守</t>
        </is>
      </c>
      <c r="E10" s="17" t="inlineStr">
        <is>
          <t>レビュー対象</t>
        </is>
      </c>
      <c r="F10" s="17" t="inlineStr">
        <is>
          <t>保守計画・変更・廃止</t>
        </is>
      </c>
      <c r="G10" s="17" t="inlineStr"/>
    </row>
    <row r="11">
      <c r="A11" s="17" t="n">
        <v>8</v>
      </c>
      <c r="B11" s="17" t="inlineStr">
        <is>
          <t>Software Configuration Management</t>
        </is>
      </c>
      <c r="C11" s="17" t="inlineStr">
        <is>
          <t>直接参照</t>
        </is>
      </c>
      <c r="D11" s="17" t="inlineStr">
        <is>
          <t>08_構成管理</t>
        </is>
      </c>
      <c r="E11" s="17" t="inlineStr">
        <is>
          <t>レビュー対象</t>
        </is>
      </c>
      <c r="F11" s="17" t="inlineStr">
        <is>
          <t>構成識別・変更・リリース</t>
        </is>
      </c>
      <c r="G11" s="17" t="inlineStr"/>
    </row>
    <row r="12">
      <c r="A12" s="17" t="n">
        <v>9</v>
      </c>
      <c r="B12" s="17" t="inlineStr">
        <is>
          <t>Software Engineering Management</t>
        </is>
      </c>
      <c r="C12" s="17" t="inlineStr">
        <is>
          <t>直接参照</t>
        </is>
      </c>
      <c r="D12" s="17" t="inlineStr">
        <is>
          <t>09_マネジメント</t>
        </is>
      </c>
      <c r="E12" s="17" t="inlineStr">
        <is>
          <t>レビュー対象</t>
        </is>
      </c>
      <c r="F12" s="17" t="inlineStr">
        <is>
          <t>計画・見積・リスク・測定</t>
        </is>
      </c>
      <c r="G12" s="17" t="inlineStr"/>
    </row>
    <row r="13">
      <c r="A13" s="17" t="n">
        <v>10</v>
      </c>
      <c r="B13" s="17" t="inlineStr">
        <is>
          <t>Software Engineering Process</t>
        </is>
      </c>
      <c r="C13" s="17" t="inlineStr">
        <is>
          <t>直接参照</t>
        </is>
      </c>
      <c r="D13" s="17" t="inlineStr">
        <is>
          <t>10_プロセス</t>
        </is>
      </c>
      <c r="E13" s="17" t="inlineStr">
        <is>
          <t>レビュー対象</t>
        </is>
      </c>
      <c r="F13" s="17" t="inlineStr">
        <is>
          <t>プロセス定義・評価・改善</t>
        </is>
      </c>
      <c r="G13" s="17" t="inlineStr"/>
    </row>
    <row r="14">
      <c r="A14" s="17" t="n">
        <v>11</v>
      </c>
      <c r="B14" s="17" t="inlineStr">
        <is>
          <t>Software Engineering Models and Methods</t>
        </is>
      </c>
      <c r="C14" s="17" t="inlineStr">
        <is>
          <t>部分整合（独立シートなし）</t>
        </is>
      </c>
      <c r="D14" s="17" t="inlineStr">
        <is>
          <t>02/03/05/10/12</t>
        </is>
      </c>
      <c r="E14" s="17" t="inlineStr">
        <is>
          <t>モデル・形式手法・レビュー方法を各工程で条件付き評価。方法論全体の網羅は対象外。</t>
        </is>
      </c>
      <c r="F14" s="17" t="inlineStr">
        <is>
          <t>モデル、分析・レビュー記録</t>
        </is>
      </c>
      <c r="G14" s="17" t="inlineStr">
        <is>
          <t>独立KA準拠は表明しない</t>
        </is>
      </c>
    </row>
    <row r="15">
      <c r="A15" s="17" t="n">
        <v>12</v>
      </c>
      <c r="B15" s="17" t="inlineStr">
        <is>
          <t>Software Quality</t>
        </is>
      </c>
      <c r="C15" s="17" t="inlineStr">
        <is>
          <t>直接参照</t>
        </is>
      </c>
      <c r="D15" s="17" t="inlineStr">
        <is>
          <t>12_品質保証</t>
        </is>
      </c>
      <c r="E15" s="17" t="inlineStr">
        <is>
          <t>レビュー対象</t>
        </is>
      </c>
      <c r="F15" s="17" t="inlineStr">
        <is>
          <t>品質計画・保証・測定</t>
        </is>
      </c>
      <c r="G15" s="17" t="inlineStr"/>
    </row>
    <row r="16">
      <c r="A16" s="17" t="n">
        <v>13</v>
      </c>
      <c r="B16" s="17" t="inlineStr">
        <is>
          <t>Software Security</t>
        </is>
      </c>
      <c r="C16" s="17" t="inlineStr">
        <is>
          <t>直接参照</t>
        </is>
      </c>
      <c r="D16" s="17" t="inlineStr">
        <is>
          <t>13_セキュリティ</t>
        </is>
      </c>
      <c r="E16" s="17" t="inlineStr">
        <is>
          <t>レビュー対象</t>
        </is>
      </c>
      <c r="F16" s="17" t="inlineStr">
        <is>
          <t>脅威モデル・セキュリティ設計/試験</t>
        </is>
      </c>
      <c r="G16" s="17" t="inlineStr"/>
    </row>
    <row r="17">
      <c r="A17" s="17" t="n">
        <v>14</v>
      </c>
      <c r="B17" s="17" t="inlineStr">
        <is>
          <t>Software Engineering Professional Practice</t>
        </is>
      </c>
      <c r="C17" s="17" t="inlineStr">
        <is>
          <t>部分整合（独立シートなし）</t>
        </is>
      </c>
      <c r="D17" s="17" t="inlineStr">
        <is>
          <t>01/09/10/12/19</t>
        </is>
      </c>
      <c r="E17" s="17" t="inlineStr">
        <is>
          <t>コミュニケーション、倫理、責任あるAIの成果物化された部分のみ。専門職実践全体は対象外。</t>
        </is>
      </c>
      <c r="F17" s="17" t="inlineStr">
        <is>
          <t>合意記録・役割・倫理審査</t>
        </is>
      </c>
      <c r="G17" s="17" t="inlineStr">
        <is>
          <t>独立KA準拠は表明しない</t>
        </is>
      </c>
    </row>
    <row r="18">
      <c r="A18" s="17" t="n">
        <v>15</v>
      </c>
      <c r="B18" s="17" t="inlineStr">
        <is>
          <t>Software Engineering Economics</t>
        </is>
      </c>
      <c r="C18" s="17" t="inlineStr">
        <is>
          <t>部分整合（独立シートなし）</t>
        </is>
      </c>
      <c r="D18" s="17" t="inlineStr">
        <is>
          <t>09/14〜19</t>
        </is>
      </c>
      <c r="E18" s="17" t="inlineStr">
        <is>
          <t>見積、投資、クラウド/AIコスト、トレードオフのみ。経済学体系全体は対象外。</t>
        </is>
      </c>
      <c r="F18" s="17" t="inlineStr">
        <is>
          <t>Business case・TCO・予算</t>
        </is>
      </c>
      <c r="G18" s="17" t="inlineStr">
        <is>
          <t>独立KA準拠は表明しない</t>
        </is>
      </c>
    </row>
    <row r="19">
      <c r="A19" s="17" t="n">
        <v>16</v>
      </c>
      <c r="B19" s="17" t="inlineStr">
        <is>
          <t>Computing Foundations</t>
        </is>
      </c>
      <c r="C19" s="17" t="inlineStr">
        <is>
          <t>対象外（前提知識）</t>
        </is>
      </c>
      <c r="D19" s="17" t="inlineStr">
        <is>
          <t>—</t>
        </is>
      </c>
      <c r="E19" s="17" t="inlineStr">
        <is>
          <t>個別成果物レビューではなく実務者の基礎知識。必要な技術事項は各工程で評価。</t>
        </is>
      </c>
      <c r="F19" s="17" t="inlineStr">
        <is>
          <t>—</t>
        </is>
      </c>
      <c r="G19" s="17" t="inlineStr">
        <is>
          <t>適用除外</t>
        </is>
      </c>
    </row>
    <row r="20">
      <c r="A20" s="17" t="n">
        <v>17</v>
      </c>
      <c r="B20" s="17" t="inlineStr">
        <is>
          <t>Mathematical Foundations</t>
        </is>
      </c>
      <c r="C20" s="17" t="inlineStr">
        <is>
          <t>対象外（前提知識）</t>
        </is>
      </c>
      <c r="D20" s="17" t="inlineStr">
        <is>
          <t>—</t>
        </is>
      </c>
      <c r="E20" s="17" t="inlineStr">
        <is>
          <t>個別成果物レビューではなく基礎知識。安全・形式検証案件では条件付きで方法を評価。</t>
        </is>
      </c>
      <c r="F20" s="17" t="inlineStr">
        <is>
          <t>—</t>
        </is>
      </c>
      <c r="G20" s="17" t="inlineStr">
        <is>
          <t>適用除外</t>
        </is>
      </c>
    </row>
    <row r="21">
      <c r="A21" s="17" t="n">
        <v>18</v>
      </c>
      <c r="B21" s="17" t="inlineStr">
        <is>
          <t>Engineering Foundations</t>
        </is>
      </c>
      <c r="C21" s="17" t="inlineStr">
        <is>
          <t>対象外（前提知識）</t>
        </is>
      </c>
      <c r="D21" s="17" t="inlineStr">
        <is>
          <t>—</t>
        </is>
      </c>
      <c r="E21" s="17" t="inlineStr">
        <is>
          <t>個別成果物レビューではなく工学基礎。安全・規制領域は案件プロファイルで補完。</t>
        </is>
      </c>
      <c r="F21" s="17" t="inlineStr">
        <is>
          <t>—</t>
        </is>
      </c>
      <c r="G21" s="17" t="inlineStr">
        <is>
          <t>適用除外</t>
        </is>
      </c>
    </row>
  </sheetData>
  <autoFilter ref="A3:G21"/>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8"/>
  <sheetViews>
    <sheetView workbookViewId="0">
      <pane ySplit="3" topLeftCell="A4" activePane="bottomLeft" state="frozen"/>
      <selection pane="bottomLeft" activeCell="A1" sqref="A1"/>
    </sheetView>
  </sheetViews>
  <sheetFormatPr baseColWidth="8" defaultRowHeight="15"/>
  <cols>
    <col width="16" customWidth="1" min="1" max="1"/>
    <col width="22" customWidth="1" min="2" max="2"/>
    <col width="48" customWidth="1" min="3" max="3"/>
    <col width="48" customWidth="1" min="4" max="4"/>
    <col width="48" customWidth="1" min="5" max="5"/>
    <col width="26" customWidth="1" min="6" max="6"/>
    <col width="18" customWidth="1" min="7" max="7"/>
    <col width="18" customWidth="1" min="8" max="8"/>
    <col width="15" customWidth="1" min="9" max="9"/>
    <col width="55" customWidth="1" min="10" max="10"/>
    <col width="48" customWidth="1" min="11" max="11"/>
  </cols>
  <sheetData>
    <row r="1" ht="28" customHeight="1">
      <c r="A1" s="14" t="inlineStr">
        <is>
          <t>追加承認項目の由来・承認記録</t>
        </is>
      </c>
    </row>
    <row r="3">
      <c r="A3" s="16" t="inlineStr">
        <is>
          <t>追加ID</t>
        </is>
      </c>
      <c r="B3" s="16" t="inlineStr">
        <is>
          <t>シート</t>
        </is>
      </c>
      <c r="C3" s="16" t="inlineStr">
        <is>
          <t>追加理由／不足トピック</t>
        </is>
      </c>
      <c r="D3" s="16" t="inlineStr">
        <is>
          <t>追加チェック項目</t>
        </is>
      </c>
      <c r="E3" s="16" t="inlineStr">
        <is>
          <t>根拠資料</t>
        </is>
      </c>
      <c r="F3" s="16" t="inlineStr">
        <is>
          <t>出典ID</t>
        </is>
      </c>
      <c r="G3" s="16" t="inlineStr">
        <is>
          <t>承認状態</t>
        </is>
      </c>
      <c r="H3" s="16" t="inlineStr">
        <is>
          <t>承認者</t>
        </is>
      </c>
      <c r="I3" s="16" t="inlineStr">
        <is>
          <t>承認日</t>
        </is>
      </c>
      <c r="J3" s="16" t="inlineStr">
        <is>
          <t>変更理由</t>
        </is>
      </c>
      <c r="K3" s="16" t="inlineStr">
        <is>
          <t>注記</t>
        </is>
      </c>
    </row>
    <row r="4">
      <c r="A4" s="17" t="inlineStr">
        <is>
          <t>REQ-901</t>
        </is>
      </c>
      <c r="B4" s="17" t="inlineStr">
        <is>
          <t>01_要件定義</t>
        </is>
      </c>
      <c r="C4" s="17" t="inlineStr">
        <is>
          <t>旧ブックで追加承認として登録（カテゴリ: 10. 妥当性確認(SWEBOK 5.1〜5.3)）</t>
        </is>
      </c>
      <c r="D4" s="17" t="inlineStr">
        <is>
          <t>要求レビューが実施され記録がある</t>
        </is>
      </c>
      <c r="E4" s="17" t="inlineStr">
        <is>
          <t>swebok-v4a.pdf ch01 Software Requirements &gt; 5.1 Requirements Reviews</t>
        </is>
      </c>
      <c r="F4" s="17" t="inlineStr">
        <is>
          <t>SRC-SWEBOK-V4A</t>
        </is>
      </c>
      <c r="G4" s="17" t="inlineStr">
        <is>
          <t>要原記録確認</t>
        </is>
      </c>
      <c r="H4" s="17" t="inlineStr">
        <is>
          <t>未記録</t>
        </is>
      </c>
      <c r="I4" s="17" t="inlineStr">
        <is>
          <t>未記録</t>
        </is>
      </c>
      <c r="J4" s="17" t="inlineStr">
        <is>
          <t>旧ブックに追加理由・原承認記録なし。原記録の確認が必要。</t>
        </is>
      </c>
      <c r="K4" s="17" t="inlineStr">
        <is>
          <t>旧ブックの「追加承認」表記を移行。承認者・日付を推測で補完しない。</t>
        </is>
      </c>
    </row>
    <row r="5">
      <c r="A5" s="17" t="inlineStr">
        <is>
          <t>REQ-902</t>
        </is>
      </c>
      <c r="B5" s="17" t="inlineStr">
        <is>
          <t>01_要件定義</t>
        </is>
      </c>
      <c r="C5" s="17" t="inlineStr">
        <is>
          <t>旧ブックで追加承認として登録（カテゴリ: 10. 妥当性確認(SWEBOK 5.1〜5.3)）</t>
        </is>
      </c>
      <c r="D5" s="17" t="inlineStr">
        <is>
          <t>レビューが複数視点で行われている</t>
        </is>
      </c>
      <c r="E5" s="17" t="inlineStr">
        <is>
          <t>swebok-v4a.pdf ch01 Software Requirements &gt; 5.1 Requirements Reviews(review from multiple perspectives)</t>
        </is>
      </c>
      <c r="F5" s="17" t="inlineStr">
        <is>
          <t>SRC-SWEBOK-V4A</t>
        </is>
      </c>
      <c r="G5" s="17" t="inlineStr">
        <is>
          <t>要原記録確認</t>
        </is>
      </c>
      <c r="H5" s="17" t="inlineStr">
        <is>
          <t>未記録</t>
        </is>
      </c>
      <c r="I5" s="17" t="inlineStr">
        <is>
          <t>未記録</t>
        </is>
      </c>
      <c r="J5" s="17" t="inlineStr">
        <is>
          <t>旧ブックに追加理由・原承認記録なし。原記録の確認が必要。</t>
        </is>
      </c>
      <c r="K5" s="17" t="inlineStr">
        <is>
          <t>旧ブックの「追加承認」表記を移行。承認者・日付を推測で補完しない。</t>
        </is>
      </c>
    </row>
    <row r="6">
      <c r="A6" s="17" t="inlineStr">
        <is>
          <t>REQ-903</t>
        </is>
      </c>
      <c r="B6" s="17" t="inlineStr">
        <is>
          <t>01_要件定義</t>
        </is>
      </c>
      <c r="C6" s="17" t="inlineStr">
        <is>
          <t>旧ブックで追加承認として登録（カテゴリ: 10. 妥当性確認(SWEBOK 5.1〜5.3)）</t>
        </is>
      </c>
      <c r="D6" s="17" t="inlineStr">
        <is>
          <t>Critical/High 指摘がクローズされている</t>
        </is>
      </c>
      <c r="E6" s="17" t="inlineStr">
        <is>
          <t>swebok-v4a.pdf ch01 Software Requirements &gt; 5.1 Requirements Reviews / 実務補完(レビュープロセス実務)</t>
        </is>
      </c>
      <c r="F6" s="17" t="inlineStr">
        <is>
          <t>SRC-SWEBOK-V4A;SRC-PRACTICE</t>
        </is>
      </c>
      <c r="G6" s="17" t="inlineStr">
        <is>
          <t>要原記録確認</t>
        </is>
      </c>
      <c r="H6" s="17" t="inlineStr">
        <is>
          <t>未記録</t>
        </is>
      </c>
      <c r="I6" s="17" t="inlineStr">
        <is>
          <t>未記録</t>
        </is>
      </c>
      <c r="J6" s="17" t="inlineStr">
        <is>
          <t>旧ブックに追加理由・原承認記録なし。原記録の確認が必要。</t>
        </is>
      </c>
      <c r="K6" s="17" t="inlineStr">
        <is>
          <t>旧ブックの「追加承認」表記を移行。承認者・日付を推測で補完しない。</t>
        </is>
      </c>
    </row>
    <row r="7">
      <c r="A7" s="17" t="inlineStr">
        <is>
          <t>REQ-904</t>
        </is>
      </c>
      <c r="B7" s="17" t="inlineStr">
        <is>
          <t>01_要件定義</t>
        </is>
      </c>
      <c r="C7" s="17" t="inlineStr">
        <is>
          <t>旧ブックで追加承認として登録（カテゴリ: 10. 妥当性確認(SWEBOK 5.1〜5.3)）</t>
        </is>
      </c>
      <c r="D7" s="17" t="inlineStr">
        <is>
          <t>主要ステークホルダーの承認記録がある</t>
        </is>
      </c>
      <c r="E7" s="17" t="inlineStr">
        <is>
          <t>swebok-v4a.pdf ch01 Software Requirements &gt; 1.11 Software Requirements Activities(reaching an agreement)/ 5. Requirements Validation</t>
        </is>
      </c>
      <c r="F7" s="17" t="inlineStr">
        <is>
          <t>SRC-SWEBOK-V4A</t>
        </is>
      </c>
      <c r="G7" s="17" t="inlineStr">
        <is>
          <t>要原記録確認</t>
        </is>
      </c>
      <c r="H7" s="17" t="inlineStr">
        <is>
          <t>未記録</t>
        </is>
      </c>
      <c r="I7" s="17" t="inlineStr">
        <is>
          <t>未記録</t>
        </is>
      </c>
      <c r="J7" s="17" t="inlineStr">
        <is>
          <t>旧ブックに追加理由・原承認記録なし。原記録の確認が必要。</t>
        </is>
      </c>
      <c r="K7" s="17" t="inlineStr">
        <is>
          <t>旧ブックの「追加承認」表記を移行。承認者・日付を推測で補完しない。</t>
        </is>
      </c>
    </row>
    <row r="8">
      <c r="A8" s="17" t="inlineStr">
        <is>
          <t>REQ-905</t>
        </is>
      </c>
      <c r="B8" s="17" t="inlineStr">
        <is>
          <t>01_要件定義</t>
        </is>
      </c>
      <c r="C8" s="17" t="inlineStr">
        <is>
          <t>旧ブックで追加承認として登録（カテゴリ: 10. 妥当性確認(SWEBOK 5.1〜5.3)）</t>
        </is>
      </c>
      <c r="D8" s="17" t="inlineStr">
        <is>
          <t>誤解リスクの高い箇所にプロトタイプ等の確認が行われている</t>
        </is>
      </c>
      <c r="E8" s="17" t="inlineStr">
        <is>
          <t>swebok-v4a.pdf ch01 Software Requirements &gt; 5.2 Simulation and Execution / 5.3 Prototyping</t>
        </is>
      </c>
      <c r="F8" s="17" t="inlineStr">
        <is>
          <t>SRC-SWEBOK-V4A</t>
        </is>
      </c>
      <c r="G8" s="17" t="inlineStr">
        <is>
          <t>要原記録確認</t>
        </is>
      </c>
      <c r="H8" s="17" t="inlineStr">
        <is>
          <t>未記録</t>
        </is>
      </c>
      <c r="I8" s="17" t="inlineStr">
        <is>
          <t>未記録</t>
        </is>
      </c>
      <c r="J8" s="17" t="inlineStr">
        <is>
          <t>旧ブックに追加理由・原承認記録なし。原記録の確認が必要。</t>
        </is>
      </c>
      <c r="K8" s="17" t="inlineStr">
        <is>
          <t>旧ブックの「追加承認」表記を移行。承認者・日付を推測で補完しない。</t>
        </is>
      </c>
    </row>
    <row r="9">
      <c r="A9" s="17" t="inlineStr">
        <is>
          <t>REQ-906</t>
        </is>
      </c>
      <c r="B9" s="17" t="inlineStr">
        <is>
          <t>01_要件定義</t>
        </is>
      </c>
      <c r="C9" s="17" t="inlineStr">
        <is>
          <t>旧ブックで追加承認として登録（カテゴリ: 10. 妥当性確認(SWEBOK 5.1〜5.3)）</t>
        </is>
      </c>
      <c r="D9" s="17" t="inlineStr">
        <is>
          <t>プロトタイプ確認の論点が事前定義されていた</t>
        </is>
      </c>
      <c r="E9" s="17" t="inlineStr">
        <is>
          <t>swebok-v4a.pdf ch01 Software Requirements &gt; 5.3 Prototyping(cosmetic issues への警告)</t>
        </is>
      </c>
      <c r="F9" s="17" t="inlineStr">
        <is>
          <t>SRC-SWEBOK-V4A</t>
        </is>
      </c>
      <c r="G9" s="17" t="inlineStr">
        <is>
          <t>要原記録確認</t>
        </is>
      </c>
      <c r="H9" s="17" t="inlineStr">
        <is>
          <t>未記録</t>
        </is>
      </c>
      <c r="I9" s="17" t="inlineStr">
        <is>
          <t>未記録</t>
        </is>
      </c>
      <c r="J9" s="17" t="inlineStr">
        <is>
          <t>旧ブックに追加理由・原承認記録なし。原記録の確認が必要。</t>
        </is>
      </c>
      <c r="K9" s="17" t="inlineStr">
        <is>
          <t>旧ブックの「追加承認」表記を移行。承認者・日付を推測で補完しない。</t>
        </is>
      </c>
    </row>
    <row r="10">
      <c r="A10" s="17" t="inlineStr">
        <is>
          <t>REQ-9901</t>
        </is>
      </c>
      <c r="B10" s="17" t="inlineStr">
        <is>
          <t>01_要件定義</t>
        </is>
      </c>
      <c r="C10" s="17" t="inlineStr">
        <is>
          <t>3.4 Addressing Conflict in Requirements(要求間対立の識別と解決)</t>
        </is>
      </c>
      <c r="D10" s="17" t="inlineStr">
        <is>
          <t>ステークホルダー間で対立した要求について、解決の経緯と合意記録がある</t>
        </is>
      </c>
      <c r="E10" s="17" t="inlineStr">
        <is>
          <t>swebok-v4a.pdf ch01 Software Requirements &gt; 3.4 Addressing Conflict in Requirements(要求間対立の識別と解決)</t>
        </is>
      </c>
      <c r="F10" s="17" t="inlineStr">
        <is>
          <t>SRC-SWEBOK-V4A</t>
        </is>
      </c>
      <c r="G10" s="17" t="inlineStr">
        <is>
          <t>要原記録確認</t>
        </is>
      </c>
      <c r="H10" s="17" t="inlineStr">
        <is>
          <t>未記録</t>
        </is>
      </c>
      <c r="I10" s="17" t="inlineStr">
        <is>
          <t>未記録</t>
        </is>
      </c>
      <c r="J10" s="17" t="inlineStr">
        <is>
          <t>REQ-201は矛盾の不在を検査するが、SWEBOK 3.4はさらに、対立発見時にエンジニアが単独裁定せずステークホルダー間で交渉して合意し、契約上その決定を顧客まで遡れる形で記録することを求める。解決記録がないと同じ対立が蒸し返され、独断解決が後の紛争になる。</t>
        </is>
      </c>
      <c r="K10" s="17" t="inlineStr">
        <is>
          <t>旧ブックの「追加承認」表記を移行。承認者・日付を推測で補完しない。</t>
        </is>
      </c>
    </row>
    <row r="11">
      <c r="A11" s="17" t="inlineStr">
        <is>
          <t>REQ-9902</t>
        </is>
      </c>
      <c r="B11" s="17" t="inlineStr">
        <is>
          <t>01_要件定義</t>
        </is>
      </c>
      <c r="C11" s="17" t="inlineStr">
        <is>
          <t>1.5 / 3.2 QoS制約間の相互関係・トレードオフ</t>
        </is>
      </c>
      <c r="D11" s="17" t="inlineStr">
        <is>
          <t>QoS制約間のトレードオフ(相互に負の影響を与える組)が検討されている</t>
        </is>
      </c>
      <c r="E11" s="17" t="inlineStr">
        <is>
          <t>swebok-v4a.pdf ch01 Software Requirements &gt; 1.5 / 3.2 QoS制約間の相互関係・トレードオフ</t>
        </is>
      </c>
      <c r="F11" s="17" t="inlineStr">
        <is>
          <t>SRC-SWEBOK-V4A</t>
        </is>
      </c>
      <c r="G11" s="17" t="inlineStr">
        <is>
          <t>要原記録確認</t>
        </is>
      </c>
      <c r="H11" s="17" t="inlineStr">
        <is>
          <t>未記録</t>
        </is>
      </c>
      <c r="I11" s="17" t="inlineStr">
        <is>
          <t>未記録</t>
        </is>
      </c>
      <c r="J11" s="17" t="inlineStr">
        <is>
          <t>SWEBOKは非機能要求の変更時に他への影響を必ず考慮すべきとし、QoS制約間の正負の関係(例: 速度最適化は保守性を下げる)への注意を明示する。個々の数値が妥当でも、組合せとして同時達成不能な非機能要求集合を合意してしまう事故を既存項目は検出できない。</t>
        </is>
      </c>
      <c r="K11" s="17" t="inlineStr">
        <is>
          <t>旧ブックの「追加承認」表記を移行。承認者・日付を推測で補完しない。</t>
        </is>
      </c>
    </row>
    <row r="12">
      <c r="A12" s="17" t="inlineStr">
        <is>
          <t>REQ-9903</t>
        </is>
      </c>
      <c r="B12" s="17" t="inlineStr">
        <is>
          <t>01_要件定義</t>
        </is>
      </c>
      <c r="C12" s="17" t="inlineStr">
        <is>
          <t>7.6 Requirements Process Quality and Improvement(要求プロセスの品質と改善)</t>
        </is>
      </c>
      <c r="D12" s="17" t="inlineStr">
        <is>
          <t>要求プロセス自体の振り返り・改善の仕組みがある</t>
        </is>
      </c>
      <c r="E12" s="17" t="inlineStr">
        <is>
          <t>swebok-v4a.pdf ch01 Software Requirements &gt; 7.6 Requirements Process Quality and Improvement(要求プロセスの品質と改善)</t>
        </is>
      </c>
      <c r="F12" s="17" t="inlineStr">
        <is>
          <t>SRC-SWEBOK-V4A</t>
        </is>
      </c>
      <c r="G12" s="17" t="inlineStr">
        <is>
          <t>要原記録確認</t>
        </is>
      </c>
      <c r="H12" s="17" t="inlineStr">
        <is>
          <t>未記録</t>
        </is>
      </c>
      <c r="I12" s="17" t="inlineStr">
        <is>
          <t>未記録</t>
        </is>
      </c>
      <c r="J12" s="17" t="inlineStr">
        <is>
          <t>SWEBOK 7.6は要求プロセス自体の計測・ベンチマーク・改善計画を独立トピックとして扱うが、チェックリストは成果物の品質のみを対象とし、プロセスの振り返り・改善の観点が欠けている。プロセス起因の欠陥(獲得不足の常態化等)は成果物検査だけでは再発し続ける。</t>
        </is>
      </c>
      <c r="K12" s="17" t="inlineStr">
        <is>
          <t>旧ブックの「追加承認」表記を移行。承認者・日付を推測で補完しない。</t>
        </is>
      </c>
    </row>
    <row r="13">
      <c r="A13" s="17" t="inlineStr">
        <is>
          <t>REQ-9904</t>
        </is>
      </c>
      <c r="B13" s="17" t="inlineStr">
        <is>
          <t>01_要件定義</t>
        </is>
      </c>
      <c r="C13" s="17" t="inlineStr">
        <is>
          <t>3.3 Formal Analysis(高インテグリティシステムでの形式的分析)</t>
        </is>
      </c>
      <c r="D13" s="17" t="inlineStr">
        <is>
          <t>高インテグリティ要求に対して形式的仕様・分析の適用が検討されている(該当案件のみ)</t>
        </is>
      </c>
      <c r="E13" s="17" t="inlineStr">
        <is>
          <t>swebok-v4a.pdf ch01 Software Requirements &gt; 3.3 Formal Analysis(高インテグリティシステムでの形式的分析)</t>
        </is>
      </c>
      <c r="F13" s="17" t="inlineStr">
        <is>
          <t>SRC-SWEBOK-V4A</t>
        </is>
      </c>
      <c r="G13" s="17" t="inlineStr">
        <is>
          <t>要原記録確認</t>
        </is>
      </c>
      <c r="H13" s="17" t="inlineStr">
        <is>
          <t>未記録</t>
        </is>
      </c>
      <c r="I13" s="17" t="inlineStr">
        <is>
          <t>未記録</t>
        </is>
      </c>
      <c r="J13" s="17" t="inlineStr">
        <is>
          <t>SWEBOKは高インテグリティ領域では形式的意味論を持つ仕様言語により、デッドロック不在等の性質を静的に証明できる利点を示す。安全性・高信頼性が要求される案件で形式手法の適用可否を検討した形跡がないと、テストでは実証不能な性質が未検証のまま残る。</t>
        </is>
      </c>
      <c r="K13" s="17" t="inlineStr">
        <is>
          <t>旧ブックの「追加承認」表記を移行。承認者・日付を推測で補完しない。</t>
        </is>
      </c>
    </row>
    <row r="14">
      <c r="A14" s="17" t="inlineStr">
        <is>
          <t>ARC-901</t>
        </is>
      </c>
      <c r="B14" s="17" t="inlineStr">
        <is>
          <t>02_アーキテクチャ</t>
        </is>
      </c>
      <c r="C14" s="17" t="inlineStr">
        <is>
          <t>1.3 Uses of Architecture — 再利用・プロダクトライン(共通性と可変性の設計)</t>
        </is>
      </c>
      <c r="D14" s="17" t="inlineStr">
        <is>
          <t>再利用・派生開発における共通性と可変性が設計されている</t>
        </is>
      </c>
      <c r="E14" s="17" t="inlineStr">
        <is>
          <t>swebok-v4a.pdf ch02 Software Architecture &gt; 1.3 Uses of Architecture — 再利用・プロダクトライン(共通性と可変性の設計)</t>
        </is>
      </c>
      <c r="F14" s="17" t="inlineStr">
        <is>
          <t>SRC-SWEBOK-V4A</t>
        </is>
      </c>
      <c r="G14" s="17" t="inlineStr">
        <is>
          <t>要原記録確認</t>
        </is>
      </c>
      <c r="H14" s="17" t="inlineStr">
        <is>
          <t>未記録</t>
        </is>
      </c>
      <c r="I14" s="17" t="inlineStr">
        <is>
          <t>未記録</t>
        </is>
      </c>
      <c r="J14" s="17" t="inlineStr">
        <is>
          <t>SWEBOKはアーキテクチャの主要用途として、共通性の識別と可変性に対応した再利用可能コンポーネントの設計によるプログラムファミリー/ソフトウェアプロダクトラインの基盤形成を挙げているが、チェックリストには再利用・派生開発の観点がない。複数製品・複数環境への展開が想定される場合、共通/可変の設計を怠るとコピー派生が乱立し保守コストが倍増する。</t>
        </is>
      </c>
      <c r="K14" s="17" t="inlineStr">
        <is>
          <t>旧ブックの「追加承認」表記を移行。承認者・日付を推測で補完しない。</t>
        </is>
      </c>
    </row>
    <row r="15">
      <c r="A15" s="17" t="inlineStr">
        <is>
          <t>ARC-902</t>
        </is>
      </c>
      <c r="B15" s="17" t="inlineStr">
        <is>
          <t>02_アーキテクチャ</t>
        </is>
      </c>
      <c r="C15" s="17" t="inlineStr">
        <is>
          <t>3.4 Architecting in the Large — アーキテクチャ知識管理(architecture knowledge management)</t>
        </is>
      </c>
      <c r="D15" s="17" t="inlineStr">
        <is>
          <t>アーキテクチャ知識が組織で共有・再利用できる形で管理されている</t>
        </is>
      </c>
      <c r="E15" s="17" t="inlineStr">
        <is>
          <t>swebok-v4a.pdf ch02 Software Architecture &gt; 3.4 Architecting in the Large — アーキテクチャ知識管理(architecture knowledge management)</t>
        </is>
      </c>
      <c r="F15" s="17" t="inlineStr">
        <is>
          <t>SRC-SWEBOK-V4A</t>
        </is>
      </c>
      <c r="G15" s="17" t="inlineStr">
        <is>
          <t>要原記録確認</t>
        </is>
      </c>
      <c r="H15" s="17" t="inlineStr">
        <is>
          <t>未記録</t>
        </is>
      </c>
      <c r="I15" s="17" t="inlineStr">
        <is>
          <t>未記録</t>
        </is>
      </c>
      <c r="J15" s="17" t="inlineStr">
        <is>
          <t>SWEBOKは実装統制・保守に加え、決定・教訓・仕様・文書などの再利用可能なアーキテクチャ資産を組織横断で抽出・維持・共有・活用する活動を明示している。チェックリストはADR個別の記録(ARC-060系)や更新プロセス(ARC-105)は扱うが、組織レベルでの知識共有・再利用の観点がない。</t>
        </is>
      </c>
      <c r="K15" s="17" t="inlineStr">
        <is>
          <t>旧ブックの「追加承認」表記を移行。承認者・日付を推測で補完しない。</t>
        </is>
      </c>
    </row>
    <row r="16">
      <c r="A16" s="17" t="inlineStr">
        <is>
          <t>ARC-903</t>
        </is>
      </c>
      <c r="B16" s="17" t="inlineStr">
        <is>
          <t>02_アーキテクチャ</t>
        </is>
      </c>
      <c r="C16" s="17" t="inlineStr">
        <is>
          <t>3.1 Architecture in Context — ライフサイクルコンテキスト(アジャイル等での創発的アーキテクチャのリスク)</t>
        </is>
      </c>
      <c r="D16" s="17" t="inlineStr">
        <is>
          <t>開発アプローチに応じたアーキテクチャ活動の位置付けが定義されている</t>
        </is>
      </c>
      <c r="E16" s="17" t="inlineStr">
        <is>
          <t>swebok-v4a.pdf ch02 Software Architecture &gt; 3.1 Architecture in Context — ライフサイクルコンテキスト(アジャイル等での創発的アーキテクチャのリスク)</t>
        </is>
      </c>
      <c r="F16" s="17" t="inlineStr">
        <is>
          <t>SRC-SWEBOK-V4A</t>
        </is>
      </c>
      <c r="G16" s="17" t="inlineStr">
        <is>
          <t>要原記録確認</t>
        </is>
      </c>
      <c r="H16" s="17" t="inlineStr">
        <is>
          <t>未記録</t>
        </is>
      </c>
      <c r="I16" s="17" t="inlineStr">
        <is>
          <t>未記録</t>
        </is>
      </c>
      <c r="J16" s="17" t="inlineStr">
        <is>
          <t>SWEBOKは、アジャイルではアーキテクチャ設計ステージがなく創発に頼ることが多いが、組込み・サイバーフィジカル系ではユーザーストーリーから重要なアーキテクチャ特性が出てこず、適切なアーキテクチャの創発を保証できないと明確に警告している。チェックリストには開発アプローチとアーキテクチャ活動の整合を確認する項目がない。</t>
        </is>
      </c>
      <c r="K16" s="17" t="inlineStr">
        <is>
          <t>旧ブックの「追加承認」表記を移行。承認者・日付を推測で補完しない。</t>
        </is>
      </c>
    </row>
    <row r="17">
      <c r="A17" s="17" t="inlineStr">
        <is>
          <t>DES-901</t>
        </is>
      </c>
      <c r="B17" s="17" t="inlineStr">
        <is>
          <t>03_詳細設計</t>
        </is>
      </c>
      <c r="C17" s="17" t="inlineStr">
        <is>
          <t>2.2 Detailed Design / 5.6 Component-Based Design — 既製コンポーネント・アプリケーションフレームワークの活用機会の検討</t>
        </is>
      </c>
      <c r="D17" s="17" t="inlineStr">
        <is>
          <t>既製コンポーネント・ライブラリ・フレームワークの利用が検討されている</t>
        </is>
      </c>
      <c r="E17" s="17" t="inlineStr">
        <is>
          <t>swebok-v4a.pdf ch03 Software Design &gt; 2.2 Detailed Design / 5.6 Component-Based Design — 既製コンポーネント・アプリケーションフレームワークの活用機会の検討</t>
        </is>
      </c>
      <c r="F17" s="17" t="inlineStr">
        <is>
          <t>SRC-SWEBOK-V4A</t>
        </is>
      </c>
      <c r="G17" s="17" t="inlineStr">
        <is>
          <t>要原記録確認</t>
        </is>
      </c>
      <c r="H17" s="17" t="inlineStr">
        <is>
          <t>未記録</t>
        </is>
      </c>
      <c r="I17" s="17" t="inlineStr">
        <is>
          <t>未記録</t>
        </is>
      </c>
      <c r="J17" s="17" t="inlineStr">
        <is>
          <t>SWEBOKは詳細設計の要素として「off-the-shelfコンポーネントやアプリケーションフレームワークの利用機会」を明示している。再利用検討を怠ると、既製品で済む機能の車輪の再発明による工数増と品質リスクを招く。</t>
        </is>
      </c>
      <c r="K17" s="17" t="inlineStr">
        <is>
          <t>旧ブックの「追加承認」表記を移行。承認者・日付を推測で補完しない。</t>
        </is>
      </c>
    </row>
    <row r="18">
      <c r="A18" s="17" t="inlineStr">
        <is>
          <t>DES-902</t>
        </is>
      </c>
      <c r="B18" s="17" t="inlineStr">
        <is>
          <t>03_詳細設計</t>
        </is>
      </c>
      <c r="C18" s="17" t="inlineStr">
        <is>
          <t>3.7 Assurance, Security, and Safety — セーフティ(人命・財産・環境への危害の防止)</t>
        </is>
      </c>
      <c r="D18" s="17" t="inlineStr">
        <is>
          <t>セーフティ(安全性)の該当有無が判断され、該当時はハザード対策が設計されている</t>
        </is>
      </c>
      <c r="E18" s="17" t="inlineStr">
        <is>
          <t>swebok-v4a.pdf ch03 Software Design &gt; 3.7 Assurance, Security, and Safety — セーフティ(人命・財産・環境への危害の防止)</t>
        </is>
      </c>
      <c r="F18" s="17" t="inlineStr">
        <is>
          <t>SRC-SWEBOK-V4A</t>
        </is>
      </c>
      <c r="G18" s="17" t="inlineStr">
        <is>
          <t>要原記録確認</t>
        </is>
      </c>
      <c r="H18" s="17" t="inlineStr">
        <is>
          <t>未記録</t>
        </is>
      </c>
      <c r="I18" s="17" t="inlineStr">
        <is>
          <t>未記録</t>
        </is>
      </c>
      <c r="J18" s="17" t="inlineStr">
        <is>
          <t>チェックリストはセキュリティを厚くカバーする一方、SWEBOKが同節で並置するセーフティ(危害につながりうる状況でのソフトウェア挙動の管理)への言及がない。DES-112 の特性棚卸しにも安全性が含まれていない。</t>
        </is>
      </c>
      <c r="K18" s="17" t="inlineStr">
        <is>
          <t>旧ブックの「追加承認」表記を移行。承認者・日付を推測で補完しない。</t>
        </is>
      </c>
    </row>
    <row r="19">
      <c r="A19" s="17" t="inlineStr">
        <is>
          <t>DES-903</t>
        </is>
      </c>
      <c r="B19" s="17" t="inlineStr">
        <is>
          <t>03_詳細設計</t>
        </is>
      </c>
      <c r="C19" s="17" t="inlineStr">
        <is>
          <t>3.6 Integration and Interoperability — 異種システム間の統合・相互運用性の設計</t>
        </is>
      </c>
      <c r="D19" s="17" t="inlineStr">
        <is>
          <t>外部システムとの連携仕様が定義されている</t>
        </is>
      </c>
      <c r="E19" s="17" t="inlineStr">
        <is>
          <t>swebok-v4a.pdf ch03 Software Design &gt; 3.6 Integration and Interoperability — 異種システム間の統合・相互運用性の設計</t>
        </is>
      </c>
      <c r="F19" s="17" t="inlineStr">
        <is>
          <t>SRC-SWEBOK-V4A</t>
        </is>
      </c>
      <c r="G19" s="17" t="inlineStr">
        <is>
          <t>要原記録確認</t>
        </is>
      </c>
      <c r="H19" s="17" t="inlineStr">
        <is>
          <t>未記録</t>
        </is>
      </c>
      <c r="I19" s="17" t="inlineStr">
        <is>
          <t>未記録</t>
        </is>
      </c>
      <c r="J19" s="17" t="inlineStr">
        <is>
          <t>チェックリストは自システムが提供するAPI仕様(カテゴリ3)と外部障害時の対処(DES-063)を扱うが、SWEBOKが独立した品質特性とする「異種システムとのデータ交換・サービス相互利用」の連携仕様(接続方式・データ形式変換・責任分界)そのものの定義を求める項目がない。</t>
        </is>
      </c>
      <c r="K19" s="17" t="inlineStr">
        <is>
          <t>旧ブックの「追加承認」表記を移行。承認者・日付を推測で補完しない。</t>
        </is>
      </c>
    </row>
    <row r="20">
      <c r="A20" s="17" t="inlineStr">
        <is>
          <t>DES-904</t>
        </is>
      </c>
      <c r="B20" s="17" t="inlineStr">
        <is>
          <t>03_詳細設計</t>
        </is>
      </c>
      <c r="C20" s="17" t="inlineStr">
        <is>
          <t>5. Software Design Strategies and Methods / 5.1 General Strategies — 採用した設計手法・戦略の明示</t>
        </is>
      </c>
      <c r="D20" s="17" t="inlineStr">
        <is>
          <t>採用した設計手法・戦略が明示されている</t>
        </is>
      </c>
      <c r="E20" s="17" t="inlineStr">
        <is>
          <t>swebok-v4a.pdf ch03 Software Design &gt; 5. Software Design Strategies and Methods / 5.1 General Strategies — 採用した設計手法・戦略の明示</t>
        </is>
      </c>
      <c r="F20" s="17" t="inlineStr">
        <is>
          <t>SRC-SWEBOK-V4A</t>
        </is>
      </c>
      <c r="G20" s="17" t="inlineStr">
        <is>
          <t>要原記録確認</t>
        </is>
      </c>
      <c r="H20" s="17" t="inlineStr">
        <is>
          <t>未記録</t>
        </is>
      </c>
      <c r="I20" s="17" t="inlineStr">
        <is>
          <t>未記録</t>
        </is>
      </c>
      <c r="J20" s="17" t="inlineStr">
        <is>
          <t>SWEBOKは章の大きな部分を設計戦略・手法(構造化、OO、DDD、イベント駆動等)に割いており、手法は設計の焦点と進め方・モジュール構造化の指針を与える。採用手法が明示されないと、設計書内で手法が混在し一貫性を欠く。</t>
        </is>
      </c>
      <c r="K20" s="17" t="inlineStr">
        <is>
          <t>旧ブックの「追加承認」表記を移行。承認者・日付を推測で補完しない。</t>
        </is>
      </c>
    </row>
    <row r="21">
      <c r="A21" s="17" t="inlineStr">
        <is>
          <t>CON-901</t>
        </is>
      </c>
      <c r="B21" s="17" t="inlineStr">
        <is>
          <t>04_実装</t>
        </is>
      </c>
      <c r="C21" s="17" t="inlineStr">
        <is>
          <t>2.3 Construction Measurement(構築の計測)</t>
        </is>
      </c>
      <c r="D21" s="17" t="inlineStr">
        <is>
          <t>構築活動の計測が仕組み化されている</t>
        </is>
      </c>
      <c r="E21" s="17" t="inlineStr">
        <is>
          <t>swebok-v4a.pdf ch04 Software Construction &gt; 2.3 Construction Measurement(構築の計測)</t>
        </is>
      </c>
      <c r="F21" s="17" t="inlineStr">
        <is>
          <t>SRC-SWEBOK-V4A</t>
        </is>
      </c>
      <c r="G21" s="17" t="inlineStr">
        <is>
          <t>要原記録確認</t>
        </is>
      </c>
      <c r="H21" s="17" t="inlineStr">
        <is>
          <t>未記録</t>
        </is>
      </c>
      <c r="I21" s="17" t="inlineStr">
        <is>
          <t>未記録</t>
        </is>
      </c>
      <c r="J21" s="17" t="inlineStr">
        <is>
          <t>SWEBOKはコード量・複雑度・欠陥の検出/修正率・工数など構築活動の計測を管理・品質保証・プロセス改善の基盤として独立トピックに置くが、チェックリストには計測の仕組み自体を確認する項目がない。計測がないと構築品質の改善が感覚頼みになる。</t>
        </is>
      </c>
      <c r="K21" s="17" t="inlineStr">
        <is>
          <t>旧ブックの「追加承認」表記を移行。承認者・日付を推測で補完しない。</t>
        </is>
      </c>
    </row>
    <row r="22">
      <c r="A22" s="17" t="inlineStr">
        <is>
          <t>CON-902</t>
        </is>
      </c>
      <c r="B22" s="17" t="inlineStr">
        <is>
          <t>04_実装</t>
        </is>
      </c>
      <c r="C22" s="17" t="inlineStr">
        <is>
          <t>3.5 Reuse in Construction — 再利用のための構築(可変性の実装・カプセル化・再利用資産の記述と公開)</t>
        </is>
      </c>
      <c r="D22" s="17" t="inlineStr">
        <is>
          <t>再利用を意図した共通部品が再利用可能な品質で構築されている</t>
        </is>
      </c>
      <c r="E22" s="17" t="inlineStr">
        <is>
          <t>swebok-v4a.pdf ch04 Software Construction &gt; 3.5 Reuse in Construction — 再利用のための構築(可変性の実装・カプセル化・再利用資産の記述と公開)</t>
        </is>
      </c>
      <c r="F22" s="17" t="inlineStr">
        <is>
          <t>SRC-SWEBOK-V4A</t>
        </is>
      </c>
      <c r="G22" s="17" t="inlineStr">
        <is>
          <t>要原記録確認</t>
        </is>
      </c>
      <c r="H22" s="17" t="inlineStr">
        <is>
          <t>未記録</t>
        </is>
      </c>
      <c r="I22" s="17" t="inlineStr">
        <is>
          <t>未記録</t>
        </is>
      </c>
      <c r="J22" s="17" t="inlineStr">
        <is>
          <t>SWEBOKは construction for reuse(パラメータ化・可変性のカプセル化・再利用資産の文書化と公開)を具体的タスクとして挙げるが、チェックリストは重複排除(CON-005)と依存管理(構築 with reuse 側)のみで、共通部品を作る側の品質を確認する項目がない。</t>
        </is>
      </c>
      <c r="K22" s="17" t="inlineStr">
        <is>
          <t>旧ブックの「追加承認」表記を移行。承認者・日付を推測で補完しない。</t>
        </is>
      </c>
    </row>
    <row r="23">
      <c r="A23" s="17" t="inlineStr">
        <is>
          <t>CON-903</t>
        </is>
      </c>
      <c r="B23" s="17" t="inlineStr">
        <is>
          <t>04_実装</t>
        </is>
      </c>
      <c r="C23" s="17" t="inlineStr">
        <is>
          <t>4.8 Runtime Configuration and Internationalization(実行時コンフィギュレーションと国際化)</t>
        </is>
      </c>
      <c r="D23" s="17" t="inlineStr">
        <is>
          <t>環境依存値と表示文字列がコードから分離されている</t>
        </is>
      </c>
      <c r="E23" s="17" t="inlineStr">
        <is>
          <t>swebok-v4a.pdf ch04 Software Construction &gt; 4.8 Runtime Configuration and Internationalization(実行時コンフィギュレーションと国際化)</t>
        </is>
      </c>
      <c r="F23" s="17" t="inlineStr">
        <is>
          <t>SRC-SWEBOK-V4A</t>
        </is>
      </c>
      <c r="G23" s="17" t="inlineStr">
        <is>
          <t>要原記録確認</t>
        </is>
      </c>
      <c r="H23" s="17" t="inlineStr">
        <is>
          <t>未記録</t>
        </is>
      </c>
      <c r="I23" s="17" t="inlineStr">
        <is>
          <t>未記録</t>
        </is>
      </c>
      <c r="J23" s="17" t="inlineStr">
        <is>
          <t>SWEBOKは設定の遅延バインディングと、文字列・文字集合をコードから分離して多言語化する国際化対応を構築技術として明示するが、チェックリストにはハードコードされた設定値・表示文字列を検出する項目がない。</t>
        </is>
      </c>
      <c r="K23" s="17" t="inlineStr">
        <is>
          <t>旧ブックの「追加承認」表記を移行。承認者・日付を推測で補完しない。</t>
        </is>
      </c>
    </row>
    <row r="24">
      <c r="A24" s="17" t="inlineStr">
        <is>
          <t>CON-904</t>
        </is>
      </c>
      <c r="B24" s="17" t="inlineStr">
        <is>
          <t>04_実装</t>
        </is>
      </c>
      <c r="C24" s="17" t="inlineStr">
        <is>
          <t>3.8 Cross-Platform Development / 4.15 Platform Standards(クロスプラットフォーム開発とプラットフォーム標準)</t>
        </is>
      </c>
      <c r="D24" s="17" t="inlineStr">
        <is>
          <t>プラットフォーム依存コードが分離されている</t>
        </is>
      </c>
      <c r="E24" s="17" t="inlineStr">
        <is>
          <t>swebok-v4a.pdf ch04 Software Construction &gt; 3.8 Cross-Platform Development / 4.15 Platform Standards(クロスプラットフォーム開発とプラットフォーム標準)</t>
        </is>
      </c>
      <c r="F24" s="17" t="inlineStr">
        <is>
          <t>SRC-SWEBOK-V4A</t>
        </is>
      </c>
      <c r="G24" s="17" t="inlineStr">
        <is>
          <t>要原記録確認</t>
        </is>
      </c>
      <c r="H24" s="17" t="inlineStr">
        <is>
          <t>未記録</t>
        </is>
      </c>
      <c r="I24" s="17" t="inlineStr">
        <is>
          <t>未記録</t>
        </is>
      </c>
      <c r="J24" s="17" t="inlineStr">
        <is>
          <t>SWEBOKは複数プラットフォーム対応・移植性のためのプラットフォーム標準(POSIX, HTML5等)準拠を独立トピックとして扱うが、チェックリストには移植性・プラットフォーム依存コードの分離を確認する項目がない。複数環境をターゲットとする開発では重要。</t>
        </is>
      </c>
      <c r="K24" s="17" t="inlineStr">
        <is>
          <t>旧ブックの「追加承認」表記を移行。承認者・日付を推測で補完しない。</t>
        </is>
      </c>
    </row>
    <row r="25">
      <c r="A25" s="17" t="inlineStr">
        <is>
          <t>TST-901</t>
        </is>
      </c>
      <c r="B25" s="17" t="inlineStr">
        <is>
          <t>05_テスト</t>
        </is>
      </c>
      <c r="C25" s="17" t="inlineStr">
        <is>
          <t>3.5 Usage-Based Techniques / 4.1.4-4.1.5 運用プロファイルに基づく信頼性評価と信頼性成長モデル</t>
        </is>
      </c>
      <c r="D25" s="17" t="inlineStr">
        <is>
          <t>運用プロファイルに基づくテストの要否が判断されている</t>
        </is>
      </c>
      <c r="E25" s="17" t="inlineStr">
        <is>
          <t>swebok-v4a.pdf ch05 Software Testing &gt; 3.5 Usage-Based Techniques / 4.1.4-4.1.5 運用プロファイルに基づく信頼性評価と信頼性成長モデル</t>
        </is>
      </c>
      <c r="F25" s="17" t="inlineStr">
        <is>
          <t>SRC-SWEBOK-V4A</t>
        </is>
      </c>
      <c r="G25" s="17" t="inlineStr">
        <is>
          <t>要原記録確認</t>
        </is>
      </c>
      <c r="H25" s="17" t="inlineStr">
        <is>
          <t>未記録</t>
        </is>
      </c>
      <c r="I25" s="17" t="inlineStr">
        <is>
          <t>未記録</t>
        </is>
      </c>
      <c r="J25" s="17" t="inlineStr">
        <is>
          <t>SWEBOKは利用ベース技法を独立トピックとして扱い、統計的な信頼性推定をテスト停止判断・リリース成熟度判断の根拠と位置付けているが、チェックリストには実際の利用実態(運用プロファイル)を反映したテストや信頼性推定に関する項目がない。利用頻度の高い機能に欠陥が残ると、テスト網羅率が高くても体感品質は大きく損なわれる。</t>
        </is>
      </c>
      <c r="K25" s="17" t="inlineStr">
        <is>
          <t>旧ブックの「追加承認」表記を移行。承認者・日付を推測で補完しない。</t>
        </is>
      </c>
    </row>
    <row r="26">
      <c r="A26" s="17" t="inlineStr">
        <is>
          <t>TST-902</t>
        </is>
      </c>
      <c r="B26" s="17" t="inlineStr">
        <is>
          <t>05_テスト</t>
        </is>
      </c>
      <c r="C26" s="17" t="inlineStr">
        <is>
          <t>1.2.10 Testability(テスト容易性)</t>
        </is>
      </c>
      <c r="D26" s="17" t="inlineStr">
        <is>
          <t>テスト容易性の要求・制約が計画で扱われている</t>
        </is>
      </c>
      <c r="E26" s="17" t="inlineStr">
        <is>
          <t>swebok-v4a.pdf ch05 Software Testing &gt; 1.2.10 Testability(テスト容易性)</t>
        </is>
      </c>
      <c r="F26" s="17" t="inlineStr">
        <is>
          <t>SRC-SWEBOK-V4A</t>
        </is>
      </c>
      <c r="G26" s="17" t="inlineStr">
        <is>
          <t>要原記録確認</t>
        </is>
      </c>
      <c r="H26" s="17" t="inlineStr">
        <is>
          <t>未記録</t>
        </is>
      </c>
      <c r="I26" s="17" t="inlineStr">
        <is>
          <t>未記録</t>
        </is>
      </c>
      <c r="J26" s="17" t="inlineStr">
        <is>
          <t>SWEBOKはテスト容易性(カバレッジ基準の満たしやすさ、欠陥があった場合にテストが失敗を顕在化させる確率)を主要課題として挙げるが、チェックリストにはSUT側のテスト容易性を計画・設計段階で評価・要求する項目がない。テスト容易性が低いままではテスト工数が膨張し、自動化も頓挫する。</t>
        </is>
      </c>
      <c r="K26" s="17" t="inlineStr">
        <is>
          <t>旧ブックの「追加承認」表記を移行。承認者・日付を推測で補完しない。</t>
        </is>
      </c>
    </row>
    <row r="27">
      <c r="A27" s="17" t="inlineStr">
        <is>
          <t>TST-903</t>
        </is>
      </c>
      <c r="B27" s="17" t="inlineStr">
        <is>
          <t>05_テスト</t>
        </is>
      </c>
      <c r="C27" s="17" t="inlineStr">
        <is>
          <t>2.2.1 Conformance Testing / 2.2.2 Compliance Testing(標準・法規制への適合テスト)</t>
        </is>
      </c>
      <c r="D27" s="17" t="inlineStr">
        <is>
          <t>標準・法規制への適合テストの要否が判断されている</t>
        </is>
      </c>
      <c r="E27" s="17" t="inlineStr">
        <is>
          <t>swebok-v4a.pdf ch05 Software Testing &gt; 2.2.1 Conformance Testing / 2.2.2 Compliance Testing(標準・法規制への適合テスト)</t>
        </is>
      </c>
      <c r="F27" s="17" t="inlineStr">
        <is>
          <t>SRC-SWEBOK-V4A</t>
        </is>
      </c>
      <c r="G27" s="17" t="inlineStr">
        <is>
          <t>要原記録確認</t>
        </is>
      </c>
      <c r="H27" s="17" t="inlineStr">
        <is>
          <t>未記録</t>
        </is>
      </c>
      <c r="I27" s="17" t="inlineStr">
        <is>
          <t>未記録</t>
        </is>
      </c>
      <c r="J27" s="17" t="inlineStr">
        <is>
          <t>SWEBOKは標準・規格への適合(conformance)と法規制への準拠(compliance)を独立したテスト目的として挙げ、外部規制機関により強制される場合があるとする。チェックリストはテストデータの規程遵守(TST-504)はカバーするが、SUT自体の規格・法規制適合を検証するテストの要否判断がない。</t>
        </is>
      </c>
      <c r="K27" s="17" t="inlineStr">
        <is>
          <t>旧ブックの「追加承認」表記を移行。承認者・日付を推測で補完しない。</t>
        </is>
      </c>
    </row>
    <row r="28">
      <c r="A28" s="17" t="inlineStr">
        <is>
          <t>TST-904</t>
        </is>
      </c>
      <c r="B28" s="17" t="inlineStr">
        <is>
          <t>05_テスト</t>
        </is>
      </c>
      <c r="C28" s="17" t="inlineStr">
        <is>
          <t>2.2.4 Alpha and Beta Testing / 7.2 Testing Through Crowdsourcing(実利用者による試行)</t>
        </is>
      </c>
      <c r="D28" s="17" t="inlineStr">
        <is>
          <t>アルファ/ベータテスト等の実利用者試行の要否が検討されている</t>
        </is>
      </c>
      <c r="E28" s="17" t="inlineStr">
        <is>
          <t>swebok-v4a.pdf ch05 Software Testing &gt; 2.2.4 Alpha and Beta Testing / 7.2 Testing Through Crowdsourcing(実利用者による試行)</t>
        </is>
      </c>
      <c r="F28" s="17" t="inlineStr">
        <is>
          <t>SRC-SWEBOK-V4A</t>
        </is>
      </c>
      <c r="G28" s="17" t="inlineStr">
        <is>
          <t>要原記録確認</t>
        </is>
      </c>
      <c r="H28" s="17" t="inlineStr">
        <is>
          <t>未記録</t>
        </is>
      </c>
      <c r="I28" s="17" t="inlineStr">
        <is>
          <t>未記録</t>
        </is>
      </c>
      <c r="J28" s="17" t="inlineStr">
        <is>
          <t>SWEBOKはリリース前に選抜ユーザー(アルファ)・代表ユーザー(ベータ)へ試行提供して問題を報告させる手法と、クラウドテスティングによる多様な環境・利用者での検証を挙げるが、チェックリストには社内テストの外側で実利用者に触れさせる活動の検討項目がない。</t>
        </is>
      </c>
      <c r="K28" s="17" t="inlineStr">
        <is>
          <t>旧ブックの「追加承認」表記を移行。承認者・日付を推測で補完しない。</t>
        </is>
      </c>
    </row>
    <row r="29">
      <c r="A29" s="17" t="inlineStr">
        <is>
          <t>TST-905</t>
        </is>
      </c>
      <c r="B29" s="17" t="inlineStr">
        <is>
          <t>05_テスト</t>
        </is>
      </c>
      <c r="C29" s="17" t="inlineStr">
        <is>
          <t>8.1 Testing Tool Support and Selection(テストツールの選定)</t>
        </is>
      </c>
      <c r="D29" s="17" t="inlineStr">
        <is>
          <t>テストツールの選定根拠が記録されている</t>
        </is>
      </c>
      <c r="E29" s="17" t="inlineStr">
        <is>
          <t>swebok-v4a.pdf ch05 Software Testing &gt; 8.1 Testing Tool Support and Selection(テストツールの選定)</t>
        </is>
      </c>
      <c r="F29" s="17" t="inlineStr">
        <is>
          <t>SRC-SWEBOK-V4A</t>
        </is>
      </c>
      <c r="G29" s="17" t="inlineStr">
        <is>
          <t>要原記録確認</t>
        </is>
      </c>
      <c r="H29" s="17" t="inlineStr">
        <is>
          <t>未記録</t>
        </is>
      </c>
      <c r="I29" s="17" t="inlineStr">
        <is>
          <t>未記録</t>
        </is>
      </c>
      <c r="J29" s="17" t="inlineStr">
        <is>
          <t>SWEBOKは第8トピックでツール選定を独立に扱い、適切なツール選定がテストの効率と効果に大きく影響するとして選定ガイダンスの重要性を述べるが、チェックリストではTST-009が自動化ツール名の記載を求めるにとどまり、選定の根拠や適合性評価を確認する項目がない。</t>
        </is>
      </c>
      <c r="K29" s="17" t="inlineStr">
        <is>
          <t>旧ブックの「追加承認」表記を移行。承認者・日付を推測で補完しない。</t>
        </is>
      </c>
    </row>
    <row r="30">
      <c r="A30" s="17" t="inlineStr">
        <is>
          <t>OPS-901</t>
        </is>
      </c>
      <c r="B30" s="17" t="inlineStr">
        <is>
          <t>06_運用</t>
        </is>
      </c>
      <c r="C30" s="17" t="inlineStr">
        <is>
          <t>2.1.1 Operations Plan — 運用の財務管理・予算・コスト見積もり(financial management, budgets and timescales, estimate of operations and maintenance costs)</t>
        </is>
      </c>
      <c r="D30" s="17" t="inlineStr">
        <is>
          <t>運用コストの見積もりと予算計画がある</t>
        </is>
      </c>
      <c r="E30" s="17" t="inlineStr">
        <is>
          <t>swebok-v4a.pdf ch06 SE Operations &gt; 2.1.1 Operations Plan — 運用の財務管理・予算・コスト見積もり(financial management, budgets and timescales, estimate of operations and maintenance costs)</t>
        </is>
      </c>
      <c r="F30" s="17" t="inlineStr">
        <is>
          <t>SRC-SWEBOK-V4A</t>
        </is>
      </c>
      <c r="G30" s="17" t="inlineStr">
        <is>
          <t>要原記録確認</t>
        </is>
      </c>
      <c r="H30" s="17" t="inlineStr">
        <is>
          <t>未記録</t>
        </is>
      </c>
      <c r="I30" s="17" t="inlineStr">
        <is>
          <t>未記録</t>
        </is>
      </c>
      <c r="J30" s="17" t="inlineStr">
        <is>
          <t>SWEBOK は運用計画に運用・保守コストの見積もりと予算・財務管理を含めることを明示的に求めている。運用フェーズは開発より長期にわたるため、コスト計画がないとクラウド費用の想定外増大や増強予算の未確保で運用が破綻する。</t>
        </is>
      </c>
      <c r="K30" s="17" t="inlineStr">
        <is>
          <t>旧ブックの「追加承認」表記を移行。承認者・日付を推測で補完しない。</t>
        </is>
      </c>
    </row>
    <row r="31">
      <c r="A31" s="17" t="inlineStr">
        <is>
          <t>OPS-902</t>
        </is>
      </c>
      <c r="B31" s="17" t="inlineStr">
        <is>
          <t>06_運用</t>
        </is>
      </c>
      <c r="C31" s="17" t="inlineStr">
        <is>
          <t>2.6 Software and Data Safety, Security, Integrity, Protection, and Controls — 情報セキュリティリスクアセスメントとポリシー・教育(security risk assessment, information security policy, staff awareness/training)</t>
        </is>
      </c>
      <c r="D31" s="17" t="inlineStr">
        <is>
          <t>情報セキュリティリスクアセスメントとポリシー・教育の枠組みがある</t>
        </is>
      </c>
      <c r="E31" s="17" t="inlineStr">
        <is>
          <t>swebok-v4a.pdf ch06 SE Operations &gt; 2.6 Software and Data Safety, Security, Integrity, Protection, and Controls — 情報セキュリティリスクアセスメントとポリシー・教育(security risk assessment, information security policy, staff awareness/training)</t>
        </is>
      </c>
      <c r="F31" s="17" t="inlineStr">
        <is>
          <t>SRC-SWEBOK-V4A</t>
        </is>
      </c>
      <c r="G31" s="17" t="inlineStr">
        <is>
          <t>要原記録確認</t>
        </is>
      </c>
      <c r="H31" s="17" t="inlineStr">
        <is>
          <t>未記録</t>
        </is>
      </c>
      <c r="I31" s="17" t="inlineStr">
        <is>
          <t>未記録</t>
        </is>
      </c>
      <c r="J31" s="17" t="inlineStr">
        <is>
          <t>SWEBOK は情報の機密性・可用性に対するリスクアセスメントの実施と、経営層によるセキュリティポリシーの策定・周知・要員教育を運用エンジニアが徹底すべき統制として列挙している。既存項目は個別の技術統制(権限・パッチ・ログ)をカバーするが、リスク評価とポリシー・教育という上流の枠組みが欠けている。</t>
        </is>
      </c>
      <c r="K31" s="17" t="inlineStr">
        <is>
          <t>旧ブックの「追加承認」表記を移行。承認者・日付を推測で補完しない。</t>
        </is>
      </c>
    </row>
    <row r="32">
      <c r="A32" s="17" t="inlineStr">
        <is>
          <t>OPS-903</t>
        </is>
      </c>
      <c r="B32" s="17" t="inlineStr">
        <is>
          <t>06_運用</t>
        </is>
      </c>
      <c r="C32" s="17" t="inlineStr">
        <is>
          <t>4.3 Monitor, Measure, Track, and Review — 承認外の構成変更の検知(configuration changes unrelated to approved deployment tasks)</t>
        </is>
      </c>
      <c r="D32" s="17" t="inlineStr">
        <is>
          <t>承認外の構成変更(構成ドリフト)を検知する仕組みがある</t>
        </is>
      </c>
      <c r="E32" s="17" t="inlineStr">
        <is>
          <t>swebok-v4a.pdf ch06 SE Operations &gt; 4.3 Monitor, Measure, Track, and Review — 承認外の構成変更の検知(configuration changes unrelated to approved deployment tasks)</t>
        </is>
      </c>
      <c r="F32" s="17" t="inlineStr">
        <is>
          <t>SRC-SWEBOK-V4A</t>
        </is>
      </c>
      <c r="G32" s="17" t="inlineStr">
        <is>
          <t>要原記録確認</t>
        </is>
      </c>
      <c r="H32" s="17" t="inlineStr">
        <is>
          <t>未記録</t>
        </is>
      </c>
      <c r="I32" s="17" t="inlineStr">
        <is>
          <t>未記録</t>
        </is>
      </c>
      <c r="J32" s="17" t="inlineStr">
        <is>
          <t>SWEBOK はリアルタイムで把握すべき KPI の一つに「承認されたデプロイ作業と無関係な構成変更」を明示している。手動 hotfix や不正変更による構成ドリフトは、IaC の単一ソース原則を破壊し、再現不能な障害やセキュリティ侵害の兆候見逃しにつながるが、既存項目に対応するチェックがない。</t>
        </is>
      </c>
      <c r="K32" s="17" t="inlineStr">
        <is>
          <t>旧ブックの「追加承認」表記を移行。承認者・日付を推測で補完しない。</t>
        </is>
      </c>
    </row>
    <row r="33">
      <c r="A33" s="17" t="inlineStr">
        <is>
          <t>OPS-904</t>
        </is>
      </c>
      <c r="B33" s="17" t="inlineStr">
        <is>
          <t>06_運用</t>
        </is>
      </c>
      <c r="C33" s="17" t="inlineStr">
        <is>
          <t>5.2 Operational Risk Management — 継続的な運用リスク管理とリスク許容度の合意(continuous risk management, agreed-upon level of risk tolerance)</t>
        </is>
      </c>
      <c r="D33" s="17" t="inlineStr">
        <is>
          <t>運用リスクが継続的に管理され、リスク許容度が関係者と合意されている</t>
        </is>
      </c>
      <c r="E33" s="17" t="inlineStr">
        <is>
          <t>swebok-v4a.pdf ch06 SE Operations &gt; 5.2 Operational Risk Management — 継続的な運用リスク管理とリスク許容度の合意(continuous risk management, agreed-upon level of risk tolerance)</t>
        </is>
      </c>
      <c r="F33" s="17" t="inlineStr">
        <is>
          <t>SRC-SWEBOK-V4A</t>
        </is>
      </c>
      <c r="G33" s="17" t="inlineStr">
        <is>
          <t>要原記録確認</t>
        </is>
      </c>
      <c r="H33" s="17" t="inlineStr">
        <is>
          <t>未記録</t>
        </is>
      </c>
      <c r="I33" s="17" t="inlineStr">
        <is>
          <t>未記録</t>
        </is>
      </c>
      <c r="J33" s="17" t="inlineStr">
        <is>
          <t>SWEBOK は可用性・スケーラビリティ・セキュリティに影響するリスクを継続的に監視する運用リスク管理と、プロダクトオーナーらとのリスク許容度の合意、サービスのリスクプロファイルに応じたデプロイ方式の選択を独立トピックとして扱っている。既存項目はリリース単位のリスク評価(OPS-076)のみで、運用全体の継続的リスク管理が欠けている。</t>
        </is>
      </c>
      <c r="K33" s="17" t="inlineStr">
        <is>
          <t>旧ブックの「追加承認」表記を移行。承認者・日付を推測で補完しない。</t>
        </is>
      </c>
    </row>
    <row r="34">
      <c r="A34" s="17" t="inlineStr">
        <is>
          <t>MNT-901</t>
        </is>
      </c>
      <c r="B34" s="17" t="inlineStr">
        <is>
          <t>07_保守</t>
        </is>
      </c>
      <c r="C34" s="17" t="inlineStr">
        <is>
          <t>2.3 / 2.4 保守区分別のコスト・工数の傾向分析(cost trends by categories of maintenance)</t>
        </is>
      </c>
      <c r="D34" s="17" t="inlineStr">
        <is>
          <t>保守工数・コストが保守区分別に集計され傾向分析されている</t>
        </is>
      </c>
      <c r="E34" s="17" t="inlineStr">
        <is>
          <t>swebok-v4a.pdf ch07 Software Maintenance &gt; 2.3 / 2.4 保守区分別のコスト・工数の傾向分析(cost trends by categories of maintenance)</t>
        </is>
      </c>
      <c r="F34" s="17" t="inlineStr">
        <is>
          <t>SRC-SWEBOK-V4A</t>
        </is>
      </c>
      <c r="G34" s="17" t="inlineStr">
        <is>
          <t>要原記録確認</t>
        </is>
      </c>
      <c r="H34" s="17" t="inlineStr">
        <is>
          <t>未記録</t>
        </is>
      </c>
      <c r="I34" s="17" t="inlineStr">
        <is>
          <t>未記録</t>
        </is>
      </c>
      <c r="J34" s="17" t="inlineStr">
        <is>
          <t>SWEBOK は区分別の工数・コスト傾向を顧客に提示することが保守費の使途説明と見積り精度向上の基盤になると強調する。既存項目は区分付与(MNT-021)と測定項目定義(MNT-160)に留まり、区分別の集計・傾向分析までは要求していない。</t>
        </is>
      </c>
      <c r="K34" s="17" t="inlineStr">
        <is>
          <t>旧ブックの「追加承認」表記を移行。承認者・日付を推測で補完しない。</t>
        </is>
      </c>
    </row>
    <row r="35">
      <c r="A35" s="17" t="inlineStr">
        <is>
          <t>MNT-902</t>
        </is>
      </c>
      <c r="B35" s="17" t="inlineStr">
        <is>
          <t>07_保守</t>
        </is>
      </c>
      <c r="C35" s="17" t="inlineStr">
        <is>
          <t>3.2.2 Planning Activities のリリース/バージョン計画(利用者との内容合意・競合特定・代替案)</t>
        </is>
      </c>
      <c r="D35" s="17" t="inlineStr">
        <is>
          <t>リリース/バージョン計画で内容の利用者合意と変更競合の調整が行われている</t>
        </is>
      </c>
      <c r="E35" s="17" t="inlineStr">
        <is>
          <t>swebok-v4a.pdf ch07 Software Maintenance &gt; 3.2.2 Planning Activities のリリース/バージョン計画(利用者との内容合意・競合特定・代替案)</t>
        </is>
      </c>
      <c r="F35" s="17" t="inlineStr">
        <is>
          <t>SRC-SWEBOK-V4A</t>
        </is>
      </c>
      <c r="G35" s="17" t="inlineStr">
        <is>
          <t>要原記録確認</t>
        </is>
      </c>
      <c r="H35" s="17" t="inlineStr">
        <is>
          <t>未記録</t>
        </is>
      </c>
      <c r="I35" s="17" t="inlineStr">
        <is>
          <t>未記録</t>
        </is>
      </c>
      <c r="J35" s="17" t="inlineStr">
        <is>
          <t>SWEBOK はリリース計画の活動として、個別 MR の提供可能時期の収集、リリース内容の利用者合意、潜在的競合の特定と代替案作成を明示する。既存項目は切戻し手順(MNT-122)と MR-リリース追跡(MNT-121)をカバーするが、リリース内容の合意形成プロセスは未カバー。</t>
        </is>
      </c>
      <c r="K35" s="17" t="inlineStr">
        <is>
          <t>旧ブックの「追加承認」表記を移行。承認者・日付を推測で補完しない。</t>
        </is>
      </c>
    </row>
    <row r="36">
      <c r="A36" s="17" t="inlineStr">
        <is>
          <t>MNT-903</t>
        </is>
      </c>
      <c r="B36" s="17" t="inlineStr">
        <is>
          <t>07_保守</t>
        </is>
      </c>
      <c r="C36" s="17" t="inlineStr">
        <is>
          <t>4.4 Continuous Delivery / Continuous Deployment(リリース・デプロイの自動化)</t>
        </is>
      </c>
      <c r="D36" s="17" t="inlineStr">
        <is>
          <t>ビルド・リリース・デプロイの自動化状況が把握され、方針が定義されている</t>
        </is>
      </c>
      <c r="E36" s="17" t="inlineStr">
        <is>
          <t>swebok-v4a.pdf ch07 Software Maintenance &gt; 4.4 Continuous Delivery / Continuous Deployment(リリース・デプロイの自動化)</t>
        </is>
      </c>
      <c r="F36" s="17" t="inlineStr">
        <is>
          <t>SRC-SWEBOK-V4A</t>
        </is>
      </c>
      <c r="G36" s="17" t="inlineStr">
        <is>
          <t>要原記録確認</t>
        </is>
      </c>
      <c r="H36" s="17" t="inlineStr">
        <is>
          <t>未記録</t>
        </is>
      </c>
      <c r="I36" s="17" t="inlineStr">
        <is>
          <t>未記録</t>
        </is>
      </c>
      <c r="J36" s="17" t="inlineStr">
        <is>
          <t>SWEBOK v4 は CI に加え、継続的デリバリー・継続的デプロイメントによる配布・インストールの自動化を保守の主要技法として1トピックを割いて扱う。既存項目は CI でのテスト実行(MNT-103)と手順書の存在(MNT-122)のみで、ビルド〜デプロイの自動化状況は未カバー。</t>
        </is>
      </c>
      <c r="K36" s="17" t="inlineStr">
        <is>
          <t>旧ブックの「追加承認」表記を移行。承認者・日付を推測で補完しない。</t>
        </is>
      </c>
    </row>
    <row r="37">
      <c r="A37" s="17" t="inlineStr">
        <is>
          <t>MNT-904</t>
        </is>
      </c>
      <c r="B37" s="17" t="inlineStr">
        <is>
          <t>07_保守</t>
        </is>
      </c>
      <c r="C37" s="17" t="inlineStr">
        <is>
          <t>1.2 Nature of Software Maintenance(稼働ソフトウェアのサーベイランス: 容量・継続性・可用性の監視)</t>
        </is>
      </c>
      <c r="D37" s="17" t="inlineStr">
        <is>
          <t>稼働ソフトウェアの監視(容量・継続性・可用性)結果が保守活動に接続されている</t>
        </is>
      </c>
      <c r="E37" s="17" t="inlineStr">
        <is>
          <t>swebok-v4a.pdf ch07 Software Maintenance &gt; 1.2 Nature of Software Maintenance(稼働ソフトウェアのサーベイランス: 容量・継続性・可用性の監視)</t>
        </is>
      </c>
      <c r="F37" s="17" t="inlineStr">
        <is>
          <t>SRC-SWEBOK-V4A</t>
        </is>
      </c>
      <c r="G37" s="17" t="inlineStr">
        <is>
          <t>要原記録確認</t>
        </is>
      </c>
      <c r="H37" s="17" t="inlineStr">
        <is>
          <t>未記録</t>
        </is>
      </c>
      <c r="I37" s="17" t="inlineStr">
        <is>
          <t>未記録</t>
        </is>
      </c>
      <c r="J37" s="17" t="inlineStr">
        <is>
          <t>SWEBOK は保守の性質として「ソフトウェアは容量・継続性・可用性について監視される」ことを明記し、post-delivery 活動に software surveillance を含める。既存項目は測定(MNT-160)で信頼性指標に触れるのみで、稼働監視と保守(MR 起票)の接続が未カバー。</t>
        </is>
      </c>
      <c r="K37" s="17" t="inlineStr">
        <is>
          <t>旧ブックの「追加承認」表記を移行。承認者・日付を推測で補完しない。</t>
        </is>
      </c>
    </row>
    <row r="38">
      <c r="A38" s="17" t="inlineStr">
        <is>
          <t>SCM-901</t>
        </is>
      </c>
      <c r="B38" s="17" t="inlineStr">
        <is>
          <t>08_構成管理</t>
        </is>
      </c>
      <c r="C38" s="17" t="inlineStr">
        <is>
          <t>2.6 Software Libraries — ライブラリのバックアップ設備(backup facilities)</t>
        </is>
      </c>
      <c r="D38" s="17" t="inlineStr">
        <is>
          <t>リポジトリ・アーティファクトリポジトリのバックアップと復旧手段が定義されているか</t>
        </is>
      </c>
      <c r="E38" s="17" t="inlineStr">
        <is>
          <t>swebok-v4a.pdf ch08 Software Configuration Management &gt; 2.6 Software Libraries — ライブラリのバックアップ設備(backup facilities)</t>
        </is>
      </c>
      <c r="F38" s="17" t="inlineStr">
        <is>
          <t>SRC-SWEBOK-V4A</t>
        </is>
      </c>
      <c r="G38" s="17" t="inlineStr">
        <is>
          <t>要原記録確認</t>
        </is>
      </c>
      <c r="H38" s="17" t="inlineStr">
        <is>
          <t>未記録</t>
        </is>
      </c>
      <c r="I38" s="17" t="inlineStr">
        <is>
          <t>未記録</t>
        </is>
      </c>
      <c r="J38" s="17" t="inlineStr">
        <is>
          <t>SWEBOKはアクセス制御と並んでバックアップ設備をライブラリ管理のセキュリティの重要側面と明記するが、チェックリストには権限(SCM-104/161)の項目しかなく、リポジトリ・成果物庫の喪失に対する備えを確認する項目がない。ホスティング障害や誤削除でソース・成果物・履歴を失うと復旧不能になる。</t>
        </is>
      </c>
      <c r="K38" s="17" t="inlineStr">
        <is>
          <t>旧ブックの「追加承認」表記を移行。承認者・日付を推測で補完しない。</t>
        </is>
      </c>
    </row>
    <row r="39">
      <c r="A39" s="17" t="inlineStr">
        <is>
          <t>SCM-902</t>
        </is>
      </c>
      <c r="B39" s="17" t="inlineStr">
        <is>
          <t>08_構成管理</t>
        </is>
      </c>
      <c r="C39" s="17" t="inlineStr">
        <is>
          <t>6.2 Software Release Management — 配布状況の追跡(distribution tracking)</t>
        </is>
      </c>
      <c r="D39" s="17" t="inlineStr">
        <is>
          <t>配布先ごとの導入バージョンが追跡できるか(複数の顧客・環境に配布する場合)</t>
        </is>
      </c>
      <c r="E39" s="17" t="inlineStr">
        <is>
          <t>swebok-v4a.pdf ch08 Software Configuration Management &gt; 6.2 Software Release Management — 配布状況の追跡(distribution tracking)</t>
        </is>
      </c>
      <c r="F39" s="17" t="inlineStr">
        <is>
          <t>SRC-SWEBOK-V4A</t>
        </is>
      </c>
      <c r="G39" s="17" t="inlineStr">
        <is>
          <t>要原記録確認</t>
        </is>
      </c>
      <c r="H39" s="17" t="inlineStr">
        <is>
          <t>未記録</t>
        </is>
      </c>
      <c r="I39" s="17" t="inlineStr">
        <is>
          <t>未記録</t>
        </is>
      </c>
      <c r="J39" s="17" t="inlineStr">
        <is>
          <t>SWEBOKは「どの顧客・対象システムにどの版を配布したかの追跡」が必要な場合(新規発見問題の顧客通知義務等)を明記するが、チェックリストは通知チャネル(SCM-149)のみで、配布先と版の対応記録を確認する項目がない。追跡がないと重大欠陥・脆弱性の影響顧客を特定できない。</t>
        </is>
      </c>
      <c r="K39" s="17" t="inlineStr">
        <is>
          <t>旧ブックの「追加承認」表記を移行。承認者・日付を推測で補完しない。</t>
        </is>
      </c>
    </row>
    <row r="40">
      <c r="A40" s="17" t="inlineStr">
        <is>
          <t>SCM-903</t>
        </is>
      </c>
      <c r="B40" s="17" t="inlineStr">
        <is>
          <t>08_構成管理</t>
        </is>
      </c>
      <c r="C40" s="17" t="inlineStr">
        <is>
          <t>1.3.3 Tool Selection and Implementation — ツール移行性(リポジトリの履歴を保った移行)</t>
        </is>
      </c>
      <c r="D40" s="17" t="inlineStr">
        <is>
          <t>主要SCMツールからのデータ移行性(履歴・課題・成果物のエクスポート可否)が確認されているか</t>
        </is>
      </c>
      <c r="E40" s="17" t="inlineStr">
        <is>
          <t>swebok-v4a.pdf ch08 Software Configuration Management &gt; 1.3.3 Tool Selection and Implementation — ツール移行性(リポジトリの履歴を保った移行)</t>
        </is>
      </c>
      <c r="F40" s="17" t="inlineStr">
        <is>
          <t>SRC-SWEBOK-V4A</t>
        </is>
      </c>
      <c r="G40" s="17" t="inlineStr">
        <is>
          <t>要原記録確認</t>
        </is>
      </c>
      <c r="H40" s="17" t="inlineStr">
        <is>
          <t>未記録</t>
        </is>
      </c>
      <c r="I40" s="17" t="inlineStr">
        <is>
          <t>未記録</t>
        </is>
      </c>
      <c r="J40" s="17" t="inlineStr">
        <is>
          <t>SWEBOKのツール選定質問には「バージョン管理リポジトリをCIの完全な履歴を維持したまま他ツールへ移行できるか(Migration)」「将来の利用計画(Future)」が含まれるが、チェックリスト(SCM-162)は選定理由の記録に留まり、ロックイン・移行性の観点が確認されない。ツール更改時に履歴を失うと監査証跡と変更追跡が断絶する。</t>
        </is>
      </c>
      <c r="K40" s="17" t="inlineStr">
        <is>
          <t>旧ブックの「追加承認」表記を移行。承認者・日付を推測で補完しない。</t>
        </is>
      </c>
    </row>
    <row r="41">
      <c r="A41" s="17" t="inlineStr">
        <is>
          <t>MGT-901</t>
        </is>
      </c>
      <c r="B41" s="17" t="inlineStr">
        <is>
          <t>09_マネジメント</t>
        </is>
      </c>
      <c r="C41" s="17" t="inlineStr">
        <is>
          <t>1.1 Determination and Negotiation of Requirements(開始時の要求の決定と交渉)</t>
        </is>
      </c>
      <c r="D41" s="17" t="inlineStr">
        <is>
          <t>憲章の基礎となる要求の決定・交渉活動(要求レビューとステークホルダー間の合意)が実施され、結果が憲章等の初期文書に反映されている</t>
        </is>
      </c>
      <c r="E41" s="17" t="inlineStr">
        <is>
          <t>swebok-v4a.pdf ch09 SE Management &gt; 1.1 Determination and Negotiation of Requirements(開始時の要求の決定と交渉)</t>
        </is>
      </c>
      <c r="F41" s="17" t="inlineStr">
        <is>
          <t>SRC-SWEBOK-V4A</t>
        </is>
      </c>
      <c r="G41" s="17" t="inlineStr">
        <is>
          <t>要原記録確認</t>
        </is>
      </c>
      <c r="H41" s="17" t="inlineStr">
        <is>
          <t>未記録</t>
        </is>
      </c>
      <c r="I41" s="17" t="inlineStr">
        <is>
          <t>未記録</t>
        </is>
      </c>
      <c r="J41" s="17" t="inlineStr">
        <is>
          <t>SWEBOKは開始フェーズの中核活動として、ステークホルダー視点を考慮した要求のレビュー(引き出し・分析・仕様化・妥当性確認)と交渉を挙げるが、チェックリストは憲章の記載内容の確認に留まり、要求活動が実施されたこと自体の確認項目がない。</t>
        </is>
      </c>
      <c r="K41" s="17" t="inlineStr">
        <is>
          <t>旧ブックの「追加承認」表記を移行。承認者・日付を推測で補完しない。</t>
        </is>
      </c>
    </row>
    <row r="42">
      <c r="A42" s="17" t="inlineStr">
        <is>
          <t>MGT-902</t>
        </is>
      </c>
      <c r="B42" s="17" t="inlineStr">
        <is>
          <t>09_マネジメント</t>
        </is>
      </c>
      <c r="C42" s="17" t="inlineStr">
        <is>
          <t>2.5 Risk Management(機会=ポジティブリスクの扱い)</t>
        </is>
      </c>
      <c r="D42" s="17" t="inlineStr">
        <is>
          <t>脅威だけでなく機会(ポジティブリスク)も識別され、活用/強化等の対応方針が検討されている</t>
        </is>
      </c>
      <c r="E42" s="17" t="inlineStr">
        <is>
          <t>swebok-v4a.pdf ch09 SE Management &gt; 2.5 Risk Management(機会=ポジティブリスクの扱い)</t>
        </is>
      </c>
      <c r="F42" s="17" t="inlineStr">
        <is>
          <t>SRC-SWEBOK-V4A</t>
        </is>
      </c>
      <c r="G42" s="17" t="inlineStr">
        <is>
          <t>要原記録確認</t>
        </is>
      </c>
      <c r="H42" s="17" t="inlineStr">
        <is>
          <t>未記録</t>
        </is>
      </c>
      <c r="I42" s="17" t="inlineStr">
        <is>
          <t>未記録</t>
        </is>
      </c>
      <c r="J42" s="17" t="inlineStr">
        <is>
          <t>SWEBOK v4はリスクを「目的への不確実性の影響で、負(脅威)にも正(機会)にも働くもの」と定義するが、チェックリストは脅威側のみを扱い、機会の識別・活用の観点がない。</t>
        </is>
      </c>
      <c r="K42" s="17" t="inlineStr">
        <is>
          <t>旧ブックの「追加承認」表記を移行。承認者・日付を推測で補完しない。</t>
        </is>
      </c>
    </row>
    <row r="43">
      <c r="A43" s="17" t="inlineStr">
        <is>
          <t>MGT-903</t>
        </is>
      </c>
      <c r="B43" s="17" t="inlineStr">
        <is>
          <t>09_マネジメント</t>
        </is>
      </c>
      <c r="C43" s="17" t="inlineStr">
        <is>
          <t>4.2 Reviewing and Evaluating Performance(要員パフォーマンスの定期レビュー)</t>
        </is>
      </c>
      <c r="D43" s="17" t="inlineStr">
        <is>
          <t>要員・チームの状態(負荷、コンフリクト、スキル面の困難)を定期的に把握するレビューが計画・実施されている</t>
        </is>
      </c>
      <c r="E43" s="17" t="inlineStr">
        <is>
          <t>swebok-v4a.pdf ch09 SE Management &gt; 4.2 Reviewing and Evaluating Performance(要員パフォーマンスの定期レビュー)</t>
        </is>
      </c>
      <c r="F43" s="17" t="inlineStr">
        <is>
          <t>SRC-SWEBOK-V4A</t>
        </is>
      </c>
      <c r="G43" s="17" t="inlineStr">
        <is>
          <t>要原記録確認</t>
        </is>
      </c>
      <c r="H43" s="17" t="inlineStr">
        <is>
          <t>未記録</t>
        </is>
      </c>
      <c r="I43" s="17" t="inlineStr">
        <is>
          <t>未記録</t>
        </is>
      </c>
      <c r="J43" s="17" t="inlineStr">
        <is>
          <t>SWEBOKは手法・ツール・プロセスの評価と並んで、要員の定期的パフォーマンスレビューにより計画遵守の見込みや困難の兆候(メンバー間コンフリクト等)を把握することを求めるが、チェックリストはプロセス・ツール評価(MGT-111)のみでチーム・人の状態把握が欠けている。</t>
        </is>
      </c>
      <c r="K43" s="17" t="inlineStr">
        <is>
          <t>旧ブックの「追加承認」表記を移行。承認者・日付を推測で補完しない。</t>
        </is>
      </c>
    </row>
    <row r="44">
      <c r="A44" s="17" t="inlineStr">
        <is>
          <t>MGT-904</t>
        </is>
      </c>
      <c r="B44" s="17" t="inlineStr">
        <is>
          <t>09_マネジメント</t>
        </is>
      </c>
      <c r="C44" s="17" t="inlineStr">
        <is>
          <t>6.1 Establish and Sustain Measurement Commitment(測定コミットメントの確立と資源割り当て)</t>
        </is>
      </c>
      <c r="D44" s="17" t="inlineStr">
        <is>
          <t>測定活動への責任と資源の割り当てが公式に確立されている</t>
        </is>
      </c>
      <c r="E44" s="17" t="inlineStr">
        <is>
          <t>swebok-v4a.pdf ch09 SE Management &gt; 6.1 Establish and Sustain Measurement Commitment(測定コミットメントの確立と資源割り当て)</t>
        </is>
      </c>
      <c r="F44" s="17" t="inlineStr">
        <is>
          <t>SRC-SWEBOK-V4A</t>
        </is>
      </c>
      <c r="G44" s="17" t="inlineStr">
        <is>
          <t>要原記録確認</t>
        </is>
      </c>
      <c r="H44" s="17" t="inlineStr">
        <is>
          <t>未記録</t>
        </is>
      </c>
      <c r="I44" s="17" t="inlineStr">
        <is>
          <t>未記録</t>
        </is>
      </c>
      <c r="J44" s="17" t="inlineStr">
        <is>
          <t>ISO/IEC/IEEE 15939の最初のプロセスであり、SWEBOKは測定への公式なコミットメントと資源(責任者、資金、訓練、ツール)の割り当てを測定成功の必須要因とするが、チェックリスト(MGT-120〜124)は計画〜評価のみで、コミットメント・資源の確認項目がない。</t>
        </is>
      </c>
      <c r="K44" s="17" t="inlineStr">
        <is>
          <t>旧ブックの「追加承認」表記を移行。承認者・日付を推測で補完しない。</t>
        </is>
      </c>
    </row>
    <row r="45">
      <c r="A45" s="17" t="inlineStr">
        <is>
          <t>MGT-905</t>
        </is>
      </c>
      <c r="B45" s="17" t="inlineStr">
        <is>
          <t>09_マネジメント</t>
        </is>
      </c>
      <c r="C45" s="17" t="inlineStr">
        <is>
          <t>3.2 Software Acquisition and Supplier Contract Management(契約形態・知的財産・特別条項)</t>
        </is>
      </c>
      <c r="D45" s="17" t="inlineStr">
        <is>
          <t>供給者との契約に契約形態、知的財産の帰属、遅延時の扱いが明記されている</t>
        </is>
      </c>
      <c r="E45" s="17" t="inlineStr">
        <is>
          <t>swebok-v4a.pdf ch09 SE Management &gt; 3.2 Software Acquisition and Supplier Contract Management(契約形態・知的財産・特別条項)</t>
        </is>
      </c>
      <c r="F45" s="17" t="inlineStr">
        <is>
          <t>SRC-SWEBOK-V4A</t>
        </is>
      </c>
      <c r="G45" s="17" t="inlineStr">
        <is>
          <t>要原記録確認</t>
        </is>
      </c>
      <c r="H45" s="17" t="inlineStr">
        <is>
          <t>未記録</t>
        </is>
      </c>
      <c r="I45" s="17" t="inlineStr">
        <is>
          <t>未記録</t>
        </is>
      </c>
      <c r="J45" s="17" t="inlineStr">
        <is>
          <t>SWEBOKは契約タイプ(固定価格/T&amp;M/コストプラス等)の選択、遅延ペナルティ条項、知的財産(供給者の提供物と取得者の所有物の特定)、データセット取得の合意を供給者契約管理の要素として挙げるが、チェックリストの11カテゴリはこれら契約内容の確認を含まない。</t>
        </is>
      </c>
      <c r="K45" s="17" t="inlineStr">
        <is>
          <t>旧ブックの「追加承認」表記を移行。承認者・日付を推測で補完しない。</t>
        </is>
      </c>
    </row>
    <row r="46">
      <c r="A46" s="17" t="inlineStr">
        <is>
          <t>PRC-901</t>
        </is>
      </c>
      <c r="B46" s="17" t="inlineStr">
        <is>
          <t>10_プロセス</t>
        </is>
      </c>
      <c r="C46" s="17" t="inlineStr">
        <is>
          <t>2.9 Practical Considerations(測定・見積もりの精度と不確実性レベルの定義)</t>
        </is>
      </c>
      <c r="D46" s="17" t="inlineStr">
        <is>
          <t>見積もり・測定の精度と不確実性のレベルが定義されている</t>
        </is>
      </c>
      <c r="E46" s="17" t="inlineStr">
        <is>
          <t>swebok-v4a.pdf ch10 SE Process &gt; 2.9 Practical Considerations(測定・見積もりの精度と不確実性レベルの定義)</t>
        </is>
      </c>
      <c r="F46" s="17" t="inlineStr">
        <is>
          <t>SRC-SWEBOK-V4A</t>
        </is>
      </c>
      <c r="G46" s="17" t="inlineStr">
        <is>
          <t>要原記録確認</t>
        </is>
      </c>
      <c r="H46" s="17" t="inlineStr">
        <is>
          <t>未記録</t>
        </is>
      </c>
      <c r="I46" s="17" t="inlineStr">
        <is>
          <t>未記録</t>
        </is>
      </c>
      <c r="J46" s="17" t="inlineStr">
        <is>
          <t>SWEBOKは、プロセス定義時にメトリクス/測定の精度と不確実性のレベルを定義すべきであり、見積もり・測定の正確さが不確かならプロジェクトは成功しない可能性があると明言している。既存項目は定義の再現性(PRC-041)や見積もり比較(PRC-048)を扱うが、数値の精度・不確実性の明示は求めていない。</t>
        </is>
      </c>
      <c r="K46" s="17" t="inlineStr">
        <is>
          <t>旧ブックの「追加承認」表記を移行。承認者・日付を推測で補完しない。</t>
        </is>
      </c>
    </row>
    <row r="47">
      <c r="A47" s="17" t="inlineStr">
        <is>
          <t>PRC-902</t>
        </is>
      </c>
      <c r="B47" s="17" t="inlineStr">
        <is>
          <t>10_プロセス</t>
        </is>
      </c>
      <c r="C47" s="17" t="inlineStr">
        <is>
          <t>2.5 Development Life Cycle Models(大規模プロジェクト・ポートフォリオへのアジャイルのスケーリング)</t>
        </is>
      </c>
      <c r="D47" s="17" t="inlineStr">
        <is>
          <t>複数チーム・大規模案件でアジャイルを採用する場合、スケーリングの難しさが考慮されている</t>
        </is>
      </c>
      <c r="E47" s="17" t="inlineStr">
        <is>
          <t>swebok-v4a.pdf ch10 SE Process &gt; 2.5 Development Life Cycle Models(大規模プロジェクト・ポートフォリオへのアジャイルのスケーリング)</t>
        </is>
      </c>
      <c r="F47" s="17" t="inlineStr">
        <is>
          <t>SRC-SWEBOK-V4A</t>
        </is>
      </c>
      <c r="G47" s="17" t="inlineStr">
        <is>
          <t>要原記録確認</t>
        </is>
      </c>
      <c r="H47" s="17" t="inlineStr">
        <is>
          <t>未記録</t>
        </is>
      </c>
      <c r="I47" s="17" t="inlineStr">
        <is>
          <t>未記録</t>
        </is>
      </c>
      <c r="J47" s="17" t="inlineStr">
        <is>
          <t>SWEBOKは「大規模プロジェクトやポートフォリオへのアジャイルのスケールアップは依然として困難」と明記しているが、チェックリストには複数チーム・大規模案件でのアジャイル適用時の考慮を問う項目がない。単一チーム前提のプラクティスをそのまま大規模案件に持ち込むと調整不全が起きる。</t>
        </is>
      </c>
      <c r="K47" s="17" t="inlineStr">
        <is>
          <t>旧ブックの「追加承認」表記を移行。承認者・日付を推測で補完しない。</t>
        </is>
      </c>
    </row>
    <row r="48">
      <c r="A48" s="17" t="inlineStr">
        <is>
          <t>PRC-903</t>
        </is>
      </c>
      <c r="B48" s="17" t="inlineStr">
        <is>
          <t>10_プロセス</t>
        </is>
      </c>
      <c r="C48" s="17" t="inlineStr">
        <is>
          <t>2.6 The Management of SLCPs(段階は逐次とは限らず、ライフサイクル仕様は段階間の遷移を含む)</t>
        </is>
      </c>
      <c r="D48" s="17" t="inlineStr">
        <is>
          <t>ライフサイクル段階間の遷移(順序・後戻り・並行)が定義されている</t>
        </is>
      </c>
      <c r="E48" s="17" t="inlineStr">
        <is>
          <t>swebok-v4a.pdf ch10 SE Process &gt; 2.6 The Management of SLCPs(段階は逐次とは限らず、ライフサイクル仕様は段階間の遷移を含む)</t>
        </is>
      </c>
      <c r="F48" s="17" t="inlineStr">
        <is>
          <t>SRC-SWEBOK-V4A</t>
        </is>
      </c>
      <c r="G48" s="17" t="inlineStr">
        <is>
          <t>要原記録確認</t>
        </is>
      </c>
      <c r="H48" s="17" t="inlineStr">
        <is>
          <t>未記録</t>
        </is>
      </c>
      <c r="I48" s="17" t="inlineStr">
        <is>
          <t>未記録</t>
        </is>
      </c>
      <c r="J48" s="17" t="inlineStr">
        <is>
          <t>SWEBOKは、ライフサイクル段階は決して逐次的とは限らず、ライフサイクルの仕様には段階間の遷移を含めるべきと明記している。既存のPRC-015は各段階の開始・終了基準を求めるが、段階間の許容される遷移経路(後戻り・並行)の定義は求めていない。</t>
        </is>
      </c>
      <c r="K48" s="17" t="inlineStr">
        <is>
          <t>旧ブックの「追加承認」表記を移行。承認者・日付を推測で補完しない。</t>
        </is>
      </c>
    </row>
    <row r="49">
      <c r="A49" s="17" t="inlineStr">
        <is>
          <t>QUA-901</t>
        </is>
      </c>
      <c r="B49" s="17" t="inlineStr">
        <is>
          <t>12_品質保証</t>
        </is>
      </c>
      <c r="C49" s="17" t="inlineStr">
        <is>
          <t>3.1 Prepare for Quality Assurance — 供給者ソフトウェア・COTSへのSQA(調達・納入後サービスを含む)</t>
        </is>
      </c>
      <c r="D49" s="17" t="inlineStr">
        <is>
          <t>供給者ソフトウェア・COTS・OSS等の外部調達要素に対する品質保証活動が定義されているか</t>
        </is>
      </c>
      <c r="E49" s="17" t="inlineStr">
        <is>
          <t>swebok-v4a.pdf ch12 Software Quality &gt; 3.1 Prepare for Quality Assurance — 供給者ソフトウェア・COTSへのSQA(調達・納入後サービスを含む)</t>
        </is>
      </c>
      <c r="F49" s="17" t="inlineStr">
        <is>
          <t>SRC-SWEBOK-V4A</t>
        </is>
      </c>
      <c r="G49" s="17" t="inlineStr">
        <is>
          <t>要原記録確認</t>
        </is>
      </c>
      <c r="H49" s="17" t="inlineStr">
        <is>
          <t>未記録</t>
        </is>
      </c>
      <c r="I49" s="17" t="inlineStr">
        <is>
          <t>未記録</t>
        </is>
      </c>
      <c r="J49" s="17" t="inlineStr">
        <is>
          <t>SWEBOKはSQAPが供給者ソフトウェアの調達、COTS導入、納入後サービスといった活動へのSQAも扱うべきと明記し、評価コストも外注供給者に及ぶとする。外部調達部分は自社プロセスの外にあり、確認を怠ると品質保証の空白地帯のままシステムに組み込まれる。</t>
        </is>
      </c>
      <c r="K49" s="17" t="inlineStr">
        <is>
          <t>旧ブックの「追加承認」表記を移行。承認者・日付を推測で補完しない。</t>
        </is>
      </c>
    </row>
    <row r="50">
      <c r="A50" s="17" t="inlineStr">
        <is>
          <t>QUA-902</t>
        </is>
      </c>
      <c r="B50" s="17" t="inlineStr">
        <is>
          <t>12_品質保証</t>
        </is>
      </c>
      <c r="C50" s="17" t="inlineStr">
        <is>
          <t>2. Software Quality Management Process / 2.2 Plan Quality Management — 経営層のコミットメントとQMSへの資源提供</t>
        </is>
      </c>
      <c r="D50" s="17" t="inlineStr">
        <is>
          <t>経営層の品質へのコミットメントと関与の仕組みが定義されているか</t>
        </is>
      </c>
      <c r="E50" s="17" t="inlineStr">
        <is>
          <t>swebok-v4a.pdf ch12 Software Quality &gt; 2. Software Quality Management Process / 2.2 Plan Quality Management — 経営層のコミットメントとQMSへの資源提供</t>
        </is>
      </c>
      <c r="F50" s="17" t="inlineStr">
        <is>
          <t>SRC-SWEBOK-V4A</t>
        </is>
      </c>
      <c r="G50" s="17" t="inlineStr">
        <is>
          <t>要原記録確認</t>
        </is>
      </c>
      <c r="H50" s="17" t="inlineStr">
        <is>
          <t>未記録</t>
        </is>
      </c>
      <c r="I50" s="17" t="inlineStr">
        <is>
          <t>未記録</t>
        </is>
      </c>
      <c r="J50" s="17" t="inlineStr">
        <is>
          <t>SWEBOKはQMSが有効に機能する条件としてマネジメントサポート(訓練・十分な資源・プロジェクトレビューでの継続的なスポンサーシップ確認)が不可欠と明記する。既存項目は独立性(QUA-031)や資源見積り(QUA-035)を見るが、経営層の関与そのものを確認する項目がない。</t>
        </is>
      </c>
      <c r="K50" s="17" t="inlineStr">
        <is>
          <t>旧ブックの「追加承認」表記を移行。承認者・日付を推測で補完しない。</t>
        </is>
      </c>
    </row>
    <row r="51">
      <c r="A51" s="17" t="inlineStr">
        <is>
          <t>QUA-903</t>
        </is>
      </c>
      <c r="B51" s="17" t="inlineStr">
        <is>
          <t>12_品質保証</t>
        </is>
      </c>
      <c r="C51" s="17" t="inlineStr">
        <is>
          <t>1.4 Software Dependability / 4. Software Quality Tools — 安全ハザード分析(FMEA/FTA)</t>
        </is>
      </c>
      <c r="D51" s="17" t="inlineStr">
        <is>
          <t>安全クリティカルシステムでハザード分析・故障モード分析が実施されているか</t>
        </is>
      </c>
      <c r="E51" s="17" t="inlineStr">
        <is>
          <t>swebok-v4a.pdf ch12 Software Quality &gt; 1.4 Software Dependability / 4. Software Quality Tools — 安全ハザード分析(FMEA/FTA)</t>
        </is>
      </c>
      <c r="F51" s="17" t="inlineStr">
        <is>
          <t>SRC-SWEBOK-V4A</t>
        </is>
      </c>
      <c r="G51" s="17" t="inlineStr">
        <is>
          <t>要原記録確認</t>
        </is>
      </c>
      <c r="H51" s="17" t="inlineStr">
        <is>
          <t>未記録</t>
        </is>
      </c>
      <c r="I51" s="17" t="inlineStr">
        <is>
          <t>未記録</t>
        </is>
      </c>
      <c r="J51" s="17" t="inlineStr">
        <is>
          <t>SWEBOKは頭字語にFMEA・FTAを掲げ、ツールの節でソフトウェア安全ハザード分析(FMEA/FTA支援)を静的解析ツールの一カテゴリとして明示する。既存のQUA-024は回避・検出・被害限定の技法選択を見るが、その前提となるハザード・故障モードの体系的分析の実施を確認する項目がない。</t>
        </is>
      </c>
      <c r="K51" s="17" t="inlineStr">
        <is>
          <t>旧ブックの「追加承認」表記を移行。承認者・日付を推測で補完しない。</t>
        </is>
      </c>
    </row>
    <row r="52">
      <c r="A52" s="17" t="inlineStr">
        <is>
          <t>QUA-904</t>
        </is>
      </c>
      <c r="B52" s="17" t="inlineStr">
        <is>
          <t>12_品質保証</t>
        </is>
      </c>
      <c r="C52" s="17" t="inlineStr">
        <is>
          <t>3.4 V&amp;V and Testing — ソフトウェア成果物間のトレーサビリティ記録</t>
        </is>
      </c>
      <c r="D52" s="17" t="inlineStr">
        <is>
          <t>成果物間のトレーサビリティがV&amp;V活動で維持・活用されているか</t>
        </is>
      </c>
      <c r="E52" s="17" t="inlineStr">
        <is>
          <t>swebok-v4a.pdf ch12 Software Quality &gt; 3.4 V&amp;V and Testing — ソフトウェア成果物間のトレーサビリティ記録</t>
        </is>
      </c>
      <c r="F52" s="17" t="inlineStr">
        <is>
          <t>SRC-SWEBOK-V4A</t>
        </is>
      </c>
      <c r="G52" s="17" t="inlineStr">
        <is>
          <t>要原記録確認</t>
        </is>
      </c>
      <c r="H52" s="17" t="inlineStr">
        <is>
          <t>未記録</t>
        </is>
      </c>
      <c r="I52" s="17" t="inlineStr">
        <is>
          <t>未記録</t>
        </is>
      </c>
      <c r="J52" s="17" t="inlineStr">
        <is>
          <t>SWEBOKはV&amp;Vの品質を高める手段として成果物間トレーサビリティの記録保持を明示する。既存のQUA-123はRTM等のフォーム様式の定義を見るにとどまり、要求→設計→コード→テストのトレースが実際に維持・検証されているかを確認する項目がない。</t>
        </is>
      </c>
      <c r="K52" s="17" t="inlineStr">
        <is>
          <t>旧ブックの「追加承認」表記を移行。承認者・日付を推測で補完しない。</t>
        </is>
      </c>
    </row>
    <row r="53">
      <c r="A53" s="17" t="inlineStr">
        <is>
          <t>SEC-901</t>
        </is>
      </c>
      <c r="B53" s="17" t="inlineStr">
        <is>
          <t>13_セキュリティ</t>
        </is>
      </c>
      <c r="C53" s="17" t="inlineStr">
        <is>
          <t>旧ブックで追加承認として登録（カテゴリ: 10. ドメイン固有セキュリティ(SEC-901〜)）</t>
        </is>
      </c>
      <c r="D53" s="17" t="inlineStr">
        <is>
          <t>クラウド資産の棚卸しが行われている</t>
        </is>
      </c>
      <c r="E53" s="17" t="inlineStr">
        <is>
          <t>swebok-v4a.pdf ch13 Software Security &gt; 6.1 Security for Container and Cloud(forgotten assets are like a ticking time bomb)</t>
        </is>
      </c>
      <c r="F53" s="17" t="inlineStr">
        <is>
          <t>SRC-SWEBOK-V4A</t>
        </is>
      </c>
      <c r="G53" s="17" t="inlineStr">
        <is>
          <t>要原記録確認</t>
        </is>
      </c>
      <c r="H53" s="17" t="inlineStr">
        <is>
          <t>未記録</t>
        </is>
      </c>
      <c r="I53" s="17" t="inlineStr">
        <is>
          <t>未記録</t>
        </is>
      </c>
      <c r="J53" s="17" t="inlineStr">
        <is>
          <t>旧ブックに追加理由・原承認記録なし。原記録の確認が必要。</t>
        </is>
      </c>
      <c r="K53" s="17" t="inlineStr">
        <is>
          <t>旧ブックの「追加承認」表記を移行。承認者・日付を推測で補完しない。</t>
        </is>
      </c>
    </row>
    <row r="54">
      <c r="A54" s="17" t="inlineStr">
        <is>
          <t>SEC-902</t>
        </is>
      </c>
      <c r="B54" s="17" t="inlineStr">
        <is>
          <t>13_セキュリティ</t>
        </is>
      </c>
      <c r="C54" s="17" t="inlineStr">
        <is>
          <t>旧ブックで追加承認として登録（カテゴリ: 10. ドメイン固有セキュリティ(SEC-901〜)）</t>
        </is>
      </c>
      <c r="D54" s="17" t="inlineStr">
        <is>
          <t>クラウド IAM が最小権限で設計されている</t>
        </is>
      </c>
      <c r="E54" s="17" t="inlineStr">
        <is>
          <t>swebok-v4a.pdf ch13 Software Security &gt; 6.1 Security for Container and Cloud / 4.4(least privilege)</t>
        </is>
      </c>
      <c r="F54" s="17" t="inlineStr">
        <is>
          <t>SRC-SWEBOK-V4A</t>
        </is>
      </c>
      <c r="G54" s="17" t="inlineStr">
        <is>
          <t>要原記録確認</t>
        </is>
      </c>
      <c r="H54" s="17" t="inlineStr">
        <is>
          <t>未記録</t>
        </is>
      </c>
      <c r="I54" s="17" t="inlineStr">
        <is>
          <t>未記録</t>
        </is>
      </c>
      <c r="J54" s="17" t="inlineStr">
        <is>
          <t>旧ブックに追加理由・原承認記録なし。原記録の確認が必要。</t>
        </is>
      </c>
      <c r="K54" s="17" t="inlineStr">
        <is>
          <t>旧ブックの「追加承認」表記を移行。承認者・日付を推測で補完しない。</t>
        </is>
      </c>
    </row>
    <row r="55">
      <c r="A55" s="17" t="inlineStr">
        <is>
          <t>SEC-903</t>
        </is>
      </c>
      <c r="B55" s="17" t="inlineStr">
        <is>
          <t>13_セキュリティ</t>
        </is>
      </c>
      <c r="C55" s="17" t="inlineStr">
        <is>
          <t>旧ブックで追加承認として登録（カテゴリ: 10. ドメイン固有セキュリティ(SEC-901〜)）</t>
        </is>
      </c>
      <c r="D55" s="17" t="inlineStr">
        <is>
          <t>責任共有モデルの境界が確認されている</t>
        </is>
      </c>
      <c r="E55" s="17" t="inlineStr">
        <is>
          <t>swebok-v4a.pdf ch13 Software Security &gt; 6.1 Security for Container and Cloud(物理防御は事業者側という責任の違い)</t>
        </is>
      </c>
      <c r="F55" s="17" t="inlineStr">
        <is>
          <t>SRC-SWEBOK-V4A</t>
        </is>
      </c>
      <c r="G55" s="17" t="inlineStr">
        <is>
          <t>要原記録確認</t>
        </is>
      </c>
      <c r="H55" s="17" t="inlineStr">
        <is>
          <t>未記録</t>
        </is>
      </c>
      <c r="I55" s="17" t="inlineStr">
        <is>
          <t>未記録</t>
        </is>
      </c>
      <c r="J55" s="17" t="inlineStr">
        <is>
          <t>旧ブックに追加理由・原承認記録なし。原記録の確認が必要。</t>
        </is>
      </c>
      <c r="K55" s="17" t="inlineStr">
        <is>
          <t>旧ブックの「追加承認」表記を移行。承認者・日付を推測で補完しない。</t>
        </is>
      </c>
    </row>
    <row r="56">
      <c r="A56" s="17" t="inlineStr">
        <is>
          <t>SEC-904</t>
        </is>
      </c>
      <c r="B56" s="17" t="inlineStr">
        <is>
          <t>13_セキュリティ</t>
        </is>
      </c>
      <c r="C56" s="17" t="inlineStr">
        <is>
          <t>旧ブックで追加承認として登録（カテゴリ: 10. ドメイン固有セキュリティ(SEC-901〜)）</t>
        </is>
      </c>
      <c r="D56" s="17" t="inlineStr">
        <is>
          <t>ストレージ・データストアの公開設定が検証されている</t>
        </is>
      </c>
      <c r="E56" s="17" t="inlineStr">
        <is>
          <t>swebok-v4a.pdf ch13 Software Security &gt; 6.1 Security for Container and Cloud</t>
        </is>
      </c>
      <c r="F56" s="17" t="inlineStr">
        <is>
          <t>SRC-SWEBOK-V4A</t>
        </is>
      </c>
      <c r="G56" s="17" t="inlineStr">
        <is>
          <t>要原記録確認</t>
        </is>
      </c>
      <c r="H56" s="17" t="inlineStr">
        <is>
          <t>未記録</t>
        </is>
      </c>
      <c r="I56" s="17" t="inlineStr">
        <is>
          <t>未記録</t>
        </is>
      </c>
      <c r="J56" s="17" t="inlineStr">
        <is>
          <t>旧ブックに追加理由・原承認記録なし。原記録の確認が必要。</t>
        </is>
      </c>
      <c r="K56" s="17" t="inlineStr">
        <is>
          <t>旧ブックの「追加承認」表記を移行。承認者・日付を推測で補完しない。</t>
        </is>
      </c>
    </row>
    <row r="57">
      <c r="A57" s="17" t="inlineStr">
        <is>
          <t>SEC-905</t>
        </is>
      </c>
      <c r="B57" s="17" t="inlineStr">
        <is>
          <t>13_セキュリティ</t>
        </is>
      </c>
      <c r="C57" s="17" t="inlineStr">
        <is>
          <t>旧ブックで追加承認として登録（カテゴリ: 10. ドメイン固有セキュリティ(SEC-901〜)）</t>
        </is>
      </c>
      <c r="D57" s="17" t="inlineStr">
        <is>
          <t>IoT エンドポイントの堅牢化が計画されている</t>
        </is>
      </c>
      <c r="E57" s="17" t="inlineStr">
        <is>
          <t>swebok-v4a.pdf ch13 Software Security &gt; 6.2 Security for IoT Software(hardening these end points)</t>
        </is>
      </c>
      <c r="F57" s="17" t="inlineStr">
        <is>
          <t>SRC-SWEBOK-V4A</t>
        </is>
      </c>
      <c r="G57" s="17" t="inlineStr">
        <is>
          <t>要原記録確認</t>
        </is>
      </c>
      <c r="H57" s="17" t="inlineStr">
        <is>
          <t>未記録</t>
        </is>
      </c>
      <c r="I57" s="17" t="inlineStr">
        <is>
          <t>未記録</t>
        </is>
      </c>
      <c r="J57" s="17" t="inlineStr">
        <is>
          <t>旧ブックに追加理由・原承認記録なし。原記録の確認が必要。</t>
        </is>
      </c>
      <c r="K57" s="17" t="inlineStr">
        <is>
          <t>旧ブックの「追加承認」表記を移行。承認者・日付を推測で補完しない。</t>
        </is>
      </c>
    </row>
    <row r="58">
      <c r="A58" s="17" t="inlineStr">
        <is>
          <t>SEC-906</t>
        </is>
      </c>
      <c r="B58" s="17" t="inlineStr">
        <is>
          <t>13_セキュリティ</t>
        </is>
      </c>
      <c r="C58" s="17" t="inlineStr">
        <is>
          <t>旧ブックで追加承認として登録（カテゴリ: 10. ドメイン固有セキュリティ(SEC-901〜)）</t>
        </is>
      </c>
      <c r="D58" s="17" t="inlineStr">
        <is>
          <t>デバイス間・デバイス-バックエンド間通信が保護されている</t>
        </is>
      </c>
      <c r="E58" s="17" t="inlineStr">
        <is>
          <t>swebok-v4a.pdf ch13 Software Security &gt; 6.2 Security for IoT Software(securing device-to-device communications, credibility)</t>
        </is>
      </c>
      <c r="F58" s="17" t="inlineStr">
        <is>
          <t>SRC-SWEBOK-V4A</t>
        </is>
      </c>
      <c r="G58" s="17" t="inlineStr">
        <is>
          <t>要原記録確認</t>
        </is>
      </c>
      <c r="H58" s="17" t="inlineStr">
        <is>
          <t>未記録</t>
        </is>
      </c>
      <c r="I58" s="17" t="inlineStr">
        <is>
          <t>未記録</t>
        </is>
      </c>
      <c r="J58" s="17" t="inlineStr">
        <is>
          <t>旧ブックに追加理由・原承認記録なし。原記録の確認が必要。</t>
        </is>
      </c>
      <c r="K58" s="17" t="inlineStr">
        <is>
          <t>旧ブックの「追加承認」表記を移行。承認者・日付を推測で補完しない。</t>
        </is>
      </c>
    </row>
    <row r="59">
      <c r="A59" s="17" t="inlineStr">
        <is>
          <t>SEC-907</t>
        </is>
      </c>
      <c r="B59" s="17" t="inlineStr">
        <is>
          <t>13_セキュリティ</t>
        </is>
      </c>
      <c r="C59" s="17" t="inlineStr">
        <is>
          <t>旧ブックで追加承認として登録（カテゴリ: 10. ドメイン固有セキュリティ(SEC-901〜)）</t>
        </is>
      </c>
      <c r="D59" s="17" t="inlineStr">
        <is>
          <t>ML モデルの訓練データ保護が検討されている</t>
        </is>
      </c>
      <c r="E59" s="17" t="inlineStr">
        <is>
          <t>swebok-v4a.pdf ch13 Software Security &gt; 6.3 Security for Machine Learning-Based Application(model poisoning)</t>
        </is>
      </c>
      <c r="F59" s="17" t="inlineStr">
        <is>
          <t>SRC-SWEBOK-V4A;SRC-ISO-GENERAL</t>
        </is>
      </c>
      <c r="G59" s="17" t="inlineStr">
        <is>
          <t>要原記録確認</t>
        </is>
      </c>
      <c r="H59" s="17" t="inlineStr">
        <is>
          <t>未記録</t>
        </is>
      </c>
      <c r="I59" s="17" t="inlineStr">
        <is>
          <t>未記録</t>
        </is>
      </c>
      <c r="J59" s="17" t="inlineStr">
        <is>
          <t>旧ブックに追加理由・原承認記録なし。原記録の確認が必要。</t>
        </is>
      </c>
      <c r="K59" s="17" t="inlineStr">
        <is>
          <t>旧ブックの「追加承認」表記を移行。承認者・日付を推測で補完しない。</t>
        </is>
      </c>
    </row>
    <row r="60">
      <c r="A60" s="17" t="inlineStr">
        <is>
          <t>SEC-908</t>
        </is>
      </c>
      <c r="B60" s="17" t="inlineStr">
        <is>
          <t>13_セキュリティ</t>
        </is>
      </c>
      <c r="C60" s="17" t="inlineStr">
        <is>
          <t>旧ブックで追加承認として登録（カテゴリ: 10. ドメイン固有セキュリティ(SEC-901〜)）</t>
        </is>
      </c>
      <c r="D60" s="17" t="inlineStr">
        <is>
          <t>ML モデルへの不正入力対策が検討されている</t>
        </is>
      </c>
      <c r="E60" s="17" t="inlineStr">
        <is>
          <t>swebok-v4a.pdf ch13 Software Security &gt; 6.3 Security for Machine Learning-Based Application(evasion)</t>
        </is>
      </c>
      <c r="F60" s="17" t="inlineStr">
        <is>
          <t>SRC-SWEBOK-V4A</t>
        </is>
      </c>
      <c r="G60" s="17" t="inlineStr">
        <is>
          <t>要原記録確認</t>
        </is>
      </c>
      <c r="H60" s="17" t="inlineStr">
        <is>
          <t>未記録</t>
        </is>
      </c>
      <c r="I60" s="17" t="inlineStr">
        <is>
          <t>未記録</t>
        </is>
      </c>
      <c r="J60" s="17" t="inlineStr">
        <is>
          <t>旧ブックに追加理由・原承認記録なし。原記録の確認が必要。</t>
        </is>
      </c>
      <c r="K60" s="17" t="inlineStr">
        <is>
          <t>旧ブックの「追加承認」表記を移行。承認者・日付を推測で補完しない。</t>
        </is>
      </c>
    </row>
    <row r="61">
      <c r="A61" s="17" t="inlineStr">
        <is>
          <t>SEC-911</t>
        </is>
      </c>
      <c r="B61" s="17" t="inlineStr">
        <is>
          <t>13_セキュリティ</t>
        </is>
      </c>
      <c r="C61" s="17" t="inlineStr">
        <is>
          <t>3.2 Common Criteria for Information Technology Security Evaluation(ISO/IEC 15408 によるセキュリティ評価・保証)</t>
        </is>
      </c>
      <c r="D61" s="17" t="inlineStr">
        <is>
          <t>セキュリティ評価・認証(Common Criteria 等)の要否が判断されている</t>
        </is>
      </c>
      <c r="E61" s="17" t="inlineStr">
        <is>
          <t>swebok-v4a.pdf ch13 Software Security &gt; 3.2 Common Criteria for Information Technology Security Evaluation(ISO/IEC 15408 によるセキュリティ評価・保証)</t>
        </is>
      </c>
      <c r="F61" s="17" t="inlineStr">
        <is>
          <t>SRC-SWEBOK-V4A;SRC-ISO-GENERAL</t>
        </is>
      </c>
      <c r="G61" s="17" t="inlineStr">
        <is>
          <t>要原記録確認</t>
        </is>
      </c>
      <c r="H61" s="17" t="inlineStr">
        <is>
          <t>未記録</t>
        </is>
      </c>
      <c r="I61" s="17" t="inlineStr">
        <is>
          <t>未記録</t>
        </is>
      </c>
      <c r="J61" s="17" t="inlineStr">
        <is>
          <t>SWEBOKは第三者評価基準(CC)を独立トピックとして扱い、製品のセキュリティ機能への信頼確立と調達判断の根拠としているが、チェックリストには評価・認証や調達製品の保証水準確認に関する項目がない。政府・重要インフラ向け案件では認証要否の検討漏れが契約不適合につながる。</t>
        </is>
      </c>
      <c r="K61" s="17" t="inlineStr">
        <is>
          <t>旧ブックの「追加承認」表記を移行。承認者・日付を推測で補完しない。</t>
        </is>
      </c>
    </row>
    <row r="62">
      <c r="A62" s="17" t="inlineStr">
        <is>
          <t>SEC-912</t>
        </is>
      </c>
      <c r="B62" s="17" t="inlineStr">
        <is>
          <t>13_セキュリティ</t>
        </is>
      </c>
      <c r="C62" s="17" t="inlineStr">
        <is>
          <t>1.3 Cybersecurity(ソーシャルエンジニアリング攻撃・マルウェア等の脅威緩和)</t>
        </is>
      </c>
      <c r="D62" s="17" t="inlineStr">
        <is>
          <t>人を介する攻撃(ソーシャルエンジニアリング)が脅威として検討されている</t>
        </is>
      </c>
      <c r="E62" s="17" t="inlineStr">
        <is>
          <t>swebok-v4a.pdf ch13 Software Security &gt; 1.3 Cybersecurity(ソーシャルエンジニアリング攻撃・マルウェア等の脅威緩和)</t>
        </is>
      </c>
      <c r="F62" s="17" t="inlineStr">
        <is>
          <t>SRC-SWEBOK-V4A</t>
        </is>
      </c>
      <c r="G62" s="17" t="inlineStr">
        <is>
          <t>要原記録確認</t>
        </is>
      </c>
      <c r="H62" s="17" t="inlineStr">
        <is>
          <t>未記録</t>
        </is>
      </c>
      <c r="I62" s="17" t="inlineStr">
        <is>
          <t>未記録</t>
        </is>
      </c>
      <c r="J62" s="17" t="inlineStr">
        <is>
          <t>SWEBOKはソーシャルエンジニアリング攻撃・マルウェア等サイバー空間の脅威の緩和をソフトウェア開発の一部として考慮すべきと明示しているが、チェックリストの脅威分析は技術的攻撃(STRIDE)中心で、人を騙す攻撃(フィッシング、なりすまし依頼)を悪用シナリオとして検討する項目がない。</t>
        </is>
      </c>
      <c r="K62" s="17" t="inlineStr">
        <is>
          <t>旧ブックの「追加承認」表記を移行。承認者・日付を推測で補完しない。</t>
        </is>
      </c>
    </row>
    <row r="63">
      <c r="A63" s="17" t="inlineStr">
        <is>
          <t>SEC-913</t>
        </is>
      </c>
      <c r="B63" s="17" t="inlineStr">
        <is>
          <t>13_セキュリティ</t>
        </is>
      </c>
      <c r="C63" s="17" t="inlineStr">
        <is>
          <t>4.2 Security Design(攻撃の許容: 被害限定・サービス継続・迅速な復旧)</t>
        </is>
      </c>
      <c r="D63" s="17" t="inlineStr">
        <is>
          <t>侵害発生を前提とした被害限定と復旧が設計されている</t>
        </is>
      </c>
      <c r="E63" s="17" t="inlineStr">
        <is>
          <t>swebok-v4a.pdf ch13 Software Security &gt; 4.2 Security Design(攻撃の許容: 被害限定・サービス継続・迅速な復旧)</t>
        </is>
      </c>
      <c r="F63" s="17" t="inlineStr">
        <is>
          <t>SRC-SWEBOK-V4A</t>
        </is>
      </c>
      <c r="G63" s="17" t="inlineStr">
        <is>
          <t>要原記録確認</t>
        </is>
      </c>
      <c r="H63" s="17" t="inlineStr">
        <is>
          <t>未記録</t>
        </is>
      </c>
      <c r="I63" s="17" t="inlineStr">
        <is>
          <t>未記録</t>
        </is>
      </c>
      <c r="J63" s="17" t="inlineStr">
        <is>
          <t>SWEBOKは設計セキュリティの目的として攻撃の「防止」だけでなく「許容」(limiting damage, continuing service, speeding repair and recovery)を並置しているが、チェックリストはフェイルセキュア(SEC-209)以外は防止側に偏っており、侵害発生を前提とした被害限定・復旧の設計を確認する項目がない。</t>
        </is>
      </c>
      <c r="K63" s="17" t="inlineStr">
        <is>
          <t>旧ブックの「追加承認」表記を移行。承認者・日付を推測で補完しない。</t>
        </is>
      </c>
    </row>
    <row r="64">
      <c r="A64" s="17" t="inlineStr">
        <is>
          <t>SEC-914</t>
        </is>
      </c>
      <c r="B64" s="17" t="inlineStr">
        <is>
          <t>13_セキュリティ</t>
        </is>
      </c>
      <c r="C64" s="17" t="inlineStr">
        <is>
          <t>4.4 Construction for Security(プログラム中の前提(assumption)の検証と文書化)</t>
        </is>
      </c>
      <c r="D64" s="17" t="inlineStr">
        <is>
          <t>コードが依拠する前提が検証または文書化されている</t>
        </is>
      </c>
      <c r="E64" s="17" t="inlineStr">
        <is>
          <t>swebok-v4a.pdf ch13 Software Security &gt; 4.4 Construction for Security(プログラム中の前提(assumption)の検証と文書化)</t>
        </is>
      </c>
      <c r="F64" s="17" t="inlineStr">
        <is>
          <t>SRC-SWEBOK-V4A</t>
        </is>
      </c>
      <c r="G64" s="17" t="inlineStr">
        <is>
          <t>要原記録確認</t>
        </is>
      </c>
      <c r="H64" s="17" t="inlineStr">
        <is>
          <t>未記録</t>
        </is>
      </c>
      <c r="I64" s="17" t="inlineStr">
        <is>
          <t>未記録</t>
        </is>
      </c>
      <c r="J64" s="17" t="inlineStr">
        <is>
          <t>SWEBOKは構築セキュリティの推奨ルールとして「プログラム内の前提はすべて検証し、不可能なら設置者・保守者向けに文書化する(攻撃者はその前提の無効化を試みる)」を明示するが、チェックリストの入力検証(SEC-301)は外部入力に限られ、環境・設定・呼び出し順序等の暗黙の前提を扱う項目がない。</t>
        </is>
      </c>
      <c r="K64" s="17" t="inlineStr">
        <is>
          <t>旧ブックの「追加承認」表記を移行。承認者・日付を推測で補完しない。</t>
        </is>
      </c>
    </row>
    <row r="65">
      <c r="A65" s="17" t="inlineStr">
        <is>
          <t>SEC-951</t>
        </is>
      </c>
      <c r="B65" s="17" t="inlineStr">
        <is>
          <t>13_セキュリティ</t>
        </is>
      </c>
      <c r="C65" s="17" t="inlineStr">
        <is>
          <t>旧ブックで追加承認として登録（カテゴリ: 11. ドキュメント品質・トレーサビリティ(SEC-951〜)）</t>
        </is>
      </c>
      <c r="D65" s="17" t="inlineStr">
        <is>
          <t>成果物間のトレーサビリティが成立している</t>
        </is>
      </c>
      <c r="E65" s="17" t="inlineStr">
        <is>
          <t>swebok-v4a.pdf ch13 Software Security &gt; 4.1 Security Requirements(traceability throughout the development process)</t>
        </is>
      </c>
      <c r="F65" s="17" t="inlineStr">
        <is>
          <t>SRC-SWEBOK-V4A</t>
        </is>
      </c>
      <c r="G65" s="17" t="inlineStr">
        <is>
          <t>要原記録確認</t>
        </is>
      </c>
      <c r="H65" s="17" t="inlineStr">
        <is>
          <t>未記録</t>
        </is>
      </c>
      <c r="I65" s="17" t="inlineStr">
        <is>
          <t>未記録</t>
        </is>
      </c>
      <c r="J65" s="17" t="inlineStr">
        <is>
          <t>旧ブックに追加理由・原承認記録なし。原記録の確認が必要。</t>
        </is>
      </c>
      <c r="K65" s="17" t="inlineStr">
        <is>
          <t>旧ブックの「追加承認」表記を移行。承認者・日付を推測で補完しない。</t>
        </is>
      </c>
    </row>
    <row r="66">
      <c r="A66" s="17" t="inlineStr">
        <is>
          <t>SEC-952</t>
        </is>
      </c>
      <c r="B66" s="17" t="inlineStr">
        <is>
          <t>13_セキュリティ</t>
        </is>
      </c>
      <c r="C66" s="17" t="inlineStr">
        <is>
          <t>旧ブックで追加承認として登録（カテゴリ: 11. ドキュメント品質・トレーサビリティ(SEC-951〜)）</t>
        </is>
      </c>
      <c r="D66" s="17" t="inlineStr">
        <is>
          <t>用語が標準に準拠している</t>
        </is>
      </c>
      <c r="E66" s="17" t="inlineStr">
        <is>
          <t>swebok-v4a.pdf ch13 Software Security &gt; 1.2 Information Security(CIA等の標準定義)</t>
        </is>
      </c>
      <c r="F66" s="17" t="inlineStr">
        <is>
          <t>SRC-SWEBOK-V4A</t>
        </is>
      </c>
      <c r="G66" s="17" t="inlineStr">
        <is>
          <t>要原記録確認</t>
        </is>
      </c>
      <c r="H66" s="17" t="inlineStr">
        <is>
          <t>未記録</t>
        </is>
      </c>
      <c r="I66" s="17" t="inlineStr">
        <is>
          <t>未記録</t>
        </is>
      </c>
      <c r="J66" s="17" t="inlineStr">
        <is>
          <t>旧ブックに追加理由・原承認記録なし。原記録の確認が必要。</t>
        </is>
      </c>
      <c r="K66" s="17" t="inlineStr">
        <is>
          <t>旧ブックの「追加承認」表記を移行。承認者・日付を推測で補完しない。</t>
        </is>
      </c>
    </row>
    <row r="67">
      <c r="A67" s="17" t="inlineStr">
        <is>
          <t>SEC-953</t>
        </is>
      </c>
      <c r="B67" s="17" t="inlineStr">
        <is>
          <t>13_セキュリティ</t>
        </is>
      </c>
      <c r="C67" s="17" t="inlineStr">
        <is>
          <t>旧ブックで追加承認として登録（カテゴリ: 11. ドキュメント品質・トレーサビリティ(SEC-951〜)）</t>
        </is>
      </c>
      <c r="D67" s="17" t="inlineStr">
        <is>
          <t>参照する標準・ツールが実在し版が明記されている</t>
        </is>
      </c>
      <c r="E67" s="17" t="inlineStr">
        <is>
          <t>実務補完(文書品質・引用管理)</t>
        </is>
      </c>
      <c r="F67" s="17" t="inlineStr">
        <is>
          <t>SRC-PRACTICE</t>
        </is>
      </c>
      <c r="G67" s="17" t="inlineStr">
        <is>
          <t>要原記録確認</t>
        </is>
      </c>
      <c r="H67" s="17" t="inlineStr">
        <is>
          <t>未記録</t>
        </is>
      </c>
      <c r="I67" s="17" t="inlineStr">
        <is>
          <t>未記録</t>
        </is>
      </c>
      <c r="J67" s="17" t="inlineStr">
        <is>
          <t>旧ブックに追加理由・原承認記録なし。原記録の確認が必要。</t>
        </is>
      </c>
      <c r="K67" s="17" t="inlineStr">
        <is>
          <t>旧ブックの「追加承認」表記を移行。承認者・日付を推測で補完しない。</t>
        </is>
      </c>
    </row>
    <row r="68">
      <c r="A68" s="17" t="inlineStr">
        <is>
          <t>SEC-954</t>
        </is>
      </c>
      <c r="B68" s="17" t="inlineStr">
        <is>
          <t>13_セキュリティ</t>
        </is>
      </c>
      <c r="C68" s="17" t="inlineStr">
        <is>
          <t>旧ブックで追加承認として登録（カテゴリ: 11. ドキュメント品質・トレーサビリティ(SEC-951〜)）</t>
        </is>
      </c>
      <c r="D68" s="17" t="inlineStr">
        <is>
          <t>文書に改訂履歴と承認状態があり、機微情報を含まない</t>
        </is>
      </c>
      <c r="E68" s="17" t="inlineStr">
        <is>
          <t>swebok-v4a.pdf ch13 Software Security &gt; 2.2 ISMS(文書化された計画)/ 実務補完(文書管理)</t>
        </is>
      </c>
      <c r="F68" s="17" t="inlineStr">
        <is>
          <t>SRC-SWEBOK-V4A;SRC-PRACTICE</t>
        </is>
      </c>
      <c r="G68" s="17" t="inlineStr">
        <is>
          <t>要原記録確認</t>
        </is>
      </c>
      <c r="H68" s="17" t="inlineStr">
        <is>
          <t>未記録</t>
        </is>
      </c>
      <c r="I68" s="17" t="inlineStr">
        <is>
          <t>未記録</t>
        </is>
      </c>
      <c r="J68" s="17" t="inlineStr">
        <is>
          <t>旧ブックに追加理由・原承認記録なし。原記録の確認が必要。</t>
        </is>
      </c>
      <c r="K68" s="17" t="inlineStr">
        <is>
          <t>旧ブックの「追加承認」表記を移行。承認者・日付を推測で補完しない。</t>
        </is>
      </c>
    </row>
  </sheetData>
  <autoFilter ref="A3:K68"/>
  <mergeCells count="1">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fitToPage="1"/>
  </sheetPr>
  <dimension ref="A1:W89"/>
  <sheetViews>
    <sheetView workbookViewId="0">
      <pane xSplit="4" ySplit="1" topLeftCell="E2"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4" customWidth="1" min="1" max="1"/>
    <col width="14" customWidth="1" min="2" max="2"/>
    <col width="28" customWidth="1" min="3" max="3"/>
    <col width="12" customWidth="1" min="4" max="4"/>
    <col width="46" customWidth="1" min="5" max="5"/>
    <col width="52" customWidth="1" min="6" max="6"/>
    <col width="48" customWidth="1" min="7" max="7"/>
    <col width="46" customWidth="1" min="8" max="8"/>
    <col width="18" customWidth="1" min="9" max="9"/>
    <col width="38" customWidth="1" min="10" max="10"/>
    <col width="28" customWidth="1" min="11" max="11"/>
    <col width="25" customWidth="1" min="12" max="12"/>
    <col width="13" customWidth="1" min="13" max="13"/>
    <col width="12" customWidth="1" min="14" max="14"/>
    <col width="12" customWidth="1" min="15" max="15"/>
    <col width="38" customWidth="1" min="16" max="16"/>
    <col width="24" customWidth="1" min="17" max="17"/>
    <col width="30" customWidth="1" min="18" max="18"/>
    <col width="23" customWidth="1" min="19" max="19"/>
    <col width="15" customWidth="1" min="20" max="20"/>
    <col width="18" customWidth="1" min="21" max="21"/>
    <col width="15" customWidth="1" min="22" max="22"/>
    <col width="15" customWidth="1" min="23" max="23"/>
  </cols>
  <sheetData>
    <row r="1">
      <c r="A1" s="3" t="inlineStr">
        <is>
          <t>ID</t>
        </is>
      </c>
      <c r="B1" s="3" t="inlineStr">
        <is>
          <t>区分</t>
        </is>
      </c>
      <c r="C1" s="3" t="inlineStr">
        <is>
          <t>カテゴリ</t>
        </is>
      </c>
      <c r="D1" s="3" t="inlineStr">
        <is>
          <t>基準重要度</t>
        </is>
      </c>
      <c r="E1" s="3" t="inlineStr">
        <is>
          <t>チェック項目</t>
        </is>
      </c>
      <c r="F1" s="3" t="inlineStr">
        <is>
          <t>合格基準</t>
        </is>
      </c>
      <c r="G1" s="3" t="inlineStr">
        <is>
          <t>意図(なぜ確認するか)</t>
        </is>
      </c>
      <c r="H1" s="3" t="inlineStr">
        <is>
          <t>対象ドキュメント(参照箇所)</t>
        </is>
      </c>
      <c r="I1" s="21" t="inlineStr">
        <is>
          <t>適用プロファイル</t>
        </is>
      </c>
      <c r="J1" s="21" t="inlineStr">
        <is>
          <t>適用条件</t>
        </is>
      </c>
      <c r="K1" s="21" t="inlineStr">
        <is>
          <t>出典ID</t>
        </is>
      </c>
      <c r="L1" s="21" t="inlineStr">
        <is>
          <t>重複統制グループ</t>
        </is>
      </c>
      <c r="M1" s="21" t="inlineStr">
        <is>
          <t>案件重要度</t>
        </is>
      </c>
      <c r="N1" s="21" t="inlineStr">
        <is>
          <t>適用判定</t>
        </is>
      </c>
      <c r="O1" s="21" t="inlineStr">
        <is>
          <t>判定</t>
        </is>
      </c>
      <c r="P1" s="21" t="inlineStr">
        <is>
          <t>証跡・参照箇所</t>
        </is>
      </c>
      <c r="Q1" s="21" t="inlineStr">
        <is>
          <t>指摘・Issue ID</t>
        </is>
      </c>
      <c r="R1" s="21" t="inlineStr">
        <is>
          <t>対応方針</t>
        </is>
      </c>
      <c r="S1" s="21" t="inlineStr">
        <is>
          <t>例外・リスク受容承認者</t>
        </is>
      </c>
      <c r="T1" s="21" t="inlineStr">
        <is>
          <t>是正期限</t>
        </is>
      </c>
      <c r="U1" s="21" t="inlineStr">
        <is>
          <t>レビュアー</t>
        </is>
      </c>
      <c r="V1" s="21" t="inlineStr">
        <is>
          <t>レビュー日</t>
        </is>
      </c>
      <c r="W1" s="21" t="inlineStr">
        <is>
          <t>再確認結果</t>
        </is>
      </c>
    </row>
    <row r="2">
      <c r="A2" s="5" t="inlineStr">
        <is>
          <t>REQ-001</t>
        </is>
      </c>
      <c r="B2" s="5" t="inlineStr">
        <is>
          <t>SWEBOK</t>
        </is>
      </c>
      <c r="C2" s="4" t="inlineStr">
        <is>
          <t>1. 文書構成・全体(SWEBOK 1章全般 / ISO 29148)</t>
        </is>
      </c>
      <c r="D2" s="8" t="inlineStr">
        <is>
          <t>Critical</t>
        </is>
      </c>
      <c r="E2" s="4" t="inlineStr">
        <is>
          <t>すべての要求に一意IDが付与されている</t>
        </is>
      </c>
      <c r="F2" s="4" t="inlineStr">
        <is>
          <t>全要求文にIDがあり、文書全体でIDの重複・欠番の未管理がない</t>
        </is>
      </c>
      <c r="G2" s="4" t="inlineStr">
        <is>
          <t>IDのない要求はトレース・変更管理・テスト対応付けの起点を持てず、変更漏れや検証漏れが下流で静かに発生する。SWEBOKが要求管理の前提とする「個々の要求の構成管理」を成立させるための最低条件。</t>
        </is>
      </c>
      <c r="H2" s="4" t="inlineStr">
        <is>
          <t>swebok-v4a.pdf ch01 Software Requirements &gt; 4.5 Additional Attributes of Requirements(tag)/ 実務補完(ISO/IEC/IEEE 29148)</t>
        </is>
      </c>
      <c r="I2" s="4" t="inlineStr">
        <is>
          <t>CORE</t>
        </is>
      </c>
      <c r="J2" s="4" t="inlineStr">
        <is>
          <t>原則適用。案件スコープ・成果物・規制・リスク上非該当の場合はN/A根拠を記録。</t>
        </is>
      </c>
      <c r="K2" s="4" t="inlineStr">
        <is>
          <t>SRC-SWEBOK-V4A;SRC-ISO-29148;SRC-PRACTICE</t>
        </is>
      </c>
      <c r="L2" s="4" t="inlineStr"/>
      <c r="M2" s="4" t="n"/>
      <c r="N2" s="4" t="n"/>
      <c r="O2" s="4" t="n"/>
      <c r="P2" s="4" t="n"/>
      <c r="Q2" s="4" t="n"/>
      <c r="R2" s="4" t="n"/>
      <c r="S2" s="4" t="n"/>
      <c r="T2" s="4" t="n"/>
      <c r="U2" s="4" t="n"/>
      <c r="V2" s="4" t="n"/>
      <c r="W2" s="4" t="n"/>
    </row>
    <row r="3">
      <c r="A3" s="5" t="inlineStr">
        <is>
          <t>REQ-002</t>
        </is>
      </c>
      <c r="B3" s="5" t="inlineStr">
        <is>
          <t>SWEBOK</t>
        </is>
      </c>
      <c r="C3" s="4" t="inlineStr">
        <is>
          <t>1. 文書構成・全体(SWEBOK 1章全般 / ISO 29148)</t>
        </is>
      </c>
      <c r="D3" s="9" t="inlineStr">
        <is>
          <t>High</t>
        </is>
      </c>
      <c r="E3" s="4" t="inlineStr">
        <is>
          <t>文書の目的・スコープ・対象読者が冒頭に記載されている</t>
        </is>
      </c>
      <c r="F3" s="4" t="inlineStr">
        <is>
          <t>「はじめに」相当の節に目的・スコープ・対象読者の3点が明記されている</t>
        </is>
      </c>
      <c r="G3" s="4" t="inlineStr">
        <is>
          <t>SWEBOKは要求文書の意思決定を読者分析(audience analysis)に基づかせることを最重要推奨とする。目的・スコープ・読者が曖昧な文書は、スコープ外要望の混入や読者に届かない記述粒度を招く。</t>
        </is>
      </c>
      <c r="H3" s="4" t="inlineStr">
        <is>
          <t>swebok-v4a.pdf ch01 Software Requirements &gt; 4. Requirements Specification(audience analysis)</t>
        </is>
      </c>
      <c r="I3" s="4" t="inlineStr">
        <is>
          <t>CORE</t>
        </is>
      </c>
      <c r="J3" s="4" t="inlineStr">
        <is>
          <t>原則適用。案件スコープ・成果物・規制・リスク上非該当の場合はN/A根拠を記録。</t>
        </is>
      </c>
      <c r="K3" s="4" t="inlineStr">
        <is>
          <t>SRC-SWEBOK-V4A</t>
        </is>
      </c>
      <c r="L3" s="4" t="inlineStr"/>
      <c r="M3" s="4" t="n"/>
      <c r="N3" s="4" t="n"/>
      <c r="O3" s="4" t="n"/>
      <c r="P3" s="4" t="n"/>
      <c r="Q3" s="4" t="n"/>
      <c r="R3" s="4" t="n"/>
      <c r="S3" s="4" t="n"/>
      <c r="T3" s="4" t="n"/>
      <c r="U3" s="4" t="n"/>
      <c r="V3" s="4" t="n"/>
      <c r="W3" s="4" t="n"/>
    </row>
    <row r="4">
      <c r="A4" s="5" t="inlineStr">
        <is>
          <t>REQ-003</t>
        </is>
      </c>
      <c r="B4" s="5" t="inlineStr">
        <is>
          <t>SWEBOK</t>
        </is>
      </c>
      <c r="C4" s="4" t="inlineStr">
        <is>
          <t>1. 文書構成・全体(SWEBOK 1章全般 / ISO 29148)</t>
        </is>
      </c>
      <c r="D4" s="9" t="inlineStr">
        <is>
          <t>High</t>
        </is>
      </c>
      <c r="E4" s="4" t="inlineStr">
        <is>
          <t>用語集または用語定義があり、ドメイン用語・略語が定義されている</t>
        </is>
      </c>
      <c r="F4" s="4" t="inlineStr">
        <is>
          <t>本文で使われる略語・ドメイン固有語が用語集で引ける(未定義の略語が本文にない)</t>
        </is>
      </c>
      <c r="G4" s="4" t="inlineStr">
        <is>
          <t>SWEBOKが挙げる二大問題の一つ「曖昧性(複数解釈の余地)」の多くは用語の未定義に起因する。ドメイン用語の解釈違いは設計・テストまで波及して指数的な手戻りを生む。</t>
        </is>
      </c>
      <c r="H4" s="4" t="inlineStr">
        <is>
          <t>swebok-v4a.pdf ch01 Software Requirements &gt; 3.1 Basic Requirements Analysis(unambiguous)/ 実務補完(ISO 29148)</t>
        </is>
      </c>
      <c r="I4" s="4" t="inlineStr">
        <is>
          <t>CORE</t>
        </is>
      </c>
      <c r="J4" s="4" t="inlineStr">
        <is>
          <t>原則適用。案件スコープ・成果物・規制・リスク上非該当の場合はN/A根拠を記録。</t>
        </is>
      </c>
      <c r="K4" s="4" t="inlineStr">
        <is>
          <t>SRC-SWEBOK-V4A;SRC-ISO-29148;SRC-PRACTICE</t>
        </is>
      </c>
      <c r="L4" s="4" t="inlineStr"/>
      <c r="M4" s="4" t="n"/>
      <c r="N4" s="4" t="n"/>
      <c r="O4" s="4" t="n"/>
      <c r="P4" s="4" t="n"/>
      <c r="Q4" s="4" t="n"/>
      <c r="R4" s="4" t="n"/>
      <c r="S4" s="4" t="n"/>
      <c r="T4" s="4" t="n"/>
      <c r="U4" s="4" t="n"/>
      <c r="V4" s="4" t="n"/>
      <c r="W4" s="4" t="n"/>
    </row>
    <row r="5">
      <c r="A5" s="5" t="inlineStr">
        <is>
          <t>REQ-004</t>
        </is>
      </c>
      <c r="B5" s="5" t="inlineStr">
        <is>
          <t>SWEBOK</t>
        </is>
      </c>
      <c r="C5" s="4" t="inlineStr">
        <is>
          <t>1. 文書構成・全体(SWEBOK 1章全般 / ISO 29148)</t>
        </is>
      </c>
      <c r="D5" s="9" t="inlineStr">
        <is>
          <t>High</t>
        </is>
      </c>
      <c r="E5" s="4" t="inlineStr">
        <is>
          <t>拘束力を示す語(shall/must/should/may 等)の使い分けが定義され、一貫して使われている</t>
        </is>
      </c>
      <c r="F5" s="4" t="inlineStr">
        <is>
          <t>規約の定義節があり、本文の要求文がその規約に従っている</t>
        </is>
      </c>
      <c r="G5" s="4" t="inlineStr">
        <is>
          <t>拘束力語の使い分けが不定だと、努力目標を必須要求と誤解して過剰実装したり、必須要求を任意と誤解して欠落させたりする。要求が「binding(拘束的)」であるかの判定基盤になる。</t>
        </is>
      </c>
      <c r="H5" s="4" t="inlineStr">
        <is>
          <t>swebok-v4a.pdf ch01 Software Requirements &gt; 3.1 Basic Requirements Analysis(binding)/ 実務補完(ISO 29148, RFC 2119)</t>
        </is>
      </c>
      <c r="I5" s="4" t="inlineStr">
        <is>
          <t>CORE</t>
        </is>
      </c>
      <c r="J5" s="4" t="inlineStr">
        <is>
          <t>原則適用。案件スコープ・成果物・規制・リスク上非該当の場合はN/A根拠を記録。</t>
        </is>
      </c>
      <c r="K5" s="4" t="inlineStr">
        <is>
          <t>SRC-SWEBOK-V4A;SRC-ISO-29148;SRC-RFC;SRC-PRACTICE</t>
        </is>
      </c>
      <c r="L5" s="4" t="inlineStr"/>
      <c r="M5" s="4" t="n"/>
      <c r="N5" s="4" t="n"/>
      <c r="O5" s="4" t="n"/>
      <c r="P5" s="4" t="n"/>
      <c r="Q5" s="4" t="n"/>
      <c r="R5" s="4" t="n"/>
      <c r="S5" s="4" t="n"/>
      <c r="T5" s="4" t="n"/>
      <c r="U5" s="4" t="n"/>
      <c r="V5" s="4" t="n"/>
      <c r="W5" s="4" t="n"/>
    </row>
    <row r="6">
      <c r="A6" s="5" t="inlineStr">
        <is>
          <t>REQ-005</t>
        </is>
      </c>
      <c r="B6" s="5" t="inlineStr">
        <is>
          <t>SWEBOK</t>
        </is>
      </c>
      <c r="C6" s="4" t="inlineStr">
        <is>
          <t>1. 文書構成・全体(SWEBOK 1章全般 / ISO 29148)</t>
        </is>
      </c>
      <c r="D6" s="10" t="inlineStr">
        <is>
          <t>Medium</t>
        </is>
      </c>
      <c r="E6" s="4" t="inlineStr">
        <is>
          <t>参照文書(上位計画書、RFP、法令、標準)が版数付きで列挙されている</t>
        </is>
      </c>
      <c r="F6" s="4" t="inlineStr">
        <is>
          <t>参照文書一覧に文書名と版数(または日付)がある</t>
        </is>
      </c>
      <c r="G6" s="4" t="inlineStr">
        <is>
          <t>SWEBOKは要求の後方トレース先として上位文書・標準・規制を挙げる。参照文書の版が不明だと外部一貫性の検証基準が動き、どの版と整合させたのかが変更時に再現できない。</t>
        </is>
      </c>
      <c r="H6" s="4" t="inlineStr">
        <is>
          <t>swebok-v4a.pdf ch01 Software Requirements &gt; 7.3 Requirements Tracing / 2.1 Requirements Sources(非人間源泉)</t>
        </is>
      </c>
      <c r="I6" s="4" t="inlineStr">
        <is>
          <t>CORE</t>
        </is>
      </c>
      <c r="J6" s="4" t="inlineStr">
        <is>
          <t>原則適用。案件スコープ・成果物・規制・リスク上非該当の場合はN/A根拠を記録。</t>
        </is>
      </c>
      <c r="K6" s="4" t="inlineStr">
        <is>
          <t>SRC-SWEBOK-V4A</t>
        </is>
      </c>
      <c r="L6" s="4" t="inlineStr"/>
      <c r="M6" s="4" t="n"/>
      <c r="N6" s="4" t="n"/>
      <c r="O6" s="4" t="n"/>
      <c r="P6" s="4" t="n"/>
      <c r="Q6" s="4" t="n"/>
      <c r="R6" s="4" t="n"/>
      <c r="S6" s="4" t="n"/>
      <c r="T6" s="4" t="n"/>
      <c r="U6" s="4" t="n"/>
      <c r="V6" s="4" t="n"/>
      <c r="W6" s="4" t="n"/>
    </row>
    <row r="7">
      <c r="A7" s="5" t="inlineStr">
        <is>
          <t>REQ-006</t>
        </is>
      </c>
      <c r="B7" s="5" t="inlineStr">
        <is>
          <t>SWEBOK</t>
        </is>
      </c>
      <c r="C7" s="4" t="inlineStr">
        <is>
          <t>1. 文書構成・全体(SWEBOK 1章全般 / ISO 29148)</t>
        </is>
      </c>
      <c r="D7" s="10" t="inlineStr">
        <is>
          <t>Medium</t>
        </is>
      </c>
      <c r="E7" s="4" t="inlineStr">
        <is>
          <t>増分的仕様か包括的仕様かの方針が明記されている</t>
        </is>
      </c>
      <c r="F7" s="4" t="inlineStr">
        <is>
          <t>差分記述か全量記述かが文書内に宣言され、実際の記述方式と一致している</t>
        </is>
      </c>
      <c r="G7" s="4" t="inlineStr">
        <is>
          <t>増分仕様か包括仕様かが宣言されていないと、読者が「書かれていない要求は廃止されたのか前版有効なのか」を判断できず、廃止済み要求の実装や有効要求の欠落を招く。</t>
        </is>
      </c>
      <c r="H7" s="4" t="inlineStr">
        <is>
          <t>swebok-v4a.pdf ch01 Software Requirements &gt; 4.6 Incremental and Comprehensive Requirements Specification</t>
        </is>
      </c>
      <c r="I7" s="4" t="inlineStr">
        <is>
          <t>CORE</t>
        </is>
      </c>
      <c r="J7" s="4" t="inlineStr">
        <is>
          <t>原則適用。案件スコープ・成果物・規制・リスク上非該当の場合はN/A根拠を記録。</t>
        </is>
      </c>
      <c r="K7" s="4" t="inlineStr">
        <is>
          <t>SRC-SWEBOK-V4A</t>
        </is>
      </c>
      <c r="L7" s="4" t="inlineStr"/>
      <c r="M7" s="4" t="n"/>
      <c r="N7" s="4" t="n"/>
      <c r="O7" s="4" t="n"/>
      <c r="P7" s="4" t="n"/>
      <c r="Q7" s="4" t="n"/>
      <c r="R7" s="4" t="n"/>
      <c r="S7" s="4" t="n"/>
      <c r="T7" s="4" t="n"/>
      <c r="U7" s="4" t="n"/>
      <c r="V7" s="4" t="n"/>
      <c r="W7" s="4" t="n"/>
    </row>
    <row r="8">
      <c r="A8" s="5" t="inlineStr">
        <is>
          <t>REQ-007</t>
        </is>
      </c>
      <c r="B8" s="5" t="inlineStr">
        <is>
          <t>SWEBOK</t>
        </is>
      </c>
      <c r="C8" s="4" t="inlineStr">
        <is>
          <t>1. 文書構成・全体(SWEBOK 1章全般 / ISO 29148)</t>
        </is>
      </c>
      <c r="D8" s="10" t="inlineStr">
        <is>
          <t>Medium</t>
        </is>
      </c>
      <c r="E8" s="4" t="inlineStr">
        <is>
          <t>未決事項(TBD/TBR)が識別子付きで一覧管理され、解決期限か担当が付いている</t>
        </is>
      </c>
      <c r="F8" s="4" t="inlineStr">
        <is>
          <t>TBDが本文に散在するだけでなく一覧化され、各件に担当または期限がある</t>
        </is>
      </c>
      <c r="G8" s="4" t="inlineStr">
        <is>
          <t>SWEBOKの言う「不完全性」問題の管理装置。TBDが本文に散在したまま放置されると、未決のまま設計・実装が進み、後工程での判明時に指数的な手戻りコストになる。</t>
        </is>
      </c>
      <c r="H8" s="4" t="inlineStr">
        <is>
          <t>swebok-v4a.pdf ch01 Software Requirements &gt; 3.1 Basic Requirements Analysis(complete)/ 実務補完(ISO 29148)</t>
        </is>
      </c>
      <c r="I8" s="4" t="inlineStr">
        <is>
          <t>CORE</t>
        </is>
      </c>
      <c r="J8" s="4" t="inlineStr">
        <is>
          <t>原則適用。案件スコープ・成果物・規制・リスク上非該当の場合はN/A根拠を記録。</t>
        </is>
      </c>
      <c r="K8" s="4" t="inlineStr">
        <is>
          <t>SRC-SWEBOK-V4A;SRC-ISO-29148;SRC-PRACTICE</t>
        </is>
      </c>
      <c r="L8" s="4" t="inlineStr"/>
      <c r="M8" s="4" t="n"/>
      <c r="N8" s="4" t="n"/>
      <c r="O8" s="4" t="n"/>
      <c r="P8" s="4" t="n"/>
      <c r="Q8" s="4" t="n"/>
      <c r="R8" s="4" t="n"/>
      <c r="S8" s="4" t="n"/>
      <c r="T8" s="4" t="n"/>
      <c r="U8" s="4" t="n"/>
      <c r="V8" s="4" t="n"/>
      <c r="W8" s="4" t="n"/>
    </row>
    <row r="9">
      <c r="A9" s="5" t="inlineStr">
        <is>
          <t>REQ-008</t>
        </is>
      </c>
      <c r="B9" s="5" t="inlineStr">
        <is>
          <t>SWEBOK</t>
        </is>
      </c>
      <c r="C9" s="4" t="inlineStr">
        <is>
          <t>1. 文書構成・全体(SWEBOK 1章全般 / ISO 29148)</t>
        </is>
      </c>
      <c r="D9" s="11" t="inlineStr">
        <is>
          <t>Low</t>
        </is>
      </c>
      <c r="E9" s="4" t="inlineStr">
        <is>
          <t>変更履歴(版数・日付・変更者・変更概要)がある</t>
        </is>
      </c>
      <c r="F9" s="4" t="inlineStr">
        <is>
          <t>変更履歴表が存在し、最新版の記録がある</t>
        </is>
      </c>
      <c r="G9" s="4" t="inlineStr">
        <is>
          <t>要求文書は他の成果物と同様に構成管理の対象であるべきというSWEBOKの原則の最小形。履歴がないと、レビューや承認がどの版に対して行われたかを事後に特定できない。</t>
        </is>
      </c>
      <c r="H9" s="4" t="inlineStr">
        <is>
          <t>swebok-v4a.pdf ch01 Software Requirements &gt; 4. Requirements Specification(構成管理)/ 6.2 Requirements Change Control</t>
        </is>
      </c>
      <c r="I9" s="4" t="inlineStr">
        <is>
          <t>CORE</t>
        </is>
      </c>
      <c r="J9" s="4" t="inlineStr">
        <is>
          <t>原則適用。案件スコープ・成果物・規制・リスク上非該当の場合はN/A根拠を記録。</t>
        </is>
      </c>
      <c r="K9" s="4" t="inlineStr">
        <is>
          <t>SRC-SWEBOK-V4A</t>
        </is>
      </c>
      <c r="L9" s="4" t="inlineStr"/>
      <c r="M9" s="4" t="n"/>
      <c r="N9" s="4" t="n"/>
      <c r="O9" s="4" t="n"/>
      <c r="P9" s="4" t="n"/>
      <c r="Q9" s="4" t="n"/>
      <c r="R9" s="4" t="n"/>
      <c r="S9" s="4" t="n"/>
      <c r="T9" s="4" t="n"/>
      <c r="U9" s="4" t="n"/>
      <c r="V9" s="4" t="n"/>
      <c r="W9" s="4" t="n"/>
    </row>
    <row r="10">
      <c r="A10" s="5" t="inlineStr">
        <is>
          <t>REQ-101</t>
        </is>
      </c>
      <c r="B10" s="5" t="inlineStr">
        <is>
          <t>SWEBOK</t>
        </is>
      </c>
      <c r="C10" s="4" t="inlineStr">
        <is>
          <t>2. 個々の要求の記述品質(SWEBOK 3.1)</t>
        </is>
      </c>
      <c r="D10" s="8" t="inlineStr">
        <is>
          <t>Critical</t>
        </is>
      </c>
      <c r="E10" s="4" t="inlineStr">
        <is>
          <t>要求文に曖昧語がない</t>
        </is>
      </c>
      <c r="F10" s="4" t="inlineStr">
        <is>
          <t>「など」「等」「適切に」「可能な限り」「柔軟に」「高速に」「使いやすい」等の検証不能語が要求文(shall文)に含まれない。含む場合は数値・列挙・条件で具体化されている</t>
        </is>
      </c>
      <c r="G10" s="4" t="inlineStr">
        <is>
          <t>SWEBOKが実プロジェクトの二大要求問題の一つに挙げる「曖昧性」への直接の防御。曖昧語は複数解釈のうち誤った1つで実装される欠陥の温床であり、受入時の紛争原因にもなる。</t>
        </is>
      </c>
      <c r="H10" s="4" t="inlineStr">
        <is>
          <t>swebok-v4a.pdf ch01 Software Requirements &gt; 3.1 Basic Requirements Analysis(unambiguous)</t>
        </is>
      </c>
      <c r="I10" s="4" t="inlineStr">
        <is>
          <t>CORE</t>
        </is>
      </c>
      <c r="J10" s="4" t="inlineStr">
        <is>
          <t>原則適用。案件スコープ・成果物・規制・リスク上非該当の場合はN/A根拠を記録。</t>
        </is>
      </c>
      <c r="K10" s="4" t="inlineStr">
        <is>
          <t>SRC-SWEBOK-V4A</t>
        </is>
      </c>
      <c r="L10" s="4" t="inlineStr"/>
      <c r="M10" s="4" t="n"/>
      <c r="N10" s="4" t="n"/>
      <c r="O10" s="4" t="n"/>
      <c r="P10" s="4" t="n"/>
      <c r="Q10" s="4" t="n"/>
      <c r="R10" s="4" t="n"/>
      <c r="S10" s="4" t="n"/>
      <c r="T10" s="4" t="n"/>
      <c r="U10" s="4" t="n"/>
      <c r="V10" s="4" t="n"/>
      <c r="W10" s="4" t="n"/>
    </row>
    <row r="11">
      <c r="A11" s="5" t="inlineStr">
        <is>
          <t>REQ-102</t>
        </is>
      </c>
      <c r="B11" s="5" t="inlineStr">
        <is>
          <t>SWEBOK</t>
        </is>
      </c>
      <c r="C11" s="4" t="inlineStr">
        <is>
          <t>2. 個々の要求の記述品質(SWEBOK 3.1)</t>
        </is>
      </c>
      <c r="D11" s="8" t="inlineStr">
        <is>
          <t>Critical</t>
        </is>
      </c>
      <c r="E11" s="4" t="inlineStr">
        <is>
          <t>各要求がテスト可能である</t>
        </is>
      </c>
      <c r="F11" s="4" t="inlineStr">
        <is>
          <t>各要求について検証方法(テスト・検査・分析・デモのいずれか)が記載されているか、合否判定手順を第三者が書ける程度に具体的である</t>
        </is>
      </c>
      <c r="G11" s="4" t="inlineStr">
        <is>
          <t>テスト不能な要求は合否を客観的に示せず、実装完了の判定が主観論争になる。SWEBOKは「準拠・非準拠を明確に実証できる(testable/quantified)」ことを要求の望ましい性質として明示する。</t>
        </is>
      </c>
      <c r="H11" s="4" t="inlineStr">
        <is>
          <t>swebok-v4a.pdf ch01 Software Requirements &gt; 3.1 Basic Requirements Analysis(testable)</t>
        </is>
      </c>
      <c r="I11" s="4" t="inlineStr">
        <is>
          <t>CORE</t>
        </is>
      </c>
      <c r="J11" s="4" t="inlineStr">
        <is>
          <t>原則適用。案件スコープ・成果物・規制・リスク上非該当の場合はN/A根拠を記録。</t>
        </is>
      </c>
      <c r="K11" s="4" t="inlineStr">
        <is>
          <t>SRC-SWEBOK-V4A</t>
        </is>
      </c>
      <c r="L11" s="4" t="inlineStr"/>
      <c r="M11" s="4" t="n"/>
      <c r="N11" s="4" t="n"/>
      <c r="O11" s="4" t="n"/>
      <c r="P11" s="4" t="n"/>
      <c r="Q11" s="4" t="n"/>
      <c r="R11" s="4" t="n"/>
      <c r="S11" s="4" t="n"/>
      <c r="T11" s="4" t="n"/>
      <c r="U11" s="4" t="n"/>
      <c r="V11" s="4" t="n"/>
      <c r="W11" s="4" t="n"/>
    </row>
    <row r="12">
      <c r="A12" s="5" t="inlineStr">
        <is>
          <t>REQ-103</t>
        </is>
      </c>
      <c r="B12" s="5" t="inlineStr">
        <is>
          <t>SWEBOK</t>
        </is>
      </c>
      <c r="C12" s="4" t="inlineStr">
        <is>
          <t>2. 個々の要求の記述品質(SWEBOK 3.1)</t>
        </is>
      </c>
      <c r="D12" s="8" t="inlineStr">
        <is>
          <t>Critical</t>
        </is>
      </c>
      <c r="E12" s="4" t="inlineStr">
        <is>
          <t>各要求が原子的である(1要求1事項)</t>
        </is>
      </c>
      <c r="F12" s="4" t="inlineStr">
        <is>
          <t>1つの要求文に独立に検証すべき事項が2つ以上含まれない(「および」「かつ」で複数の別個の振る舞いを連結していない)</t>
        </is>
      </c>
      <c r="G12" s="4" t="inlineStr">
        <is>
          <t>複数事項を束ねた要求は一部実装・一部未実装の状態を表現できず、トレースや優先順位付けの単位が壊れる。SWEBOKは「atomic(単一の決定を表す)」を望ましい性質に挙げる。</t>
        </is>
      </c>
      <c r="H12" s="4" t="inlineStr">
        <is>
          <t>swebok-v4a.pdf ch01 Software Requirements &gt; 3.1 Basic Requirements Analysis(atomic)</t>
        </is>
      </c>
      <c r="I12" s="4" t="inlineStr">
        <is>
          <t>CORE</t>
        </is>
      </c>
      <c r="J12" s="4" t="inlineStr">
        <is>
          <t>原則適用。案件スコープ・成果物・規制・リスク上非該当の場合はN/A根拠を記録。</t>
        </is>
      </c>
      <c r="K12" s="4" t="inlineStr">
        <is>
          <t>SRC-SWEBOK-V4A</t>
        </is>
      </c>
      <c r="L12" s="4" t="inlineStr"/>
      <c r="M12" s="4" t="n"/>
      <c r="N12" s="4" t="n"/>
      <c r="O12" s="4" t="n"/>
      <c r="P12" s="4" t="n"/>
      <c r="Q12" s="4" t="n"/>
      <c r="R12" s="4" t="n"/>
      <c r="S12" s="4" t="n"/>
      <c r="T12" s="4" t="n"/>
      <c r="U12" s="4" t="n"/>
      <c r="V12" s="4" t="n"/>
      <c r="W12" s="4" t="n"/>
    </row>
    <row r="13">
      <c r="A13" s="5" t="inlineStr">
        <is>
          <t>REQ-104</t>
        </is>
      </c>
      <c r="B13" s="5" t="inlineStr">
        <is>
          <t>SWEBOK</t>
        </is>
      </c>
      <c r="C13" s="4" t="inlineStr">
        <is>
          <t>2. 個々の要求の記述品質(SWEBOK 3.1)</t>
        </is>
      </c>
      <c r="D13" s="9" t="inlineStr">
        <is>
          <t>High</t>
        </is>
      </c>
      <c r="E13" s="4" t="inlineStr">
        <is>
          <t>要求が解決手段でなく必要性(真のニーズ)を表している</t>
        </is>
      </c>
      <c r="F13" s="4" t="inlineStr">
        <is>
          <t>実装手段の指定(特定ライブラリ・アルゴリズム等)が、意図的な技術制約として根拠付きで書かれている場合を除き要求文に現れない</t>
        </is>
      </c>
      <c r="G13" s="4" t="inlineStr">
        <is>
          <t>手段として語られた要望をそのまま要求化すると、真の問題を解かない次善解を実装するリスクがある(SWEBOKが5-whysで警告する点)。設計の自由度も不必要に奪われる。</t>
        </is>
      </c>
      <c r="H13" s="4" t="inlineStr">
        <is>
          <t>swebok-v4a.pdf ch01 Software Requirements &gt; 3.1 Basic Requirements Analysis(represent true stakeholder needs / 5-whys)</t>
        </is>
      </c>
      <c r="I13" s="4" t="inlineStr">
        <is>
          <t>CORE</t>
        </is>
      </c>
      <c r="J13" s="4" t="inlineStr">
        <is>
          <t>原則適用。案件スコープ・成果物・規制・リスク上非該当の場合はN/A根拠を記録。</t>
        </is>
      </c>
      <c r="K13" s="4" t="inlineStr">
        <is>
          <t>SRC-SWEBOK-V4A</t>
        </is>
      </c>
      <c r="L13" s="4" t="inlineStr"/>
      <c r="M13" s="4" t="n"/>
      <c r="N13" s="4" t="n"/>
      <c r="O13" s="4" t="n"/>
      <c r="P13" s="4" t="n"/>
      <c r="Q13" s="4" t="n"/>
      <c r="R13" s="4" t="n"/>
      <c r="S13" s="4" t="n"/>
      <c r="T13" s="4" t="n"/>
      <c r="U13" s="4" t="n"/>
      <c r="V13" s="4" t="n"/>
      <c r="W13" s="4" t="n"/>
    </row>
    <row r="14">
      <c r="A14" s="5" t="inlineStr">
        <is>
          <t>REQ-105</t>
        </is>
      </c>
      <c r="B14" s="5" t="inlineStr">
        <is>
          <t>SWEBOK</t>
        </is>
      </c>
      <c r="C14" s="4" t="inlineStr">
        <is>
          <t>2. 個々の要求の記述品質(SWEBOK 3.1)</t>
        </is>
      </c>
      <c r="D14" s="9" t="inlineStr">
        <is>
          <t>High</t>
        </is>
      </c>
      <c r="E14" s="4" t="inlineStr">
        <is>
          <t>要求がステークホルダーの語彙で書かれている</t>
        </is>
      </c>
      <c r="F14" s="4" t="inlineStr">
        <is>
          <t>業務要求の記述に開発内部用語(テーブル名・クラス名等)が使われていない</t>
        </is>
      </c>
      <c r="G14" s="4" t="inlineStr">
        <is>
          <t>開発内部用語で書かれた要求はステークホルダーが検証できず、SWEBOKが要求分類の利点として挙げる「業務専門家が自分に関係する要求だけをレビューできる」構図が崩れて妥当性確認が形骸化する。</t>
        </is>
      </c>
      <c r="H14" s="4" t="inlineStr">
        <is>
          <t>swebok-v4a.pdf ch01 Software Requirements &gt; 3.1 Basic Requirements Analysis(use stakeholder vocabulary)</t>
        </is>
      </c>
      <c r="I14" s="4" t="inlineStr">
        <is>
          <t>CORE</t>
        </is>
      </c>
      <c r="J14" s="4" t="inlineStr">
        <is>
          <t>原則適用。案件スコープ・成果物・規制・リスク上非該当の場合はN/A根拠を記録。</t>
        </is>
      </c>
      <c r="K14" s="4" t="inlineStr">
        <is>
          <t>SRC-SWEBOK-V4A</t>
        </is>
      </c>
      <c r="L14" s="4" t="inlineStr"/>
      <c r="M14" s="4" t="n"/>
      <c r="N14" s="4" t="n"/>
      <c r="O14" s="4" t="n"/>
      <c r="P14" s="4" t="n"/>
      <c r="Q14" s="4" t="n"/>
      <c r="R14" s="4" t="n"/>
      <c r="S14" s="4" t="n"/>
      <c r="T14" s="4" t="n"/>
      <c r="U14" s="4" t="n"/>
      <c r="V14" s="4" t="n"/>
      <c r="W14" s="4" t="n"/>
    </row>
    <row r="15">
      <c r="A15" s="5" t="inlineStr">
        <is>
          <t>REQ-106</t>
        </is>
      </c>
      <c r="B15" s="5" t="inlineStr">
        <is>
          <t>SWEBOK</t>
        </is>
      </c>
      <c r="C15" s="4" t="inlineStr">
        <is>
          <t>2. 個々の要求の記述品質(SWEBOK 3.1)</t>
        </is>
      </c>
      <c r="D15" s="9" t="inlineStr">
        <is>
          <t>High</t>
        </is>
      </c>
      <c r="E15" s="4" t="inlineStr">
        <is>
          <t>各要求の根拠(rationale)が記録されている</t>
        </is>
      </c>
      <c r="F15" s="4" t="inlineStr">
        <is>
          <t>全要求または少なくとも Critical/High 優先度の要求に、なぜ必要かの根拠属性がある</t>
        </is>
      </c>
      <c r="G15" s="4" t="inlineStr">
        <is>
          <t>根拠のない要求は保守期に「なぜこの機能があるのか」を復元できず、変更影響の判断を誤らせる。SWEBOKは要求文書の長期的役割を「意図の伝達」と位置づけ、rationaleを推奨属性に挙げる。</t>
        </is>
      </c>
      <c r="H15" s="4" t="inlineStr">
        <is>
          <t>swebok-v4a.pdf ch01 Software Requirements &gt; 4.5 Additional Attributes of Requirements(rationale)</t>
        </is>
      </c>
      <c r="I15" s="4" t="inlineStr">
        <is>
          <t>CORE</t>
        </is>
      </c>
      <c r="J15" s="4" t="inlineStr">
        <is>
          <t>原則適用。案件スコープ・成果物・規制・リスク上非該当の場合はN/A根拠を記録。</t>
        </is>
      </c>
      <c r="K15" s="4" t="inlineStr">
        <is>
          <t>SRC-SWEBOK-V4A</t>
        </is>
      </c>
      <c r="L15" s="4" t="inlineStr"/>
      <c r="M15" s="4" t="n"/>
      <c r="N15" s="4" t="n"/>
      <c r="O15" s="4" t="n"/>
      <c r="P15" s="4" t="n"/>
      <c r="Q15" s="4" t="n"/>
      <c r="R15" s="4" t="n"/>
      <c r="S15" s="4" t="n"/>
      <c r="T15" s="4" t="n"/>
      <c r="U15" s="4" t="n"/>
      <c r="V15" s="4" t="n"/>
      <c r="W15" s="4" t="n"/>
    </row>
    <row r="16">
      <c r="A16" s="5" t="inlineStr">
        <is>
          <t>REQ-107</t>
        </is>
      </c>
      <c r="B16" s="5" t="inlineStr">
        <is>
          <t>SWEBOK</t>
        </is>
      </c>
      <c r="C16" s="4" t="inlineStr">
        <is>
          <t>2. 個々の要求の記述品質(SWEBOK 3.1)</t>
        </is>
      </c>
      <c r="D16" s="9" t="inlineStr">
        <is>
          <t>High</t>
        </is>
      </c>
      <c r="E16" s="4" t="inlineStr">
        <is>
          <t>各要求の源泉(誰が・どこから)が記録されている</t>
        </is>
      </c>
      <c r="F16" s="4" t="inlineStr">
        <is>
          <t>要求属性またはRTMで、各要求の源泉(ステークホルダー名、参照文書、内部派生)が特定できる</t>
        </is>
      </c>
      <c r="G16" s="4" t="inlineStr">
        <is>
          <t>源泉が不明な要求は対立発生時に交渉相手を特定できず、契約上の顧客トレーサビリティも取れない。SWEBOKはsourceを推奨属性とし、後方トレースの起点とする。</t>
        </is>
      </c>
      <c r="H16" s="4" t="inlineStr">
        <is>
          <t>swebok-v4a.pdf ch01 Software Requirements &gt; 4.5 Additional Attributes of Requirements(source)/ 7.3 Requirements Tracing</t>
        </is>
      </c>
      <c r="I16" s="4" t="inlineStr">
        <is>
          <t>CORE</t>
        </is>
      </c>
      <c r="J16" s="4" t="inlineStr">
        <is>
          <t>原則適用。案件スコープ・成果物・規制・リスク上非該当の場合はN/A根拠を記録。</t>
        </is>
      </c>
      <c r="K16" s="4" t="inlineStr">
        <is>
          <t>SRC-SWEBOK-V4A</t>
        </is>
      </c>
      <c r="L16" s="4" t="inlineStr"/>
      <c r="M16" s="4" t="n"/>
      <c r="N16" s="4" t="n"/>
      <c r="O16" s="4" t="n"/>
      <c r="P16" s="4" t="n"/>
      <c r="Q16" s="4" t="n"/>
      <c r="R16" s="4" t="n"/>
      <c r="S16" s="4" t="n"/>
      <c r="T16" s="4" t="n"/>
      <c r="U16" s="4" t="n"/>
      <c r="V16" s="4" t="n"/>
      <c r="W16" s="4" t="n"/>
    </row>
    <row r="17">
      <c r="A17" s="5" t="inlineStr">
        <is>
          <t>REQ-108</t>
        </is>
      </c>
      <c r="B17" s="5" t="inlineStr">
        <is>
          <t>SWEBOK</t>
        </is>
      </c>
      <c r="C17" s="4" t="inlineStr">
        <is>
          <t>2. 個々の要求の記述品質(SWEBOK 3.1)</t>
        </is>
      </c>
      <c r="D17" s="10" t="inlineStr">
        <is>
          <t>Medium</t>
        </is>
      </c>
      <c r="E17" s="4" t="inlineStr">
        <is>
          <t>受動態・主語欠落による責任主体の不明確さがない</t>
        </is>
      </c>
      <c r="F17" s="4" t="inlineStr">
        <is>
          <t>各要求文で動作の主体(システム名またはアクター)が特定できる</t>
        </is>
      </c>
      <c r="G17" s="4" t="inlineStr">
        <is>
          <t>主体欠落の要求文はSWEBOKの構造化自然言語(actor-action形式)が防ごうとする典型的曖昧性であり、「誰が実施するのか」の解釈違いによる実装漏れ・二重実装を生む。</t>
        </is>
      </c>
      <c r="H17" s="4" t="inlineStr">
        <is>
          <t>swebok-v4a.pdf ch01 Software Requirements &gt; 4.2 Structured Natural Language Requirements Specification(actor-action)</t>
        </is>
      </c>
      <c r="I17" s="4" t="inlineStr">
        <is>
          <t>CORE</t>
        </is>
      </c>
      <c r="J17" s="4" t="inlineStr">
        <is>
          <t>原則適用。案件スコープ・成果物・規制・リスク上非該当の場合はN/A根拠を記録。</t>
        </is>
      </c>
      <c r="K17" s="4" t="inlineStr">
        <is>
          <t>SRC-SWEBOK-V4A</t>
        </is>
      </c>
      <c r="L17" s="4" t="inlineStr"/>
      <c r="M17" s="4" t="n"/>
      <c r="N17" s="4" t="n"/>
      <c r="O17" s="4" t="n"/>
      <c r="P17" s="4" t="n"/>
      <c r="Q17" s="4" t="n"/>
      <c r="R17" s="4" t="n"/>
      <c r="S17" s="4" t="n"/>
      <c r="T17" s="4" t="n"/>
      <c r="U17" s="4" t="n"/>
      <c r="V17" s="4" t="n"/>
      <c r="W17" s="4" t="n"/>
    </row>
    <row r="18">
      <c r="A18" s="5" t="inlineStr">
        <is>
          <t>REQ-109</t>
        </is>
      </c>
      <c r="B18" s="5" t="inlineStr">
        <is>
          <t>SWEBOK</t>
        </is>
      </c>
      <c r="C18" s="4" t="inlineStr">
        <is>
          <t>2. 個々の要求の記述品質(SWEBOK 3.1)</t>
        </is>
      </c>
      <c r="D18" s="10" t="inlineStr">
        <is>
          <t>Medium</t>
        </is>
      </c>
      <c r="E18" s="4" t="inlineStr">
        <is>
          <t>否定形の要求(〜しない)が検証可能な形で書かれている</t>
        </is>
      </c>
      <c r="F18" s="4" t="inlineStr">
        <is>
          <t>禁止要求には条件・範囲が付き、有限の手続きで検証できる形になっている</t>
        </is>
      </c>
      <c r="G18" s="4" t="inlineStr">
        <is>
          <t>無条件の禁止要求(〜してはならない)は有限のテストで実証できず、テスト可能性の性質を満たさない。範囲・条件を付けないと検証計画が立てられず受入基準が空洞化する。</t>
        </is>
      </c>
      <c r="H18" s="4" t="inlineStr">
        <is>
          <t>swebok-v4a.pdf ch01 Software Requirements &gt; 3.1 Basic Requirements Analysis(testable)の適用</t>
        </is>
      </c>
      <c r="I18" s="4" t="inlineStr">
        <is>
          <t>CORE</t>
        </is>
      </c>
      <c r="J18" s="4" t="inlineStr">
        <is>
          <t>原則適用。案件スコープ・成果物・規制・リスク上非該当の場合はN/A根拠を記録。</t>
        </is>
      </c>
      <c r="K18" s="4" t="inlineStr">
        <is>
          <t>SRC-SWEBOK-V4A</t>
        </is>
      </c>
      <c r="L18" s="4" t="inlineStr"/>
      <c r="M18" s="4" t="n"/>
      <c r="N18" s="4" t="n"/>
      <c r="O18" s="4" t="n"/>
      <c r="P18" s="4" t="n"/>
      <c r="Q18" s="4" t="n"/>
      <c r="R18" s="4" t="n"/>
      <c r="S18" s="4" t="n"/>
      <c r="T18" s="4" t="n"/>
      <c r="U18" s="4" t="n"/>
      <c r="V18" s="4" t="n"/>
      <c r="W18" s="4" t="n"/>
    </row>
    <row r="19">
      <c r="A19" s="5" t="inlineStr">
        <is>
          <t>REQ-201</t>
        </is>
      </c>
      <c r="B19" s="5" t="inlineStr">
        <is>
          <t>SWEBOK</t>
        </is>
      </c>
      <c r="C19" s="4" t="inlineStr">
        <is>
          <t>3. 要求集合の品質(SWEBOK 3.1)</t>
        </is>
      </c>
      <c r="D19" s="8" t="inlineStr">
        <is>
          <t>Critical</t>
        </is>
      </c>
      <c r="E19" s="4" t="inlineStr">
        <is>
          <t>要求間に矛盾がない(内部一貫性)</t>
        </is>
      </c>
      <c r="F19" s="4" t="inlineStr">
        <is>
          <t>同一事象に対して相反する振る舞い・数値を定める要求の組が存在しない</t>
        </is>
      </c>
      <c r="G19" s="4" t="inlineStr">
        <is>
          <t>矛盾した要求は両方を同時に満たす実装が存在せず、発見が遅いほど設計・コードの作り直しが大きい。SWEBOKは要求集合の望ましい性質としてinternally consistentを明示する。</t>
        </is>
      </c>
      <c r="H19" s="4" t="inlineStr">
        <is>
          <t>swebok-v4a.pdf ch01 Software Requirements &gt; 3.1 Basic Requirements Analysis(internally consistent)</t>
        </is>
      </c>
      <c r="I19" s="4" t="inlineStr">
        <is>
          <t>CORE</t>
        </is>
      </c>
      <c r="J19" s="4" t="inlineStr">
        <is>
          <t>原則適用。案件スコープ・成果物・規制・リスク上非該当の場合はN/A根拠を記録。</t>
        </is>
      </c>
      <c r="K19" s="4" t="inlineStr">
        <is>
          <t>SRC-SWEBOK-V4A</t>
        </is>
      </c>
      <c r="L19" s="4" t="inlineStr"/>
      <c r="M19" s="4" t="n"/>
      <c r="N19" s="4" t="n"/>
      <c r="O19" s="4" t="n"/>
      <c r="P19" s="4" t="n"/>
      <c r="Q19" s="4" t="n"/>
      <c r="R19" s="4" t="n"/>
      <c r="S19" s="4" t="n"/>
      <c r="T19" s="4" t="n"/>
      <c r="U19" s="4" t="n"/>
      <c r="V19" s="4" t="n"/>
      <c r="W19" s="4" t="n"/>
    </row>
    <row r="20">
      <c r="A20" s="5" t="inlineStr">
        <is>
          <t>REQ-202</t>
        </is>
      </c>
      <c r="B20" s="5" t="inlineStr">
        <is>
          <t>SWEBOK</t>
        </is>
      </c>
      <c r="C20" s="4" t="inlineStr">
        <is>
          <t>3. 要求集合の品質(SWEBOK 3.1)</t>
        </is>
      </c>
      <c r="D20" s="8" t="inlineStr">
        <is>
          <t>Critical</t>
        </is>
      </c>
      <c r="E20" s="4" t="inlineStr">
        <is>
          <t>上位文書・関連システム仕様と矛盾がない(外部一貫性)</t>
        </is>
      </c>
      <c r="F20" s="4" t="inlineStr">
        <is>
          <t>ビジネス要求文書・システム要求・インターフェース相手の仕様と矛盾する記述がない</t>
        </is>
      </c>
      <c r="G20" s="4" t="inlineStr">
        <is>
          <t>上位文書や連携先仕様との矛盾は結合テストや受入で初めて露見し、責任分界の紛争になりやすい。SWEBOKはexternally consistent(源泉資料と矛盾しない)を要求集合の性質として挙げる。</t>
        </is>
      </c>
      <c r="H20" s="4" t="inlineStr">
        <is>
          <t>swebok-v4a.pdf ch01 Software Requirements &gt; 3.1 Basic Requirements Analysis(externally consistent)</t>
        </is>
      </c>
      <c r="I20" s="4" t="inlineStr">
        <is>
          <t>CORE</t>
        </is>
      </c>
      <c r="J20" s="4" t="inlineStr">
        <is>
          <t>原則適用。案件スコープ・成果物・規制・リスク上非該当の場合はN/A根拠を記録。</t>
        </is>
      </c>
      <c r="K20" s="4" t="inlineStr">
        <is>
          <t>SRC-SWEBOK-V4A</t>
        </is>
      </c>
      <c r="L20" s="4" t="inlineStr"/>
      <c r="M20" s="4" t="n"/>
      <c r="N20" s="4" t="n"/>
      <c r="O20" s="4" t="n"/>
      <c r="P20" s="4" t="n"/>
      <c r="Q20" s="4" t="n"/>
      <c r="R20" s="4" t="n"/>
      <c r="S20" s="4" t="n"/>
      <c r="T20" s="4" t="n"/>
      <c r="U20" s="4" t="n"/>
      <c r="V20" s="4" t="n"/>
      <c r="W20" s="4" t="n"/>
    </row>
    <row r="21">
      <c r="A21" s="5" t="inlineStr">
        <is>
          <t>REQ-203</t>
        </is>
      </c>
      <c r="B21" s="5" t="inlineStr">
        <is>
          <t>SWEBOK</t>
        </is>
      </c>
      <c r="C21" s="4" t="inlineStr">
        <is>
          <t>3. 要求集合の品質(SWEBOK 3.1)</t>
        </is>
      </c>
      <c r="D21" s="9" t="inlineStr">
        <is>
          <t>High</t>
        </is>
      </c>
      <c r="E21" s="4" t="inlineStr">
        <is>
          <t>既知のスコープに対して要求集合が完全である</t>
        </is>
      </c>
      <c r="F21" s="4" t="inlineStr">
        <is>
          <t>スコープ定義に列挙された業務・機能領域のすべてに対応する要求が存在するか、未着手領域がTBD一覧に載っている</t>
        </is>
      </c>
      <c r="G21" s="4" t="inlineStr">
        <is>
          <t>SWEBOKが実プロジェクトの二大問題の筆頭に挙げる「不完全性」への防御。スコープ内で要求が欠けている領域は、実装段階で仕様が即興で決められ手戻りと品質劣化を生む。</t>
        </is>
      </c>
      <c r="H21" s="4" t="inlineStr">
        <is>
          <t>swebok-v4a.pdf ch01 Software Requirements &gt; 3.1 Basic Requirements Analysis(complete)</t>
        </is>
      </c>
      <c r="I21" s="4" t="inlineStr">
        <is>
          <t>CORE</t>
        </is>
      </c>
      <c r="J21" s="4" t="inlineStr">
        <is>
          <t>原則適用。案件スコープ・成果物・規制・リスク上非該当の場合はN/A根拠を記録。</t>
        </is>
      </c>
      <c r="K21" s="4" t="inlineStr">
        <is>
          <t>SRC-SWEBOK-V4A</t>
        </is>
      </c>
      <c r="L21" s="4" t="inlineStr"/>
      <c r="M21" s="4" t="n"/>
      <c r="N21" s="4" t="n"/>
      <c r="O21" s="4" t="n"/>
      <c r="P21" s="4" t="n"/>
      <c r="Q21" s="4" t="n"/>
      <c r="R21" s="4" t="n"/>
      <c r="S21" s="4" t="n"/>
      <c r="T21" s="4" t="n"/>
      <c r="U21" s="4" t="n"/>
      <c r="V21" s="4" t="n"/>
      <c r="W21" s="4" t="n"/>
    </row>
    <row r="22">
      <c r="A22" s="5" t="inlineStr">
        <is>
          <t>REQ-204</t>
        </is>
      </c>
      <c r="B22" s="5" t="inlineStr">
        <is>
          <t>SWEBOK</t>
        </is>
      </c>
      <c r="C22" s="4" t="inlineStr">
        <is>
          <t>3. 要求集合の品質(SWEBOK 3.1)</t>
        </is>
      </c>
      <c r="D22" s="9" t="inlineStr">
        <is>
          <t>High</t>
        </is>
      </c>
      <c r="E22" s="4" t="inlineStr">
        <is>
          <t>重複要求がない(簡潔性)</t>
        </is>
      </c>
      <c r="F22" s="4" t="inlineStr">
        <is>
          <t>同一内容の要求が別IDで二重記載されていない(意図的な参照は除く)</t>
        </is>
      </c>
      <c r="G22" s="4" t="inlineStr">
        <is>
          <t>重複要求は片方だけ変更される不整合の温床で、規模計測や優先順位付けも歪める。SWEBOKはconcise(余分な内容がない)を要求集合の性質として挙げる。</t>
        </is>
      </c>
      <c r="H22" s="4" t="inlineStr">
        <is>
          <t>swebok-v4a.pdf ch01 Software Requirements &gt; 3.1 Basic Requirements Analysis(concise)</t>
        </is>
      </c>
      <c r="I22" s="4" t="inlineStr">
        <is>
          <t>CORE</t>
        </is>
      </c>
      <c r="J22" s="4" t="inlineStr">
        <is>
          <t>原則適用。案件スコープ・成果物・規制・リスク上非該当の場合はN/A根拠を記録。</t>
        </is>
      </c>
      <c r="K22" s="4" t="inlineStr">
        <is>
          <t>SRC-SWEBOK-V4A;SRC-CIS</t>
        </is>
      </c>
      <c r="L22" s="4" t="inlineStr"/>
      <c r="M22" s="4" t="n"/>
      <c r="N22" s="4" t="n"/>
      <c r="O22" s="4" t="n"/>
      <c r="P22" s="4" t="n"/>
      <c r="Q22" s="4" t="n"/>
      <c r="R22" s="4" t="n"/>
      <c r="S22" s="4" t="n"/>
      <c r="T22" s="4" t="n"/>
      <c r="U22" s="4" t="n"/>
      <c r="V22" s="4" t="n"/>
      <c r="W22" s="4" t="n"/>
    </row>
    <row r="23">
      <c r="A23" s="5" t="inlineStr">
        <is>
          <t>REQ-205</t>
        </is>
      </c>
      <c r="B23" s="5" t="inlineStr">
        <is>
          <t>SWEBOK</t>
        </is>
      </c>
      <c r="C23" s="4" t="inlineStr">
        <is>
          <t>3. 要求集合の品質(SWEBOK 3.1)</t>
        </is>
      </c>
      <c r="D23" s="9" t="inlineStr">
        <is>
          <t>High</t>
        </is>
      </c>
      <c r="E23" s="4" t="inlineStr">
        <is>
          <t>要求集合が実現可能である</t>
        </is>
      </c>
      <c r="F23" s="4" t="inlineStr">
        <is>
          <t>技術的・期間的に実現性が疑わしい要求について、実現可能性の検討記録(PoC、有識者確認等)がある</t>
        </is>
      </c>
      <c r="G23" s="4" t="inlineStr">
        <is>
          <t>実現不能な要求を含んだまま合意すると、開発後半で達成不能が判明しスコープ交渉が最悪のタイミングで発生する。SWEBOKはfeasible(制約内で実行可能な解が作れる)を要求集合の性質として挙げる。</t>
        </is>
      </c>
      <c r="H23" s="4" t="inlineStr">
        <is>
          <t>swebok-v4a.pdf ch01 Software Requirements &gt; 3.1 Basic Requirements Analysis(feasible)</t>
        </is>
      </c>
      <c r="I23" s="4" t="inlineStr">
        <is>
          <t>CORE</t>
        </is>
      </c>
      <c r="J23" s="4" t="inlineStr">
        <is>
          <t>原則適用。案件スコープ・成果物・規制・リスク上非該当の場合はN/A根拠を記録。</t>
        </is>
      </c>
      <c r="K23" s="4" t="inlineStr">
        <is>
          <t>SRC-SWEBOK-V4A</t>
        </is>
      </c>
      <c r="L23" s="4" t="inlineStr"/>
      <c r="M23" s="4" t="n"/>
      <c r="N23" s="4" t="n"/>
      <c r="O23" s="4" t="n"/>
      <c r="P23" s="4" t="n"/>
      <c r="Q23" s="4" t="n"/>
      <c r="R23" s="4" t="n"/>
      <c r="S23" s="4" t="n"/>
      <c r="T23" s="4" t="n"/>
      <c r="U23" s="4" t="n"/>
      <c r="V23" s="4" t="n"/>
      <c r="W23" s="4" t="n"/>
    </row>
    <row r="24">
      <c r="A24" s="5" t="inlineStr">
        <is>
          <t>REQ-206</t>
        </is>
      </c>
      <c r="B24" s="5" t="inlineStr">
        <is>
          <t>SWEBOK</t>
        </is>
      </c>
      <c r="C24" s="4" t="inlineStr">
        <is>
          <t>3. 要求集合の品質(SWEBOK 3.1)</t>
        </is>
      </c>
      <c r="D24" s="10" t="inlineStr">
        <is>
          <t>Medium</t>
        </is>
      </c>
      <c r="E24" s="4" t="inlineStr">
        <is>
          <t>用語が文書全体で統一されている</t>
        </is>
      </c>
      <c r="F24" s="4" t="inlineStr">
        <is>
          <t>同一概念に複数の名称(例: 「顧客」と「取引先」)が混在していない、または用語集で同義と定義されている</t>
        </is>
      </c>
      <c r="G24" s="4" t="inlineStr">
        <is>
          <t>同一概念の名称揺れは読者ごとに別概念と解釈される曖昧性を生み、データモデル設計での実体の重複・分裂につながる。</t>
        </is>
      </c>
      <c r="H24" s="4" t="inlineStr">
        <is>
          <t>swebok-v4a.pdf ch01 Software Requirements &gt; 3.1 Basic Requirements Analysis(unambiguous)/ 実務補完(ISO 29148)</t>
        </is>
      </c>
      <c r="I24" s="4" t="inlineStr">
        <is>
          <t>CORE</t>
        </is>
      </c>
      <c r="J24" s="4" t="inlineStr">
        <is>
          <t>原則適用。案件スコープ・成果物・規制・リスク上非該当の場合はN/A根拠を記録。</t>
        </is>
      </c>
      <c r="K24" s="4" t="inlineStr">
        <is>
          <t>SRC-SWEBOK-V4A;SRC-ISO-29148;SRC-PRACTICE</t>
        </is>
      </c>
      <c r="L24" s="4" t="inlineStr"/>
      <c r="M24" s="4" t="n"/>
      <c r="N24" s="4" t="n"/>
      <c r="O24" s="4" t="n"/>
      <c r="P24" s="4" t="n"/>
      <c r="Q24" s="4" t="n"/>
      <c r="R24" s="4" t="n"/>
      <c r="S24" s="4" t="n"/>
      <c r="T24" s="4" t="n"/>
      <c r="U24" s="4" t="n"/>
      <c r="V24" s="4" t="n"/>
      <c r="W24" s="4" t="n"/>
    </row>
    <row r="25">
      <c r="A25" s="5" t="inlineStr">
        <is>
          <t>REQ-207</t>
        </is>
      </c>
      <c r="B25" s="5" t="inlineStr">
        <is>
          <t>SWEBOK</t>
        </is>
      </c>
      <c r="C25" s="4" t="inlineStr">
        <is>
          <t>3. 要求集合の品質(SWEBOK 3.1)</t>
        </is>
      </c>
      <c r="D25" s="10" t="inlineStr">
        <is>
          <t>Medium</t>
        </is>
      </c>
      <c r="E25" s="4" t="inlineStr">
        <is>
          <t>例外系・異常系が主要機能について記述されている</t>
        </is>
      </c>
      <c r="F25" s="4" t="inlineStr">
        <is>
          <t>主要な機能要求に対して、入力エラー・タイムアウト・外部システム障害時の振る舞いが定義されている</t>
        </is>
      </c>
      <c r="G25" s="4" t="inlineStr">
        <is>
          <t>SWEBOKは完全性の定義に「境界条件・例外条件・セキュリティニーズへの対処」を含める。正常系のみの仕様は異常系の振る舞いを実装者の即興判断に委ね、障害時挙動の不統一を招く。</t>
        </is>
      </c>
      <c r="H25" s="4" t="inlineStr">
        <is>
          <t>swebok-v4a.pdf ch01 Software Requirements &gt; 3.1 Basic Requirements Analysis(complete: boundary/exception conditions)</t>
        </is>
      </c>
      <c r="I25" s="4" t="inlineStr">
        <is>
          <t>CORE</t>
        </is>
      </c>
      <c r="J25" s="4" t="inlineStr">
        <is>
          <t>原則適用。案件スコープ・成果物・規制・リスク上非該当の場合はN/A根拠を記録。</t>
        </is>
      </c>
      <c r="K25" s="4" t="inlineStr">
        <is>
          <t>SRC-SWEBOK-V4A</t>
        </is>
      </c>
      <c r="L25" s="4" t="inlineStr"/>
      <c r="M25" s="4" t="n"/>
      <c r="N25" s="4" t="n"/>
      <c r="O25" s="4" t="n"/>
      <c r="P25" s="4" t="n"/>
      <c r="Q25" s="4" t="n"/>
      <c r="R25" s="4" t="n"/>
      <c r="S25" s="4" t="n"/>
      <c r="T25" s="4" t="n"/>
      <c r="U25" s="4" t="n"/>
      <c r="V25" s="4" t="n"/>
      <c r="W25" s="4" t="n"/>
    </row>
    <row r="26">
      <c r="A26" s="5" t="inlineStr">
        <is>
          <t>REQ-9901</t>
        </is>
      </c>
      <c r="B26" s="5" t="inlineStr">
        <is>
          <t>追加承認</t>
        </is>
      </c>
      <c r="C26" s="4" t="inlineStr">
        <is>
          <t>3. 要求集合の品質(SWEBOK 3.1)</t>
        </is>
      </c>
      <c r="D26" s="9" t="inlineStr">
        <is>
          <t>High</t>
        </is>
      </c>
      <c r="E26" s="4" t="inlineStr">
        <is>
          <t>ステークホルダー間で対立した要求について、解決の経緯と合意記録がある</t>
        </is>
      </c>
      <c r="F26" s="4" t="inlineStr">
        <is>
          <t>識別された要求対立の各件について、関与ステークホルダー・採用した解決策(交渉合意/バリアント化等)・合意者・日付が記録されており、エンジニアの独断裁定になっていない</t>
        </is>
      </c>
      <c r="G26" s="4" t="inlineStr">
        <is>
          <t>対立の独断解決は後の受入段階での紛争と再交渉を生む。SWEBOKは合意による解決と顧客へのトレーサビリティを求めており、その証跡を確認する。</t>
        </is>
      </c>
      <c r="H26" s="4" t="inlineStr">
        <is>
          <t>swebok-v4a.pdf ch01 Software Requirements &gt; 3.4 Addressing Conflict in Requirements(要求間対立の識別と解決)</t>
        </is>
      </c>
      <c r="I26" s="4" t="inlineStr">
        <is>
          <t>CORE</t>
        </is>
      </c>
      <c r="J26" s="4" t="inlineStr">
        <is>
          <t>原則適用。案件スコープ・成果物・規制・リスク上非該当の場合はN/A根拠を記録。</t>
        </is>
      </c>
      <c r="K26" s="4" t="inlineStr">
        <is>
          <t>SRC-SWEBOK-V4A</t>
        </is>
      </c>
      <c r="L26" s="4" t="inlineStr"/>
      <c r="M26" s="4" t="n"/>
      <c r="N26" s="4" t="n"/>
      <c r="O26" s="4" t="n"/>
      <c r="P26" s="4" t="n"/>
      <c r="Q26" s="4" t="n"/>
      <c r="R26" s="4" t="n"/>
      <c r="S26" s="4" t="n"/>
      <c r="T26" s="4" t="n"/>
      <c r="U26" s="4" t="n"/>
      <c r="V26" s="4" t="n"/>
      <c r="W26" s="4" t="n"/>
    </row>
    <row r="27">
      <c r="A27" s="5" t="inlineStr">
        <is>
          <t>REQ-301</t>
        </is>
      </c>
      <c r="B27" s="5" t="inlineStr">
        <is>
          <t>SWEBOK</t>
        </is>
      </c>
      <c r="C27" s="4" t="inlineStr">
        <is>
          <t>4. 要求の分類(SWEBOK 1.2〜1.10)</t>
        </is>
      </c>
      <c r="D27" s="9" t="inlineStr">
        <is>
          <t>High</t>
        </is>
      </c>
      <c r="E27" s="4" t="inlineStr">
        <is>
          <t>機能要求と非機能要求が区別して整理されている</t>
        </is>
      </c>
      <c r="F27" s="4" t="inlineStr">
        <is>
          <t>文書構成またはタグにより、各要求が機能/非機能のいずれかに分類されている</t>
        </is>
      </c>
      <c r="G27" s="4" t="inlineStr">
        <is>
          <t>SWEBOKは分類の効用として「源泉・獲得技法・分析技法・仕様化技法・検証権限が分類ごとに異なる」ことを挙げる。混在すると業務専門家が技術記述に阻まれてレビューを放棄し、検証が漏れる。</t>
        </is>
      </c>
      <c r="H27" s="4" t="inlineStr">
        <is>
          <t>swebok-v4a.pdf ch01 Software Requirements &gt; 1.2 Categories of Software Requirements / 1.8 Why Categorize Requirements This Way?</t>
        </is>
      </c>
      <c r="I27" s="4" t="inlineStr">
        <is>
          <t>CORE</t>
        </is>
      </c>
      <c r="J27" s="4" t="inlineStr">
        <is>
          <t>原則適用。案件スコープ・成果物・規制・リスク上非該当の場合はN/A根拠を記録。</t>
        </is>
      </c>
      <c r="K27" s="4" t="inlineStr">
        <is>
          <t>SRC-SWEBOK-V4A</t>
        </is>
      </c>
      <c r="L27" s="4" t="inlineStr"/>
      <c r="M27" s="4" t="n"/>
      <c r="N27" s="4" t="n"/>
      <c r="O27" s="4" t="n"/>
      <c r="P27" s="4" t="n"/>
      <c r="Q27" s="4" t="n"/>
      <c r="R27" s="4" t="n"/>
      <c r="S27" s="4" t="n"/>
      <c r="T27" s="4" t="n"/>
      <c r="U27" s="4" t="n"/>
      <c r="V27" s="4" t="n"/>
      <c r="W27" s="4" t="n"/>
    </row>
    <row r="28">
      <c r="A28" s="5" t="inlineStr">
        <is>
          <t>REQ-302</t>
        </is>
      </c>
      <c r="B28" s="5" t="inlineStr">
        <is>
          <t>SWEBOK</t>
        </is>
      </c>
      <c r="C28" s="4" t="inlineStr">
        <is>
          <t>4. 要求の分類(SWEBOK 1.2〜1.10)</t>
        </is>
      </c>
      <c r="D28" s="9" t="inlineStr">
        <is>
          <t>High</t>
        </is>
      </c>
      <c r="E28" s="4" t="inlineStr">
        <is>
          <t>非機能要求が技術制約とサービス品質制約に区別されている</t>
        </is>
      </c>
      <c r="F28" s="4" t="inlineStr">
        <is>
          <t>非機能要求の各項目が「技術の義務付け/禁止」か「達成すべき性能水準」かを判別できる</t>
        </is>
      </c>
      <c r="G28" s="4" t="inlineStr">
        <is>
          <t>技術制約(特定技術の義務付け/禁止)とQoS制約(達成すべき性能水準)は課す主体も検証方法も異なる。SWEBOKのv4で明確化された区分であり、混同すると水準のない技術指定や検証不能な性能要求が残る。</t>
        </is>
      </c>
      <c r="H28" s="4" t="inlineStr">
        <is>
          <t>swebok-v4a.pdf ch01 Software Requirements &gt; 1.6 Technology Constraints / 1.7 Quality of Service Constraints</t>
        </is>
      </c>
      <c r="I28" s="4" t="inlineStr">
        <is>
          <t>CORE</t>
        </is>
      </c>
      <c r="J28" s="4" t="inlineStr">
        <is>
          <t>原則適用。案件スコープ・成果物・規制・リスク上非該当の場合はN/A根拠を記録。</t>
        </is>
      </c>
      <c r="K28" s="4" t="inlineStr">
        <is>
          <t>SRC-SWEBOK-V4A</t>
        </is>
      </c>
      <c r="L28" s="4" t="inlineStr"/>
      <c r="M28" s="4" t="n"/>
      <c r="N28" s="4" t="n"/>
      <c r="O28" s="4" t="n"/>
      <c r="P28" s="4" t="n"/>
      <c r="Q28" s="4" t="n"/>
      <c r="R28" s="4" t="n"/>
      <c r="S28" s="4" t="n"/>
      <c r="T28" s="4" t="n"/>
      <c r="U28" s="4" t="n"/>
      <c r="V28" s="4" t="n"/>
      <c r="W28" s="4" t="n"/>
    </row>
    <row r="29">
      <c r="A29" s="5" t="inlineStr">
        <is>
          <t>REQ-303</t>
        </is>
      </c>
      <c r="B29" s="5" t="inlineStr">
        <is>
          <t>SWEBOK</t>
        </is>
      </c>
      <c r="C29" s="4" t="inlineStr">
        <is>
          <t>4. 要求の分類(SWEBOK 1.2〜1.10)</t>
        </is>
      </c>
      <c r="D29" s="9" t="inlineStr">
        <is>
          <t>High</t>
        </is>
      </c>
      <c r="E29" s="4" t="inlineStr">
        <is>
          <t>製品要求とプロジェクト要求が混在していない</t>
        </is>
      </c>
      <c r="F29" s="4" t="inlineStr">
        <is>
          <t>納期・体制・開発プロセス等のプロジェクト要求がSRSの製品要求節に紛れていない(別文書または別節に分離)</t>
        </is>
      </c>
      <c r="G29" s="4" t="inlineStr">
        <is>
          <t>SWEBOKは製品要求(形状・機能)とプロジェクト要求(コスト・納期・体制)を明確に区別し、後者はプロジェクト憲章等で管理すべきとする。混在するとSRSの変更管理にプロジェクト管理事項が巻き込まれ、承認権限が混乱する。</t>
        </is>
      </c>
      <c r="H29" s="4" t="inlineStr">
        <is>
          <t>swebok-v4a.pdf ch01 Software Requirements &gt; 1.3 Software Product Requirements and Software Project Requirements</t>
        </is>
      </c>
      <c r="I29" s="4" t="inlineStr">
        <is>
          <t>CORE</t>
        </is>
      </c>
      <c r="J29" s="4" t="inlineStr">
        <is>
          <t>原則適用。案件スコープ・成果物・規制・リスク上非該当の場合はN/A根拠を記録。</t>
        </is>
      </c>
      <c r="K29" s="4" t="inlineStr">
        <is>
          <t>SRC-SWEBOK-V4A</t>
        </is>
      </c>
      <c r="L29" s="4" t="inlineStr"/>
      <c r="M29" s="4" t="n"/>
      <c r="N29" s="4" t="n"/>
      <c r="O29" s="4" t="n"/>
      <c r="P29" s="4" t="n"/>
      <c r="Q29" s="4" t="n"/>
      <c r="R29" s="4" t="n"/>
      <c r="S29" s="4" t="n"/>
      <c r="T29" s="4" t="n"/>
      <c r="U29" s="4" t="n"/>
      <c r="V29" s="4" t="n"/>
      <c r="W29" s="4" t="n"/>
    </row>
    <row r="30">
      <c r="A30" s="5" t="inlineStr">
        <is>
          <t>REQ-304</t>
        </is>
      </c>
      <c r="B30" s="5" t="inlineStr">
        <is>
          <t>SWEBOK</t>
        </is>
      </c>
      <c r="C30" s="4" t="inlineStr">
        <is>
          <t>4. 要求の分類(SWEBOK 1.2〜1.10)</t>
        </is>
      </c>
      <c r="D30" s="10" t="inlineStr">
        <is>
          <t>Medium</t>
        </is>
      </c>
      <c r="E30" s="4" t="inlineStr">
        <is>
          <t>機能要求の分類が正しい(Perfect Technology Filter)</t>
        </is>
      </c>
      <c r="F30" s="4" t="inlineStr">
        <is>
          <t>機能要求とされた項目が、理想的な計算機でも依然必要な観測可能な振る舞いである(性能水準・技術指定が機能要求に混入していない)</t>
        </is>
      </c>
      <c r="G30" s="4" t="inlineStr">
        <is>
          <t>SWEBOKのPerfect Technology Filter(無限に速くコストゼロの計算機でも必要な要求だけが機能要求)の適用確認。分類を誤ると業務専門家に技術判断を、技術者に業務判断を求める逆転が起き、検証権限の分担が崩れる。</t>
        </is>
      </c>
      <c r="H30" s="4" t="inlineStr">
        <is>
          <t>swebok-v4a.pdf ch01 Software Requirements &gt; 1.8 Why Categorize Requirements This Way?(Perfect Technology Filter)</t>
        </is>
      </c>
      <c r="I30" s="4" t="inlineStr">
        <is>
          <t>CORE</t>
        </is>
      </c>
      <c r="J30" s="4" t="inlineStr">
        <is>
          <t>原則適用。案件スコープ・成果物・規制・リスク上非該当の場合はN/A根拠を記録。</t>
        </is>
      </c>
      <c r="K30" s="4" t="inlineStr">
        <is>
          <t>SRC-SWEBOK-V4A</t>
        </is>
      </c>
      <c r="L30" s="4" t="inlineStr"/>
      <c r="M30" s="4" t="n"/>
      <c r="N30" s="4" t="n"/>
      <c r="O30" s="4" t="n"/>
      <c r="P30" s="4" t="n"/>
      <c r="Q30" s="4" t="n"/>
      <c r="R30" s="4" t="n"/>
      <c r="S30" s="4" t="n"/>
      <c r="T30" s="4" t="n"/>
      <c r="U30" s="4" t="n"/>
      <c r="V30" s="4" t="n"/>
      <c r="W30" s="4" t="n"/>
    </row>
    <row r="31">
      <c r="A31" s="5" t="inlineStr">
        <is>
          <t>REQ-305</t>
        </is>
      </c>
      <c r="B31" s="5" t="inlineStr">
        <is>
          <t>SWEBOK</t>
        </is>
      </c>
      <c r="C31" s="4" t="inlineStr">
        <is>
          <t>4. 要求の分類(SWEBOK 1.2〜1.10)</t>
        </is>
      </c>
      <c r="D31" s="10" t="inlineStr">
        <is>
          <t>Medium</t>
        </is>
      </c>
      <c r="E31" s="4" t="inlineStr">
        <is>
          <t>システム要求とソフトウェア要求の割当てが明確である(該当案件のみ)</t>
        </is>
      </c>
      <c r="F31" s="4" t="inlineStr">
        <is>
          <t>システムの一部としてのソフトウェアの場合、システム要求からソフトウェアへの割当て(allocation)が記録されている</t>
        </is>
      </c>
      <c r="G31" s="4" t="inlineStr">
        <is>
          <t>システム要求からソフトウェアへの割当てが曖昧だと、ハード・運用・人手で満たすべき事項がソフト要求に紛れ、あるいはソフトが担うべき事項が宙に浮く。SWEBOKはシステム要求とソフトウェア要求の区別を明示する。</t>
        </is>
      </c>
      <c r="H31" s="4" t="inlineStr">
        <is>
          <t>swebok-v4a.pdf ch01 Software Requirements &gt; 1.9 System Requirements and Software Requirements</t>
        </is>
      </c>
      <c r="I31" s="4" t="inlineStr">
        <is>
          <t>CORE</t>
        </is>
      </c>
      <c r="J31" s="4" t="inlineStr">
        <is>
          <t>原則適用。案件スコープ・成果物・規制・リスク上非該当の場合はN/A根拠を記録。</t>
        </is>
      </c>
      <c r="K31" s="4" t="inlineStr">
        <is>
          <t>SRC-SWEBOK-V4A</t>
        </is>
      </c>
      <c r="L31" s="4" t="inlineStr"/>
      <c r="M31" s="4" t="n"/>
      <c r="N31" s="4" t="n"/>
      <c r="O31" s="4" t="n"/>
      <c r="P31" s="4" t="n"/>
      <c r="Q31" s="4" t="n"/>
      <c r="R31" s="4" t="n"/>
      <c r="S31" s="4" t="n"/>
      <c r="T31" s="4" t="n"/>
      <c r="U31" s="4" t="n"/>
      <c r="V31" s="4" t="n"/>
      <c r="W31" s="4" t="n"/>
    </row>
    <row r="32">
      <c r="A32" s="5" t="inlineStr">
        <is>
          <t>REQ-306</t>
        </is>
      </c>
      <c r="B32" s="5" t="inlineStr">
        <is>
          <t>SWEBOK</t>
        </is>
      </c>
      <c r="C32" s="4" t="inlineStr">
        <is>
          <t>4. 要求の分類(SWEBOK 1.2〜1.10)</t>
        </is>
      </c>
      <c r="D32" s="10" t="inlineStr">
        <is>
          <t>Medium</t>
        </is>
      </c>
      <c r="E32" s="4" t="inlineStr">
        <is>
          <t>派生要求の出所が明記されている</t>
        </is>
      </c>
      <c r="F32" s="4" t="inlineStr">
        <is>
          <t>開発チーム内部の判断から生じた要求が、外部ステークホルダー要求と区別され「内部派生」と記録されている</t>
        </is>
      </c>
      <c r="G32" s="4" t="inlineStr">
        <is>
          <t>SWEBOKの派生要求(derived requirement)概念に対応。内部判断由来の要求を外部要求と混同すると、変更交渉の相手を誤り、外部合意なしに変えられるはずの要求を不可侵と誤認して柔軟性を失う。</t>
        </is>
      </c>
      <c r="H32" s="4" t="inlineStr">
        <is>
          <t>swebok-v4a.pdf ch01 Software Requirements &gt; 1.10 Derived Requirements</t>
        </is>
      </c>
      <c r="I32" s="4" t="inlineStr">
        <is>
          <t>CORE</t>
        </is>
      </c>
      <c r="J32" s="4" t="inlineStr">
        <is>
          <t>原則適用。案件スコープ・成果物・規制・リスク上非該当の場合はN/A根拠を記録。</t>
        </is>
      </c>
      <c r="K32" s="4" t="inlineStr">
        <is>
          <t>SRC-SWEBOK-V4A</t>
        </is>
      </c>
      <c r="L32" s="4" t="inlineStr"/>
      <c r="M32" s="4" t="n"/>
      <c r="N32" s="4" t="n"/>
      <c r="O32" s="4" t="n"/>
      <c r="P32" s="4" t="n"/>
      <c r="Q32" s="4" t="n"/>
      <c r="R32" s="4" t="n"/>
      <c r="S32" s="4" t="n"/>
      <c r="T32" s="4" t="n"/>
      <c r="U32" s="4" t="n"/>
      <c r="V32" s="4" t="n"/>
      <c r="W32" s="4" t="n"/>
    </row>
    <row r="33">
      <c r="A33" s="5" t="inlineStr">
        <is>
          <t>REQ-401</t>
        </is>
      </c>
      <c r="B33" s="5" t="inlineStr">
        <is>
          <t>SWEBOK</t>
        </is>
      </c>
      <c r="C33" s="4" t="inlineStr">
        <is>
          <t>5. 獲得とステークホルダー(SWEBOK 2.1〜2.2)</t>
        </is>
      </c>
      <c r="D33" s="8" t="inlineStr">
        <is>
          <t>Critical</t>
        </is>
      </c>
      <c r="E33" s="4" t="inlineStr">
        <is>
          <t>ステークホルダー一覧が存在し、主要クラスを網羅している</t>
        </is>
      </c>
      <c r="F33" s="4" t="inlineStr">
        <is>
          <t>クライアント/エンドユーザー/運用/サポート/規制(該当時)の各クラスについて、記載があるか対象外の根拠がある</t>
        </is>
      </c>
      <c r="G33" s="4" t="inlineStr">
        <is>
          <t>SWEBOKはステークホルダー分析により「代表されやすい層への偏り」を防ぐことを推奨する。主要クラス(特に運用・サポート・規制)の見落としは、要求の不完全性として後工程で高コストに露見する。</t>
        </is>
      </c>
      <c r="H33" s="4" t="inlineStr">
        <is>
          <t>swebok-v4a.pdf ch01 Software Requirements &gt; 2.1 Requirements Sources(stakeholder classes / stakeholder analysis)</t>
        </is>
      </c>
      <c r="I33" s="4" t="inlineStr">
        <is>
          <t>CORE</t>
        </is>
      </c>
      <c r="J33" s="4" t="inlineStr">
        <is>
          <t>原則適用。案件スコープ・成果物・規制・リスク上非該当の場合はN/A根拠を記録。</t>
        </is>
      </c>
      <c r="K33" s="4" t="inlineStr">
        <is>
          <t>SRC-SWEBOK-V4A</t>
        </is>
      </c>
      <c r="L33" s="4" t="inlineStr"/>
      <c r="M33" s="4" t="n"/>
      <c r="N33" s="4" t="n"/>
      <c r="O33" s="4" t="n"/>
      <c r="P33" s="4" t="n"/>
      <c r="Q33" s="4" t="n"/>
      <c r="R33" s="4" t="n"/>
      <c r="S33" s="4" t="n"/>
      <c r="T33" s="4" t="n"/>
      <c r="U33" s="4" t="n"/>
      <c r="V33" s="4" t="n"/>
      <c r="W33" s="4" t="n"/>
    </row>
    <row r="34">
      <c r="A34" s="5" t="inlineStr">
        <is>
          <t>REQ-402</t>
        </is>
      </c>
      <c r="B34" s="5" t="inlineStr">
        <is>
          <t>SWEBOK</t>
        </is>
      </c>
      <c r="C34" s="4" t="inlineStr">
        <is>
          <t>5. 獲得とステークホルダー(SWEBOK 2.1〜2.2)</t>
        </is>
      </c>
      <c r="D34" s="9" t="inlineStr">
        <is>
          <t>High</t>
        </is>
      </c>
      <c r="E34" s="4" t="inlineStr">
        <is>
          <t>全ステークホルダークラスから獲得活動が行われた記録がある</t>
        </is>
      </c>
      <c r="F34" s="4" t="inlineStr">
        <is>
          <t>一覧の各クラスにつき、インタビュー・ワークショップ・アンケート等の実施記録(日付・参加者)が少なくとも1件ある</t>
        </is>
      </c>
      <c r="G34" s="4" t="inlineStr">
        <is>
          <t>一覧に載っていても聴取していなければ意味がない。SWEBOKは獲得を受け身の活動ではないとし、聴取していないクラスの要求は暗黙のまま残って「不完全性」問題の直接原因になる。</t>
        </is>
      </c>
      <c r="H34" s="4" t="inlineStr">
        <is>
          <t>swebok-v4a.pdf ch01 Software Requirements &gt; 2. Requirements Elicitation / 2.2 Common Requirements Elicitation Techniques</t>
        </is>
      </c>
      <c r="I34" s="4" t="inlineStr">
        <is>
          <t>CORE</t>
        </is>
      </c>
      <c r="J34" s="4" t="inlineStr">
        <is>
          <t>原則適用。案件スコープ・成果物・規制・リスク上非該当の場合はN/A根拠を記録。</t>
        </is>
      </c>
      <c r="K34" s="4" t="inlineStr">
        <is>
          <t>SRC-SWEBOK-V4A</t>
        </is>
      </c>
      <c r="L34" s="4" t="inlineStr"/>
      <c r="M34" s="4" t="n"/>
      <c r="N34" s="4" t="n"/>
      <c r="O34" s="4" t="n"/>
      <c r="P34" s="4" t="n"/>
      <c r="Q34" s="4" t="n"/>
      <c r="R34" s="4" t="n"/>
      <c r="S34" s="4" t="n"/>
      <c r="T34" s="4" t="n"/>
      <c r="U34" s="4" t="n"/>
      <c r="V34" s="4" t="n"/>
      <c r="W34" s="4" t="n"/>
    </row>
    <row r="35">
      <c r="A35" s="5" t="inlineStr">
        <is>
          <t>REQ-403</t>
        </is>
      </c>
      <c r="B35" s="5" t="inlineStr">
        <is>
          <t>SWEBOK</t>
        </is>
      </c>
      <c r="C35" s="4" t="inlineStr">
        <is>
          <t>5. 獲得とステークホルダー(SWEBOK 2.1〜2.2)</t>
        </is>
      </c>
      <c r="D35" s="9" t="inlineStr">
        <is>
          <t>High</t>
        </is>
      </c>
      <c r="E35" s="4" t="inlineStr">
        <is>
          <t>人以外の要求源泉が調査されている</t>
        </is>
      </c>
      <c r="F35" s="4" t="inlineStr">
        <is>
          <t>既存システム仕様・欠陥トラッキングDB・連携先システム仕様・法令規制のうち該当するものの調査記録がある</t>
        </is>
      </c>
      <c r="G35" s="4" t="inlineStr">
        <is>
          <t>SWEBOKは要求源泉が人に限らないことを明示し、既存版の仕様・欠陥DB・連携システム・業務コンテキストを列挙する。これらの未調査は既知の欠陥の再発や連携仕様の齟齬という形で顕在化する。</t>
        </is>
      </c>
      <c r="H35" s="4" t="inlineStr">
        <is>
          <t>swebok-v4a.pdf ch01 Software Requirements &gt; 2.1 Requirements Sources(non-person sources)/ 2.2(previous versions, defect tracking database等)</t>
        </is>
      </c>
      <c r="I35" s="4" t="inlineStr">
        <is>
          <t>CORE</t>
        </is>
      </c>
      <c r="J35" s="4" t="inlineStr">
        <is>
          <t>原則適用。案件スコープ・成果物・規制・リスク上非該当の場合はN/A根拠を記録。</t>
        </is>
      </c>
      <c r="K35" s="4" t="inlineStr">
        <is>
          <t>SRC-SWEBOK-V4A</t>
        </is>
      </c>
      <c r="L35" s="4" t="inlineStr"/>
      <c r="M35" s="4" t="n"/>
      <c r="N35" s="4" t="n"/>
      <c r="O35" s="4" t="n"/>
      <c r="P35" s="4" t="n"/>
      <c r="Q35" s="4" t="n"/>
      <c r="R35" s="4" t="n"/>
      <c r="S35" s="4" t="n"/>
      <c r="T35" s="4" t="n"/>
      <c r="U35" s="4" t="n"/>
      <c r="V35" s="4" t="n"/>
      <c r="W35" s="4" t="n"/>
    </row>
    <row r="36">
      <c r="A36" s="5" t="inlineStr">
        <is>
          <t>REQ-404</t>
        </is>
      </c>
      <c r="B36" s="5" t="inlineStr">
        <is>
          <t>SWEBOK</t>
        </is>
      </c>
      <c r="C36" s="4" t="inlineStr">
        <is>
          <t>5. 獲得とステークホルダー(SWEBOK 2.1〜2.2)</t>
        </is>
      </c>
      <c r="D36" s="10" t="inlineStr">
        <is>
          <t>Medium</t>
        </is>
      </c>
      <c r="E36" s="4" t="inlineStr">
        <is>
          <t>獲得技法が目的に対して適切に選択・記録されている</t>
        </is>
      </c>
      <c r="F36" s="4" t="inlineStr">
        <is>
          <t>実施した獲得活動ごとに技法名と目的が記録されている</t>
        </is>
      </c>
      <c r="G36" s="4" t="inlineStr">
        <is>
          <t>SWEBOKは「技法はステークホルダークラスによって向き不向きがある」とする。技法の無自覚な選択は、言語化が苦手なユーザーから暗黙知を引き出せない等、獲得の質の低下として現れる。</t>
        </is>
      </c>
      <c r="H36" s="4" t="inlineStr">
        <is>
          <t>swebok-v4a.pdf ch01 Software Requirements &gt; 2.2 Common Requirements Elicitation Techniques</t>
        </is>
      </c>
      <c r="I36" s="4" t="inlineStr">
        <is>
          <t>CORE</t>
        </is>
      </c>
      <c r="J36" s="4" t="inlineStr">
        <is>
          <t>原則適用。案件スコープ・成果物・規制・リスク上非該当の場合はN/A根拠を記録。</t>
        </is>
      </c>
      <c r="K36" s="4" t="inlineStr">
        <is>
          <t>SRC-SWEBOK-V4A</t>
        </is>
      </c>
      <c r="L36" s="4" t="inlineStr"/>
      <c r="M36" s="4" t="n"/>
      <c r="N36" s="4" t="n"/>
      <c r="O36" s="4" t="n"/>
      <c r="P36" s="4" t="n"/>
      <c r="Q36" s="4" t="n"/>
      <c r="R36" s="4" t="n"/>
      <c r="S36" s="4" t="n"/>
      <c r="T36" s="4" t="n"/>
      <c r="U36" s="4" t="n"/>
      <c r="V36" s="4" t="n"/>
      <c r="W36" s="4" t="n"/>
    </row>
    <row r="37">
      <c r="A37" s="5" t="inlineStr">
        <is>
          <t>REQ-405</t>
        </is>
      </c>
      <c r="B37" s="5" t="inlineStr">
        <is>
          <t>SWEBOK</t>
        </is>
      </c>
      <c r="C37" s="4" t="inlineStr">
        <is>
          <t>5. 獲得とステークホルダー(SWEBOK 2.1〜2.2)</t>
        </is>
      </c>
      <c r="D37" s="10" t="inlineStr">
        <is>
          <t>Medium</t>
        </is>
      </c>
      <c r="E37" s="4" t="inlineStr">
        <is>
          <t>手段として語られた要望が真のニーズに遡って分析されている</t>
        </is>
      </c>
      <c r="F37" s="4" t="inlineStr">
        <is>
          <t>解決手段の形で挙がった要望に対し、5-whys 等で目的を確認した記録または根拠属性がある</t>
        </is>
      </c>
      <c r="G37" s="4" t="inlineStr">
        <is>
          <t>SWEBOKの5-whys技法に対応。手段のまま要求化すると真の問題を解かない次善解を実装するリスクがあり、「それをしないと問題が解決しないか」まで遡った記録がその防波堤になる。</t>
        </is>
      </c>
      <c r="H37" s="4" t="inlineStr">
        <is>
          <t>swebok-v4a.pdf ch01 Software Requirements &gt; 3.1 Basic Requirements Analysis(5-whys / true problem)</t>
        </is>
      </c>
      <c r="I37" s="4" t="inlineStr">
        <is>
          <t>CORE</t>
        </is>
      </c>
      <c r="J37" s="4" t="inlineStr">
        <is>
          <t>原則適用。案件スコープ・成果物・規制・リスク上非該当の場合はN/A根拠を記録。</t>
        </is>
      </c>
      <c r="K37" s="4" t="inlineStr">
        <is>
          <t>SRC-SWEBOK-V4A</t>
        </is>
      </c>
      <c r="L37" s="4" t="inlineStr"/>
      <c r="M37" s="4" t="n"/>
      <c r="N37" s="4" t="n"/>
      <c r="O37" s="4" t="n"/>
      <c r="P37" s="4" t="n"/>
      <c r="Q37" s="4" t="n"/>
      <c r="R37" s="4" t="n"/>
      <c r="S37" s="4" t="n"/>
      <c r="T37" s="4" t="n"/>
      <c r="U37" s="4" t="n"/>
      <c r="V37" s="4" t="n"/>
      <c r="W37" s="4" t="n"/>
    </row>
    <row r="38">
      <c r="A38" s="5" t="inlineStr">
        <is>
          <t>REQ-406</t>
        </is>
      </c>
      <c r="B38" s="5" t="inlineStr">
        <is>
          <t>SWEBOK</t>
        </is>
      </c>
      <c r="C38" s="4" t="inlineStr">
        <is>
          <t>5. 獲得とステークホルダー(SWEBOK 2.1〜2.2)</t>
        </is>
      </c>
      <c r="D38" s="11" t="inlineStr">
        <is>
          <t>Low</t>
        </is>
      </c>
      <c r="E38" s="4" t="inlineStr">
        <is>
          <t>利害が対立しうるステークホルダーの偏りが検討されている</t>
        </is>
      </c>
      <c r="F38" s="4" t="inlineStr">
        <is>
          <t>特定部門の要望のみで構成されていないか、収集範囲の偏りについて言及がある</t>
        </is>
      </c>
      <c r="G38" s="4" t="inlineStr">
        <is>
          <t>SWEBOKはステークホルダー分析の目的を「代表されやすい層への要求の偏りを減らすこと」と明示する。偏った要求集合は、声の小さい層(運用者・間接ユーザー等)の要求欠落として稼働後に露見する。</t>
        </is>
      </c>
      <c r="H38" s="4" t="inlineStr">
        <is>
          <t>swebok-v4a.pdf ch01 Software Requirements &gt; 2.1 Requirements Sources(stakeholder analysis による偏り防止)</t>
        </is>
      </c>
      <c r="I38" s="4" t="inlineStr">
        <is>
          <t>CORE</t>
        </is>
      </c>
      <c r="J38" s="4" t="inlineStr">
        <is>
          <t>原則適用。案件スコープ・成果物・規制・リスク上非該当の場合はN/A根拠を記録。</t>
        </is>
      </c>
      <c r="K38" s="4" t="inlineStr">
        <is>
          <t>SRC-SWEBOK-V4A</t>
        </is>
      </c>
      <c r="L38" s="4" t="inlineStr"/>
      <c r="M38" s="4" t="n"/>
      <c r="N38" s="4" t="n"/>
      <c r="O38" s="4" t="n"/>
      <c r="P38" s="4" t="n"/>
      <c r="Q38" s="4" t="n"/>
      <c r="R38" s="4" t="n"/>
      <c r="S38" s="4" t="n"/>
      <c r="T38" s="4" t="n"/>
      <c r="U38" s="4" t="n"/>
      <c r="V38" s="4" t="n"/>
      <c r="W38" s="4" t="n"/>
    </row>
    <row r="39">
      <c r="A39" s="5" t="inlineStr">
        <is>
          <t>REQ-501</t>
        </is>
      </c>
      <c r="B39" s="5" t="inlineStr">
        <is>
          <t>SWEBOK</t>
        </is>
      </c>
      <c r="C39" s="4" t="inlineStr">
        <is>
          <t>6. 非機能要求・QoS制約(SWEBOK 1.5〜1.7, 3.2 / ISO 25010)</t>
        </is>
      </c>
      <c r="D39" s="8" t="inlineStr">
        <is>
          <t>Critical</t>
        </is>
      </c>
      <c r="E39" s="4" t="inlineStr">
        <is>
          <t>サービス品質制約に数値目標がある</t>
        </is>
      </c>
      <c r="F39" s="4" t="inlineStr">
        <is>
          <t>性能・可用性・信頼性等の各制約に定量値(例: 応答時間 95%tile 2秒以内)が定められている</t>
        </is>
      </c>
      <c r="G39" s="4" t="inlineStr">
        <is>
          <t>数値のないQoS制約はテスト可能性を持たず、達成判定が主観論争になる。SWEBOKはQoS制約を「達成すべき性能水準の指定」と定義し、定量化(quantified)を要求の性質とする。</t>
        </is>
      </c>
      <c r="H39" s="4" t="inlineStr">
        <is>
          <t>swebok-v4a.pdf ch01 Software Requirements &gt; 1.7 Quality of Service Constraints / 3.1(testable/quantified)</t>
        </is>
      </c>
      <c r="I39" s="4" t="inlineStr">
        <is>
          <t>CORE</t>
        </is>
      </c>
      <c r="J39" s="4" t="inlineStr">
        <is>
          <t>原則適用。案件スコープ・成果物・規制・リスク上非該当の場合はN/A根拠を記録。</t>
        </is>
      </c>
      <c r="K39" s="4" t="inlineStr">
        <is>
          <t>SRC-SWEBOK-V4A</t>
        </is>
      </c>
      <c r="L39" s="4" t="inlineStr"/>
      <c r="M39" s="4" t="n"/>
      <c r="N39" s="4" t="n"/>
      <c r="O39" s="4" t="n"/>
      <c r="P39" s="4" t="n"/>
      <c r="Q39" s="4" t="n"/>
      <c r="R39" s="4" t="n"/>
      <c r="S39" s="4" t="n"/>
      <c r="T39" s="4" t="n"/>
      <c r="U39" s="4" t="n"/>
      <c r="V39" s="4" t="n"/>
      <c r="W39" s="4" t="n"/>
    </row>
    <row r="40">
      <c r="A40" s="5" t="inlineStr">
        <is>
          <t>REQ-502</t>
        </is>
      </c>
      <c r="B40" s="5" t="inlineStr">
        <is>
          <t>SWEBOK</t>
        </is>
      </c>
      <c r="C40" s="4" t="inlineStr">
        <is>
          <t>6. 非機能要求・QoS制約(SWEBOK 1.5〜1.7, 3.2 / ISO 25010)</t>
        </is>
      </c>
      <c r="D40" s="8" t="inlineStr">
        <is>
          <t>Critical</t>
        </is>
      </c>
      <c r="E40" s="4" t="inlineStr">
        <is>
          <t>数値目標に測定条件が付いている</t>
        </is>
      </c>
      <c r="F40" s="4" t="inlineStr">
        <is>
          <t>各数値に負荷条件・データ量・環境・測定方法が併記され、第三者が同じ測定を再現できる</t>
        </is>
      </c>
      <c r="G40" s="4" t="inlineStr">
        <is>
          <t>測定条件のない数値は再現不能で、開発側と発注側が異なる条件で測って合否が食い違う受入紛争の典型原因になる。テスト可能性は「第三者が同じ測定を再現できる」ことまで含めて成立する。</t>
        </is>
      </c>
      <c r="H40" s="4" t="inlineStr">
        <is>
          <t>swebok-v4a.pdf ch01 Software Requirements &gt; 3.1 Basic Requirements Analysis(testable)の適用 / 実務補完(ISO 29148)</t>
        </is>
      </c>
      <c r="I40" s="4" t="inlineStr">
        <is>
          <t>CORE</t>
        </is>
      </c>
      <c r="J40" s="4" t="inlineStr">
        <is>
          <t>原則適用。案件スコープ・成果物・規制・リスク上非該当の場合はN/A根拠を記録。</t>
        </is>
      </c>
      <c r="K40" s="4" t="inlineStr">
        <is>
          <t>SRC-SWEBOK-V4A;SRC-ISO-29148;SRC-PRACTICE</t>
        </is>
      </c>
      <c r="L40" s="4" t="inlineStr"/>
      <c r="M40" s="4" t="n"/>
      <c r="N40" s="4" t="n"/>
      <c r="O40" s="4" t="n"/>
      <c r="P40" s="4" t="n"/>
      <c r="Q40" s="4" t="n"/>
      <c r="R40" s="4" t="n"/>
      <c r="S40" s="4" t="n"/>
      <c r="T40" s="4" t="n"/>
      <c r="U40" s="4" t="n"/>
      <c r="V40" s="4" t="n"/>
      <c r="W40" s="4" t="n"/>
    </row>
    <row r="41">
      <c r="A41" s="5" t="inlineStr">
        <is>
          <t>REQ-503</t>
        </is>
      </c>
      <c r="B41" s="5" t="inlineStr">
        <is>
          <t>SWEBOK</t>
        </is>
      </c>
      <c r="C41" s="4" t="inlineStr">
        <is>
          <t>6. 非機能要求・QoS制約(SWEBOK 1.5〜1.7, 3.2 / ISO 25010)</t>
        </is>
      </c>
      <c r="D41" s="9" t="inlineStr">
        <is>
          <t>High</t>
        </is>
      </c>
      <c r="E41" s="4" t="inlineStr">
        <is>
          <t>ISO/IEC 25010 品質特性が網羅的に検討されている</t>
        </is>
      </c>
      <c r="F41" s="4" t="inlineStr">
        <is>
          <t>性能効率性・信頼性・セキュリティ・使用性・保守性・移植性・互換性の各特性について、要求があるか対象外の判断が記録されている</t>
        </is>
      </c>
      <c r="G41" s="4" t="inlineStr">
        <is>
          <t>SWEBOKはQoS制約の種類の網羅的なリストとしてISO/IEC 25010を明示的に参照する。特性単位で検討しないと、検討漏れの特性(互換性・保守性等)が「聞かれなかったから書かれていない」不完全性として残る。</t>
        </is>
      </c>
      <c r="H41" s="4" t="inlineStr">
        <is>
          <t>swebok-v4a.pdf ch01 Software Requirements &gt; 1.7 Quality of Service Constraints(ISO/IEC 25010参照)</t>
        </is>
      </c>
      <c r="I41" s="4" t="inlineStr">
        <is>
          <t>CORE</t>
        </is>
      </c>
      <c r="J41" s="4" t="inlineStr">
        <is>
          <t>原則適用。案件スコープ・成果物・規制・リスク上非該当の場合はN/A根拠を記録。</t>
        </is>
      </c>
      <c r="K41" s="4" t="inlineStr">
        <is>
          <t>SRC-SWEBOK-V4A;SRC-ISO-25010</t>
        </is>
      </c>
      <c r="L41" s="4" t="inlineStr"/>
      <c r="M41" s="4" t="n"/>
      <c r="N41" s="4" t="n"/>
      <c r="O41" s="4" t="n"/>
      <c r="P41" s="4" t="n"/>
      <c r="Q41" s="4" t="n"/>
      <c r="R41" s="4" t="n"/>
      <c r="S41" s="4" t="n"/>
      <c r="T41" s="4" t="n"/>
      <c r="U41" s="4" t="n"/>
      <c r="V41" s="4" t="n"/>
      <c r="W41" s="4" t="n"/>
    </row>
    <row r="42">
      <c r="A42" s="5" t="inlineStr">
        <is>
          <t>REQ-504</t>
        </is>
      </c>
      <c r="B42" s="5" t="inlineStr">
        <is>
          <t>SWEBOK</t>
        </is>
      </c>
      <c r="C42" s="4" t="inlineStr">
        <is>
          <t>6. 非機能要求・QoS制約(SWEBOK 1.5〜1.7, 3.2 / ISO 25010)</t>
        </is>
      </c>
      <c r="D42" s="9" t="inlineStr">
        <is>
          <t>High</t>
        </is>
      </c>
      <c r="E42" s="4" t="inlineStr">
        <is>
          <t>セキュリティ要求が具体的に定義されている</t>
        </is>
      </c>
      <c r="F42" s="4" t="inlineStr">
        <is>
          <t>認証・認可・データ保護・監査ログについて、該当有無と具体要求(または対象外根拠)が記載されている</t>
        </is>
      </c>
      <c r="G42" s="4" t="inlineStr">
        <is>
          <t>SWEBOKは「安全性とセキュリティは特に見落とされやすい要求領域」と明示的に警告する。セキュリティ要求の欠落は稼働後に脆弱性・法令違反として顕在化し、後付け対策のコストが極めて高い。</t>
        </is>
      </c>
      <c r="H42" s="4" t="inlineStr">
        <is>
          <t>swebok-v4a.pdf ch01 Software Requirements &gt; 1.7 Quality of Service Constraints(safety/security の見落とし警告、Security KA参照)</t>
        </is>
      </c>
      <c r="I42" s="4" t="inlineStr">
        <is>
          <t>CORE</t>
        </is>
      </c>
      <c r="J42" s="4" t="inlineStr">
        <is>
          <t>原則適用。案件スコープ・成果物・規制・リスク上非該当の場合はN/A根拠を記録。</t>
        </is>
      </c>
      <c r="K42" s="4" t="inlineStr">
        <is>
          <t>SRC-SWEBOK-V4A</t>
        </is>
      </c>
      <c r="L42" s="4" t="inlineStr"/>
      <c r="M42" s="4" t="n"/>
      <c r="N42" s="4" t="n"/>
      <c r="O42" s="4" t="n"/>
      <c r="P42" s="4" t="n"/>
      <c r="Q42" s="4" t="n"/>
      <c r="R42" s="4" t="n"/>
      <c r="S42" s="4" t="n"/>
      <c r="T42" s="4" t="n"/>
      <c r="U42" s="4" t="n"/>
      <c r="V42" s="4" t="n"/>
      <c r="W42" s="4" t="n"/>
    </row>
    <row r="43">
      <c r="A43" s="5" t="inlineStr">
        <is>
          <t>REQ-505</t>
        </is>
      </c>
      <c r="B43" s="5" t="inlineStr">
        <is>
          <t>SWEBOK</t>
        </is>
      </c>
      <c r="C43" s="4" t="inlineStr">
        <is>
          <t>6. 非機能要求・QoS制約(SWEBOK 1.5〜1.7, 3.2 / ISO 25010)</t>
        </is>
      </c>
      <c r="D43" s="9" t="inlineStr">
        <is>
          <t>High</t>
        </is>
      </c>
      <c r="E43" s="4" t="inlineStr">
        <is>
          <t>性能水準の根拠(経済性)が記録されている</t>
        </is>
      </c>
      <c r="F43" s="4" t="inlineStr">
        <is>
          <t>主要なQoS制約について、なぜその水準か(業務上の失敗点・完璧点、SLA、法令等)の根拠がある。「可能な限り高速」等の無根拠な水準がない</t>
        </is>
      </c>
      <c r="G43" s="4" t="inlineStr">
        <is>
          <t>SWEBOKの「QoS制約の経済学」に対応。要求水準は往々にして恣意的であり、失敗点・完璧点と費用対効果を検討しないと、価値のない過剰水準に費用を投じるか、失敗点未満の水準で合意する事故が起きる。</t>
        </is>
      </c>
      <c r="H43" s="4" t="inlineStr">
        <is>
          <t>swebok-v4a.pdf ch01 Software Requirements &gt; 3.2 Economics of Quality of Service Constraints(fail point / perfection point / most cost-effective level)</t>
        </is>
      </c>
      <c r="I43" s="4" t="inlineStr">
        <is>
          <t>CORE</t>
        </is>
      </c>
      <c r="J43" s="4" t="inlineStr">
        <is>
          <t>原則適用。案件スコープ・成果物・規制・リスク上非該当の場合はN/A根拠を記録。</t>
        </is>
      </c>
      <c r="K43" s="4" t="inlineStr">
        <is>
          <t>SRC-SWEBOK-V4A</t>
        </is>
      </c>
      <c r="L43" s="4" t="inlineStr"/>
      <c r="M43" s="4" t="n"/>
      <c r="N43" s="4" t="n"/>
      <c r="O43" s="4" t="n"/>
      <c r="P43" s="4" t="n"/>
      <c r="Q43" s="4" t="n"/>
      <c r="R43" s="4" t="n"/>
      <c r="S43" s="4" t="n"/>
      <c r="T43" s="4" t="n"/>
      <c r="U43" s="4" t="n"/>
      <c r="V43" s="4" t="n"/>
      <c r="W43" s="4" t="n"/>
    </row>
    <row r="44">
      <c r="A44" s="5" t="inlineStr">
        <is>
          <t>REQ-506</t>
        </is>
      </c>
      <c r="B44" s="5" t="inlineStr">
        <is>
          <t>SWEBOK</t>
        </is>
      </c>
      <c r="C44" s="4" t="inlineStr">
        <is>
          <t>6. 非機能要求・QoS制約(SWEBOK 1.5〜1.7, 3.2 / ISO 25010)</t>
        </is>
      </c>
      <c r="D44" s="10" t="inlineStr">
        <is>
          <t>Medium</t>
        </is>
      </c>
      <c r="E44" s="4" t="inlineStr">
        <is>
          <t>技術制約に課した主体と根拠が明記されている</t>
        </is>
      </c>
      <c r="F44" s="4" t="inlineStr">
        <is>
          <t>各技術制約(使用義務・禁止)に、誰が・なぜ課したかが記録されている</t>
        </is>
      </c>
      <c r="G44" s="4" t="inlineStr">
        <is>
          <t>技術制約は設計の自由度を直接奪うため、課した主体と理由が不明だと、状況が変わっても誰も解除判断ができず不要な制約が固定化する。SWEBOKの派生要求の考え方とも連動し、交渉相手の特定に必要。</t>
        </is>
      </c>
      <c r="H44" s="4" t="inlineStr">
        <is>
          <t>swebok-v4a.pdf ch01 Software Requirements &gt; 1.6 Technology Constraints / 4.5(source, rationale)</t>
        </is>
      </c>
      <c r="I44" s="4" t="inlineStr">
        <is>
          <t>CORE</t>
        </is>
      </c>
      <c r="J44" s="4" t="inlineStr">
        <is>
          <t>原則適用。案件スコープ・成果物・規制・リスク上非該当の場合はN/A根拠を記録。</t>
        </is>
      </c>
      <c r="K44" s="4" t="inlineStr">
        <is>
          <t>SRC-SWEBOK-V4A</t>
        </is>
      </c>
      <c r="L44" s="4" t="inlineStr"/>
      <c r="M44" s="4" t="n"/>
      <c r="N44" s="4" t="n"/>
      <c r="O44" s="4" t="n"/>
      <c r="P44" s="4" t="n"/>
      <c r="Q44" s="4" t="n"/>
      <c r="R44" s="4" t="n"/>
      <c r="S44" s="4" t="n"/>
      <c r="T44" s="4" t="n"/>
      <c r="U44" s="4" t="n"/>
      <c r="V44" s="4" t="n"/>
      <c r="W44" s="4" t="n"/>
    </row>
    <row r="45">
      <c r="A45" s="5" t="inlineStr">
        <is>
          <t>REQ-507</t>
        </is>
      </c>
      <c r="B45" s="5" t="inlineStr">
        <is>
          <t>SWEBOK</t>
        </is>
      </c>
      <c r="C45" s="4" t="inlineStr">
        <is>
          <t>6. 非機能要求・QoS制約(SWEBOK 1.5〜1.7, 3.2 / ISO 25010)</t>
        </is>
      </c>
      <c r="D45" s="10" t="inlineStr">
        <is>
          <t>Medium</t>
        </is>
      </c>
      <c r="E45" s="4" t="inlineStr">
        <is>
          <t>非機能要求が関連する機能要求・全体のどちらに適用されるか明確である</t>
        </is>
      </c>
      <c r="F45" s="4" t="inlineStr">
        <is>
          <t>各QoS制約の適用範囲(システム全体/特定機能/特定画面)が特定できる</t>
        </is>
      </c>
      <c r="G45" s="4" t="inlineStr">
        <is>
          <t>適用範囲不明のQoS制約は「全機能に一律適用」と読まれて過剰設計になるか、肝心の機能に適用されず性能問題として露見する。テスト計画も範囲が決まらなければ書けない。</t>
        </is>
      </c>
      <c r="H45" s="4" t="inlineStr">
        <is>
          <t>swebok-v4a.pdf ch01 Software Requirements &gt; 1.7 Quality of Service Constraints の適用 / 実務補完(ISO 29148)</t>
        </is>
      </c>
      <c r="I45" s="4" t="inlineStr">
        <is>
          <t>CORE</t>
        </is>
      </c>
      <c r="J45" s="4" t="inlineStr">
        <is>
          <t>原則適用。案件スコープ・成果物・規制・リスク上非該当の場合はN/A根拠を記録。</t>
        </is>
      </c>
      <c r="K45" s="4" t="inlineStr">
        <is>
          <t>SRC-SWEBOK-V4A;SRC-ISO-29148;SRC-PRACTICE</t>
        </is>
      </c>
      <c r="L45" s="4" t="inlineStr"/>
      <c r="M45" s="4" t="n"/>
      <c r="N45" s="4" t="n"/>
      <c r="O45" s="4" t="n"/>
      <c r="P45" s="4" t="n"/>
      <c r="Q45" s="4" t="n"/>
      <c r="R45" s="4" t="n"/>
      <c r="S45" s="4" t="n"/>
      <c r="T45" s="4" t="n"/>
      <c r="U45" s="4" t="n"/>
      <c r="V45" s="4" t="n"/>
      <c r="W45" s="4" t="n"/>
    </row>
    <row r="46">
      <c r="A46" s="5" t="inlineStr">
        <is>
          <t>REQ-508</t>
        </is>
      </c>
      <c r="B46" s="5" t="inlineStr">
        <is>
          <t>SWEBOK</t>
        </is>
      </c>
      <c r="C46" s="4" t="inlineStr">
        <is>
          <t>6. 非機能要求・QoS制約(SWEBOK 1.5〜1.7, 3.2 / ISO 25010)</t>
        </is>
      </c>
      <c r="D46" s="11" t="inlineStr">
        <is>
          <t>Low</t>
        </is>
      </c>
      <c r="E46" s="4" t="inlineStr">
        <is>
          <t>容量・成長性の前提(データ量・ユーザー数の将来予測)が記載されている</t>
        </is>
      </c>
      <c r="F46" s="4" t="inlineStr">
        <is>
          <t>設計の前提となる規模数値と予測期間が記載されている</t>
        </is>
      </c>
      <c r="G46" s="4" t="inlineStr">
        <is>
          <t>SWEBOKはQoS制約の例に容量・スケーラビリティを挙げる。規模前提のない設計は、成長時にアーキテクチャレベルの作り直しを強いる。完璧点(これ以上は価値がない水準)の判断材料でもある。</t>
        </is>
      </c>
      <c r="H46" s="4" t="inlineStr">
        <is>
          <t>swebok-v4a.pdf ch01 Software Requirements &gt; 1.7 Quality of Service Constraints(capacity, scalability)/ 3.2 Economics</t>
        </is>
      </c>
      <c r="I46" s="4" t="inlineStr">
        <is>
          <t>CORE</t>
        </is>
      </c>
      <c r="J46" s="4" t="inlineStr">
        <is>
          <t>原則適用。案件スコープ・成果物・規制・リスク上非該当の場合はN/A根拠を記録。</t>
        </is>
      </c>
      <c r="K46" s="4" t="inlineStr">
        <is>
          <t>SRC-SWEBOK-V4A</t>
        </is>
      </c>
      <c r="L46" s="4" t="inlineStr"/>
      <c r="M46" s="4" t="n"/>
      <c r="N46" s="4" t="n"/>
      <c r="O46" s="4" t="n"/>
      <c r="P46" s="4" t="n"/>
      <c r="Q46" s="4" t="n"/>
      <c r="R46" s="4" t="n"/>
      <c r="S46" s="4" t="n"/>
      <c r="T46" s="4" t="n"/>
      <c r="U46" s="4" t="n"/>
      <c r="V46" s="4" t="n"/>
      <c r="W46" s="4" t="n"/>
    </row>
    <row r="47">
      <c r="A47" s="5" t="inlineStr">
        <is>
          <t>REQ-9902</t>
        </is>
      </c>
      <c r="B47" s="5" t="inlineStr">
        <is>
          <t>追加承認</t>
        </is>
      </c>
      <c r="C47" s="4" t="inlineStr">
        <is>
          <t>6. 非機能要求・QoS制約(SWEBOK 1.5〜1.7, 3.2 / ISO 25010)</t>
        </is>
      </c>
      <c r="D47" s="10" t="inlineStr">
        <is>
          <t>Medium</t>
        </is>
      </c>
      <c r="E47" s="4" t="inlineStr">
        <is>
          <t>QoS制約間のトレードオフ(相互に負の影響を与える組)が検討されている</t>
        </is>
      </c>
      <c r="F47" s="4" t="inlineStr">
        <is>
          <t>性能vs保守性・セキュリティvs使用性など相反しうる制約の組について、両立可能性の検討記録があるか、優先する側の判断が記録されている</t>
        </is>
      </c>
      <c r="G47" s="4" t="inlineStr">
        <is>
          <t>個別には妥当な数値でも組合せとして同時達成不能な非機能要求を合意すると、設計段階で必ずどれかが犠牲になり、その犠牲の選択が無断で行われる。</t>
        </is>
      </c>
      <c r="H47" s="4" t="inlineStr">
        <is>
          <t>swebok-v4a.pdf ch01 Software Requirements &gt; 1.5 / 3.2 QoS制約間の相互関係・トレードオフ</t>
        </is>
      </c>
      <c r="I47" s="4" t="inlineStr">
        <is>
          <t>CORE</t>
        </is>
      </c>
      <c r="J47" s="4" t="inlineStr">
        <is>
          <t>原則適用。案件スコープ・成果物・規制・リスク上非該当の場合はN/A根拠を記録。</t>
        </is>
      </c>
      <c r="K47" s="4" t="inlineStr">
        <is>
          <t>SRC-SWEBOK-V4A</t>
        </is>
      </c>
      <c r="L47" s="4" t="inlineStr"/>
      <c r="M47" s="4" t="n"/>
      <c r="N47" s="4" t="n"/>
      <c r="O47" s="4" t="n"/>
      <c r="P47" s="4" t="n"/>
      <c r="Q47" s="4" t="n"/>
      <c r="R47" s="4" t="n"/>
      <c r="S47" s="4" t="n"/>
      <c r="T47" s="4" t="n"/>
      <c r="U47" s="4" t="n"/>
      <c r="V47" s="4" t="n"/>
      <c r="W47" s="4" t="n"/>
    </row>
    <row r="48">
      <c r="A48" s="5" t="inlineStr">
        <is>
          <t>REQ-601</t>
        </is>
      </c>
      <c r="B48" s="5" t="inlineStr">
        <is>
          <t>SWEBOK</t>
        </is>
      </c>
      <c r="C48" s="4" t="inlineStr">
        <is>
          <t>7. 仕様化技法(SWEBOK 4.1〜4.6)</t>
        </is>
      </c>
      <c r="D48" s="9" t="inlineStr">
        <is>
          <t>High</t>
        </is>
      </c>
      <c r="E48" s="4" t="inlineStr">
        <is>
          <t>仕様化の記法が対象の複雑さに応じて選択されている</t>
        </is>
      </c>
      <c r="F48" s="4" t="inlineStr">
        <is>
          <t>複雑な条件分岐にデシジョンテーブル等、対話フローにユースケース等、記法選択の妥当性が説明できる(全編ベタ書き自然言語で複雑ロジックを記述していない)</t>
        </is>
      </c>
      <c r="G48" s="4" t="inlineStr">
        <is>
          <t>SWEBOKは仕様化技法を複数提示し、プロジェクトの性質に応じた選択を求める。複雑な条件ロジックをベタ書き自然言語で書くと、自然言語固有の曖昧性がそのまま欠陥になり、網羅性の検査もできない。</t>
        </is>
      </c>
      <c r="H48" s="4" t="inlineStr">
        <is>
          <t>swebok-v4a.pdf ch01 Software Requirements &gt; 4. Requirements Specification(技法選択の判断要因)/ 4.2(decision tables)</t>
        </is>
      </c>
      <c r="I48" s="4" t="inlineStr">
        <is>
          <t>CORE</t>
        </is>
      </c>
      <c r="J48" s="4" t="inlineStr">
        <is>
          <t>原則適用。案件スコープ・成果物・規制・リスク上非該当の場合はN/A根拠を記録。</t>
        </is>
      </c>
      <c r="K48" s="4" t="inlineStr">
        <is>
          <t>SRC-SWEBOK-V4A;SRC-CIS</t>
        </is>
      </c>
      <c r="L48" s="4" t="inlineStr"/>
      <c r="M48" s="4" t="n"/>
      <c r="N48" s="4" t="n"/>
      <c r="O48" s="4" t="n"/>
      <c r="P48" s="4" t="n"/>
      <c r="Q48" s="4" t="n"/>
      <c r="R48" s="4" t="n"/>
      <c r="S48" s="4" t="n"/>
      <c r="T48" s="4" t="n"/>
      <c r="U48" s="4" t="n"/>
      <c r="V48" s="4" t="n"/>
      <c r="W48" s="4" t="n"/>
    </row>
    <row r="49">
      <c r="A49" s="5" t="inlineStr">
        <is>
          <t>REQ-602</t>
        </is>
      </c>
      <c r="B49" s="5" t="inlineStr">
        <is>
          <t>SWEBOK</t>
        </is>
      </c>
      <c r="C49" s="4" t="inlineStr">
        <is>
          <t>7. 仕様化技法(SWEBOK 4.1〜4.6)</t>
        </is>
      </c>
      <c r="D49" s="9" t="inlineStr">
        <is>
          <t>High</t>
        </is>
      </c>
      <c r="E49" s="4" t="inlineStr">
        <is>
          <t>構造化自然言語の要求文が定型に従っている</t>
        </is>
      </c>
      <c r="F49" s="4" t="inlineStr">
        <is>
          <t>shall文が「&lt;条件&gt;のとき、&lt;主体&gt;は&lt;対象&gt;を&lt;動作&gt;しなければならない」相当の actor-action 構造で書かれている</t>
        </is>
      </c>
      <c r="G49" s="4" t="inlineStr">
        <is>
          <t>SWEBOKのactor-action形式(トリガ・主体・動作・条件)に対応。定型に従わない要求文は主体や条件が欠落しやすく、構造化はSWEBOKが目的とする「精度と簡潔さの向上」の直接手段。</t>
        </is>
      </c>
      <c r="H49" s="4" t="inlineStr">
        <is>
          <t>swebok-v4a.pdf ch01 Software Requirements &gt; 4.2 Structured Natural Language Requirements Specification(actor-action format)</t>
        </is>
      </c>
      <c r="I49" s="4" t="inlineStr">
        <is>
          <t>CORE</t>
        </is>
      </c>
      <c r="J49" s="4" t="inlineStr">
        <is>
          <t>原則適用。案件スコープ・成果物・規制・リスク上非該当の場合はN/A根拠を記録。</t>
        </is>
      </c>
      <c r="K49" s="4" t="inlineStr">
        <is>
          <t>SRC-SWEBOK-V4A</t>
        </is>
      </c>
      <c r="L49" s="4" t="inlineStr"/>
      <c r="M49" s="4" t="n"/>
      <c r="N49" s="4" t="n"/>
      <c r="O49" s="4" t="n"/>
      <c r="P49" s="4" t="n"/>
      <c r="Q49" s="4" t="n"/>
      <c r="R49" s="4" t="n"/>
      <c r="S49" s="4" t="n"/>
      <c r="T49" s="4" t="n"/>
      <c r="U49" s="4" t="n"/>
      <c r="V49" s="4" t="n"/>
      <c r="W49" s="4" t="n"/>
    </row>
    <row r="50">
      <c r="A50" s="5" t="inlineStr">
        <is>
          <t>REQ-603</t>
        </is>
      </c>
      <c r="B50" s="5" t="inlineStr">
        <is>
          <t>SWEBOK</t>
        </is>
      </c>
      <c r="C50" s="4" t="inlineStr">
        <is>
          <t>7. 仕様化技法(SWEBOK 4.1〜4.6)</t>
        </is>
      </c>
      <c r="D50" s="9" t="inlineStr">
        <is>
          <t>High</t>
        </is>
      </c>
      <c r="E50" s="4" t="inlineStr">
        <is>
          <t>要求に付加属性(優先度・安定性・状態)が付与されている</t>
        </is>
      </c>
      <c r="F50" s="4" t="inlineStr">
        <is>
          <t>各要求に少なくとも優先度と状態(提案/承認等)の属性がある</t>
        </is>
      </c>
      <c r="G50" s="4" t="inlineStr">
        <is>
          <t>属性(優先度・状態等)のない要求は、スコープ交渉や進捗判定の材料にならない。SWEBOKは付加属性が要求の解釈と管理を助けるとし、優先度・安定性・変更履歴等を推奨する。</t>
        </is>
      </c>
      <c r="H50" s="4" t="inlineStr">
        <is>
          <t>swebok-v4a.pdf ch01 Software Requirements &gt; 4.5 Additional Attributes of Requirements</t>
        </is>
      </c>
      <c r="I50" s="4" t="inlineStr">
        <is>
          <t>CORE</t>
        </is>
      </c>
      <c r="J50" s="4" t="inlineStr">
        <is>
          <t>原則適用。案件スコープ・成果物・規制・リスク上非該当の場合はN/A根拠を記録。</t>
        </is>
      </c>
      <c r="K50" s="4" t="inlineStr">
        <is>
          <t>SRC-SWEBOK-V4A</t>
        </is>
      </c>
      <c r="L50" s="4" t="inlineStr"/>
      <c r="M50" s="4" t="n"/>
      <c r="N50" s="4" t="n"/>
      <c r="O50" s="4" t="n"/>
      <c r="P50" s="4" t="n"/>
      <c r="Q50" s="4" t="n"/>
      <c r="R50" s="4" t="n"/>
      <c r="S50" s="4" t="n"/>
      <c r="T50" s="4" t="n"/>
      <c r="U50" s="4" t="n"/>
      <c r="V50" s="4" t="n"/>
      <c r="W50" s="4" t="n"/>
    </row>
    <row r="51">
      <c r="A51" s="5" t="inlineStr">
        <is>
          <t>REQ-604</t>
        </is>
      </c>
      <c r="B51" s="5" t="inlineStr">
        <is>
          <t>SWEBOK</t>
        </is>
      </c>
      <c r="C51" s="4" t="inlineStr">
        <is>
          <t>7. 仕様化技法(SWEBOK 4.1〜4.6)</t>
        </is>
      </c>
      <c r="D51" s="10" t="inlineStr">
        <is>
          <t>Medium</t>
        </is>
      </c>
      <c r="E51" s="4" t="inlineStr">
        <is>
          <t>モデル図(UML/SysML等)に凡例と本文からの参照がある</t>
        </is>
      </c>
      <c r="F51" s="4" t="inlineStr">
        <is>
          <t>図が要求本文から参照され、記法・凡例が明示されている(宙に浮いた図がない)</t>
        </is>
      </c>
      <c r="G51" s="4" t="inlineStr">
        <is>
          <t>SWEBOKはモデルベース仕様を自然言語の曖昧性回避手段と位置づけるが、凡例や本文参照のない図は読者ごとに解釈が分かれ、曖昧性回避というモデル化の目的自体を裏切る。</t>
        </is>
      </c>
      <c r="H51" s="4" t="inlineStr">
        <is>
          <t>swebok-v4a.pdf ch01 Software Requirements &gt; 4.4 Model-Based Requirements Specification</t>
        </is>
      </c>
      <c r="I51" s="4" t="inlineStr">
        <is>
          <t>CORE</t>
        </is>
      </c>
      <c r="J51" s="4" t="inlineStr">
        <is>
          <t>原則適用。案件スコープ・成果物・規制・リスク上非該当の場合はN/A根拠を記録。</t>
        </is>
      </c>
      <c r="K51" s="4" t="inlineStr">
        <is>
          <t>SRC-SWEBOK-V4A</t>
        </is>
      </c>
      <c r="L51" s="4" t="inlineStr"/>
      <c r="M51" s="4" t="n"/>
      <c r="N51" s="4" t="n"/>
      <c r="O51" s="4" t="n"/>
      <c r="P51" s="4" t="n"/>
      <c r="Q51" s="4" t="n"/>
      <c r="R51" s="4" t="n"/>
      <c r="S51" s="4" t="n"/>
      <c r="T51" s="4" t="n"/>
      <c r="U51" s="4" t="n"/>
      <c r="V51" s="4" t="n"/>
      <c r="W51" s="4" t="n"/>
    </row>
    <row r="52">
      <c r="A52" s="5" t="inlineStr">
        <is>
          <t>REQ-605</t>
        </is>
      </c>
      <c r="B52" s="5" t="inlineStr">
        <is>
          <t>SWEBOK</t>
        </is>
      </c>
      <c r="C52" s="4" t="inlineStr">
        <is>
          <t>7. 仕様化技法(SWEBOK 4.1〜4.6)</t>
        </is>
      </c>
      <c r="D52" s="10" t="inlineStr">
        <is>
          <t>Medium</t>
        </is>
      </c>
      <c r="E52" s="4" t="inlineStr">
        <is>
          <t>モデルと自然言語記述が矛盾していない</t>
        </is>
      </c>
      <c r="F52" s="4" t="inlineStr">
        <is>
          <t>図(状態遷移・シーケンス等)と対応する要求文の内容が一致している</t>
        </is>
      </c>
      <c r="G52" s="4" t="inlineStr">
        <is>
          <t>モデルと自然言語が矛盾すると、実装者がどちらを正とするかで挙動が分かれる。これは要求集合の内部一貫性の欠如であり、複数記法を併用する仕様で最も起きやすい欠陥。</t>
        </is>
      </c>
      <c r="H52" s="4" t="inlineStr">
        <is>
          <t>swebok-v4a.pdf ch01 Software Requirements &gt; 4.4 Model-Based Requirements Specification / 3.1(internally consistent)</t>
        </is>
      </c>
      <c r="I52" s="4" t="inlineStr">
        <is>
          <t>CORE</t>
        </is>
      </c>
      <c r="J52" s="4" t="inlineStr">
        <is>
          <t>原則適用。案件スコープ・成果物・規制・リスク上非該当の場合はN/A根拠を記録。</t>
        </is>
      </c>
      <c r="K52" s="4" t="inlineStr">
        <is>
          <t>SRC-SWEBOK-V4A</t>
        </is>
      </c>
      <c r="L52" s="4" t="inlineStr"/>
      <c r="M52" s="4" t="n"/>
      <c r="N52" s="4" t="n"/>
      <c r="O52" s="4" t="n"/>
      <c r="P52" s="4" t="n"/>
      <c r="Q52" s="4" t="n"/>
      <c r="R52" s="4" t="n"/>
      <c r="S52" s="4" t="n"/>
      <c r="T52" s="4" t="n"/>
      <c r="U52" s="4" t="n"/>
      <c r="V52" s="4" t="n"/>
      <c r="W52" s="4" t="n"/>
    </row>
    <row r="53">
      <c r="A53" s="5" t="inlineStr">
        <is>
          <t>REQ-606</t>
        </is>
      </c>
      <c r="B53" s="5" t="inlineStr">
        <is>
          <t>SWEBOK</t>
        </is>
      </c>
      <c r="C53" s="4" t="inlineStr">
        <is>
          <t>7. 仕様化技法(SWEBOK 4.1〜4.6)</t>
        </is>
      </c>
      <c r="D53" s="11" t="inlineStr">
        <is>
          <t>Low</t>
        </is>
      </c>
      <c r="E53" s="4" t="inlineStr">
        <is>
          <t>ビジネスルールが機能フローと分離して記述されている</t>
        </is>
      </c>
      <c r="F53" s="4" t="inlineStr">
        <is>
          <t>計算式・判定条件等のポリシーが、手順(プロセス)と分けて参照可能な形で整理されている</t>
        </is>
      </c>
      <c r="G53" s="4" t="inlineStr">
        <is>
          <t>SWEBOKは機能要求を「施行すべきポリシー」と「遂行すべきプロセス」の2種と定義する。ビジネスルールが手順記述に埋没すると、ルール変更時に影響箇所を特定できず修正漏れが起きる。</t>
        </is>
      </c>
      <c r="H53" s="4" t="inlineStr">
        <is>
          <t>swebok-v4a.pdf ch01 Software Requirements &gt; 1.4 Functional Requirements(policies and processes)/ 4.1(business rules)</t>
        </is>
      </c>
      <c r="I53" s="4" t="inlineStr">
        <is>
          <t>CORE</t>
        </is>
      </c>
      <c r="J53" s="4" t="inlineStr">
        <is>
          <t>原則適用。案件スコープ・成果物・規制・リスク上非該当の場合はN/A根拠を記録。</t>
        </is>
      </c>
      <c r="K53" s="4" t="inlineStr">
        <is>
          <t>SRC-SWEBOK-V4A</t>
        </is>
      </c>
      <c r="L53" s="4" t="inlineStr"/>
      <c r="M53" s="4" t="n"/>
      <c r="N53" s="4" t="n"/>
      <c r="O53" s="4" t="n"/>
      <c r="P53" s="4" t="n"/>
      <c r="Q53" s="4" t="n"/>
      <c r="R53" s="4" t="n"/>
      <c r="S53" s="4" t="n"/>
      <c r="T53" s="4" t="n"/>
      <c r="U53" s="4" t="n"/>
      <c r="V53" s="4" t="n"/>
      <c r="W53" s="4" t="n"/>
    </row>
    <row r="54">
      <c r="A54" s="5" t="inlineStr">
        <is>
          <t>REQ-9904</t>
        </is>
      </c>
      <c r="B54" s="5" t="inlineStr">
        <is>
          <t>追加承認</t>
        </is>
      </c>
      <c r="C54" s="4" t="inlineStr">
        <is>
          <t>7. 仕様化技法(SWEBOK 4.1〜4.6)</t>
        </is>
      </c>
      <c r="D54" s="11" t="inlineStr">
        <is>
          <t>Low</t>
        </is>
      </c>
      <c r="E54" s="4" t="inlineStr">
        <is>
          <t>高インテグリティ要求に対して形式的仕様・分析の適用が検討されている(該当案件のみ)</t>
        </is>
      </c>
      <c r="F54" s="4" t="inlineStr">
        <is>
          <t>人命・重大インフラ・高額取引等に関わる要求について、形式手法(モデル検査・定理証明等)の適用可否の検討記録があるか、非該当の判断が記録されている</t>
        </is>
      </c>
      <c r="G54" s="4" t="inlineStr">
        <is>
          <t>デッドロック不在・安全性不変条件のような性質は有限のテストでは実証できず、高インテグリティ案件で検討自体を怠ると未検証の致命的性質が残る。</t>
        </is>
      </c>
      <c r="H54" s="4" t="inlineStr">
        <is>
          <t>swebok-v4a.pdf ch01 Software Requirements &gt; 3.3 Formal Analysis(高インテグリティシステムでの形式的分析)</t>
        </is>
      </c>
      <c r="I54" s="4" t="inlineStr">
        <is>
          <t>CORE</t>
        </is>
      </c>
      <c r="J54" s="4" t="inlineStr">
        <is>
          <t>原則適用。案件スコープ・成果物・規制・リスク上非該当の場合はN/A根拠を記録。</t>
        </is>
      </c>
      <c r="K54" s="4" t="inlineStr">
        <is>
          <t>SRC-SWEBOK-V4A</t>
        </is>
      </c>
      <c r="L54" s="4" t="inlineStr"/>
      <c r="M54" s="4" t="n"/>
      <c r="N54" s="4" t="n"/>
      <c r="O54" s="4" t="n"/>
      <c r="P54" s="4" t="n"/>
      <c r="Q54" s="4" t="n"/>
      <c r="R54" s="4" t="n"/>
      <c r="S54" s="4" t="n"/>
      <c r="T54" s="4" t="n"/>
      <c r="U54" s="4" t="n"/>
      <c r="V54" s="4" t="n"/>
      <c r="W54" s="4" t="n"/>
    </row>
    <row r="55">
      <c r="A55" s="5" t="inlineStr">
        <is>
          <t>REQ-701</t>
        </is>
      </c>
      <c r="B55" s="5" t="inlineStr">
        <is>
          <t>SWEBOK</t>
        </is>
      </c>
      <c r="C55" s="4" t="inlineStr">
        <is>
          <t>8. ユーザーストーリー・受入基準(SWEBOK 4.3 / アジャイル案件)</t>
        </is>
      </c>
      <c r="D55" s="8" t="inlineStr">
        <is>
          <t>Critical</t>
        </is>
      </c>
      <c r="E55" s="4" t="inlineStr">
        <is>
          <t>各ユーザーストーリーに受入基準がある</t>
        </is>
      </c>
      <c r="F55" s="4" t="inlineStr">
        <is>
          <t>全ストーリーに検証可能な受入基準が最低1つ付いている</t>
        </is>
      </c>
      <c r="G55" s="4" t="inlineStr">
        <is>
          <t>受入基準のないストーリーは完了判定が主観になり、SWEBOKが受入基準ベース仕様の効用とする「テストケース言語による曖昧性の排除」が働かない。デモ時の認識齟齬による差し戻しが常態化する。</t>
        </is>
      </c>
      <c r="H55" s="4" t="inlineStr">
        <is>
          <t>swebok-v4a.pdf ch01 Software Requirements &gt; 4.3 Acceptance Criteria-Based Requirements Specification(ATDD/BDD)</t>
        </is>
      </c>
      <c r="I55" s="4" t="inlineStr">
        <is>
          <t>CORE</t>
        </is>
      </c>
      <c r="J55" s="4" t="inlineStr">
        <is>
          <t>原則適用。案件スコープ・成果物・規制・リスク上非該当の場合はN/A根拠を記録。</t>
        </is>
      </c>
      <c r="K55" s="4" t="inlineStr">
        <is>
          <t>SRC-SWEBOK-V4A</t>
        </is>
      </c>
      <c r="L55" s="4" t="inlineStr"/>
      <c r="M55" s="4" t="n"/>
      <c r="N55" s="4" t="n"/>
      <c r="O55" s="4" t="n"/>
      <c r="P55" s="4" t="n"/>
      <c r="Q55" s="4" t="n"/>
      <c r="R55" s="4" t="n"/>
      <c r="S55" s="4" t="n"/>
      <c r="T55" s="4" t="n"/>
      <c r="U55" s="4" t="n"/>
      <c r="V55" s="4" t="n"/>
      <c r="W55" s="4" t="n"/>
    </row>
    <row r="56">
      <c r="A56" s="5" t="inlineStr">
        <is>
          <t>REQ-702</t>
        </is>
      </c>
      <c r="B56" s="5" t="inlineStr">
        <is>
          <t>SWEBOK</t>
        </is>
      </c>
      <c r="C56" s="4" t="inlineStr">
        <is>
          <t>8. ユーザーストーリー・受入基準(SWEBOK 4.3 / アジャイル案件)</t>
        </is>
      </c>
      <c r="D56" s="9" t="inlineStr">
        <is>
          <t>High</t>
        </is>
      </c>
      <c r="E56" s="4" t="inlineStr">
        <is>
          <t>ストーリーが「役割・目的・機能」の3要素を持つ</t>
        </is>
      </c>
      <c r="F56" s="4" t="inlineStr">
        <is>
          <t>「&lt;役割&gt;として&lt;目的&gt;のために&lt;機能&gt;がほしい」の3要素が揃っている(役割が「ユーザー」一辺倒で形骸化していない)</t>
        </is>
      </c>
      <c r="G56" s="4" t="inlineStr">
        <is>
          <t>SWEBOKのユーザーストーリー形式「As a &lt;role&gt; I want &lt;capability&gt; so that &lt;benefit&gt;」に対応。役割と便益が欠けたストーリーは価値の検証も優先順位判断もできない機能リストに退化する。</t>
        </is>
      </c>
      <c r="H56" s="4" t="inlineStr">
        <is>
          <t>swebok-v4a.pdf ch01 Software Requirements &gt; 4.2/4.3(user story format)</t>
        </is>
      </c>
      <c r="I56" s="4" t="inlineStr">
        <is>
          <t>CORE</t>
        </is>
      </c>
      <c r="J56" s="4" t="inlineStr">
        <is>
          <t>原則適用。案件スコープ・成果物・規制・リスク上非該当の場合はN/A根拠を記録。</t>
        </is>
      </c>
      <c r="K56" s="4" t="inlineStr">
        <is>
          <t>SRC-SWEBOK-V4A</t>
        </is>
      </c>
      <c r="L56" s="4" t="inlineStr"/>
      <c r="M56" s="4" t="n"/>
      <c r="N56" s="4" t="n"/>
      <c r="O56" s="4" t="n"/>
      <c r="P56" s="4" t="n"/>
      <c r="Q56" s="4" t="n"/>
      <c r="R56" s="4" t="n"/>
      <c r="S56" s="4" t="n"/>
      <c r="T56" s="4" t="n"/>
      <c r="U56" s="4" t="n"/>
      <c r="V56" s="4" t="n"/>
      <c r="W56" s="4" t="n"/>
    </row>
    <row r="57">
      <c r="A57" s="5" t="inlineStr">
        <is>
          <t>REQ-703</t>
        </is>
      </c>
      <c r="B57" s="5" t="inlineStr">
        <is>
          <t>SWEBOK</t>
        </is>
      </c>
      <c r="C57" s="4" t="inlineStr">
        <is>
          <t>8. ユーザーストーリー・受入基準(SWEBOK 4.3 / アジャイル案件)</t>
        </is>
      </c>
      <c r="D57" s="9" t="inlineStr">
        <is>
          <t>High</t>
        </is>
      </c>
      <c r="E57" s="4" t="inlineStr">
        <is>
          <t>受入基準がGiven-When-Then等の検証可能な形式である</t>
        </is>
      </c>
      <c r="F57" s="4" t="inlineStr">
        <is>
          <t>前提・操作・期待結果が分離して書かれ、期待結果が観測可能である</t>
        </is>
      </c>
      <c r="G57" s="4" t="inlineStr">
        <is>
          <t>SWEBOKのBDDシナリオ形式(Given-When-Then)に対応。前提・刺激・結果が分離されていない受入基準はテストケースに機械的に変換できず、受入基準ベース仕様の最大の利点を失う。</t>
        </is>
      </c>
      <c r="H57" s="4" t="inlineStr">
        <is>
          <t>swebok-v4a.pdf ch01 Software Requirements &gt; 4.3 Acceptance Criteria-Based Requirements Specification(BDD scenarios)</t>
        </is>
      </c>
      <c r="I57" s="4" t="inlineStr">
        <is>
          <t>CORE</t>
        </is>
      </c>
      <c r="J57" s="4" t="inlineStr">
        <is>
          <t>原則適用。案件スコープ・成果物・規制・リスク上非該当の場合はN/A根拠を記録。</t>
        </is>
      </c>
      <c r="K57" s="4" t="inlineStr">
        <is>
          <t>SRC-SWEBOK-V4A</t>
        </is>
      </c>
      <c r="L57" s="4" t="inlineStr"/>
      <c r="M57" s="4" t="n"/>
      <c r="N57" s="4" t="n"/>
      <c r="O57" s="4" t="n"/>
      <c r="P57" s="4" t="n"/>
      <c r="Q57" s="4" t="n"/>
      <c r="R57" s="4" t="n"/>
      <c r="S57" s="4" t="n"/>
      <c r="T57" s="4" t="n"/>
      <c r="U57" s="4" t="n"/>
      <c r="V57" s="4" t="n"/>
      <c r="W57" s="4" t="n"/>
    </row>
    <row r="58">
      <c r="A58" s="5" t="inlineStr">
        <is>
          <t>REQ-704</t>
        </is>
      </c>
      <c r="B58" s="5" t="inlineStr">
        <is>
          <t>SWEBOK</t>
        </is>
      </c>
      <c r="C58" s="4" t="inlineStr">
        <is>
          <t>8. ユーザーストーリー・受入基準(SWEBOK 4.3 / アジャイル案件)</t>
        </is>
      </c>
      <c r="D58" s="9" t="inlineStr">
        <is>
          <t>High</t>
        </is>
      </c>
      <c r="E58" s="4" t="inlineStr">
        <is>
          <t>ストーリーがINVESTを概ね満たす</t>
        </is>
      </c>
      <c r="F58" s="4" t="inlineStr">
        <is>
          <t>1スプリントで完了できる大きさに分割され、単独で価値とテスト可能性を持つ(満たさないものはエピックとして区別されている)</t>
        </is>
      </c>
      <c r="G58" s="4" t="inlineStr">
        <is>
          <t>巨大で分割不能なストーリーは1イテレーションで完結せず、SWEBOKの言うアジャイルでの暗黙的スクラビング・スコープマッチング(スプリントに入る単位での取捨選択)が機能しなくなる。</t>
        </is>
      </c>
      <c r="H58" s="4" t="inlineStr">
        <is>
          <t>swebok-v4a.pdf ch01 Software Requirements &gt; 4.3 / 6.3 Scope Matching(velocity-based sprint planning)/ 実務補完(INVEST)</t>
        </is>
      </c>
      <c r="I58" s="4" t="inlineStr">
        <is>
          <t>CORE</t>
        </is>
      </c>
      <c r="J58" s="4" t="inlineStr">
        <is>
          <t>原則適用。案件スコープ・成果物・規制・リスク上非該当の場合はN/A根拠を記録。</t>
        </is>
      </c>
      <c r="K58" s="4" t="inlineStr">
        <is>
          <t>SRC-SWEBOK-V4A;SRC-OCI-WAF;SRC-PRACTICE</t>
        </is>
      </c>
      <c r="L58" s="4" t="inlineStr"/>
      <c r="M58" s="4" t="n"/>
      <c r="N58" s="4" t="n"/>
      <c r="O58" s="4" t="n"/>
      <c r="P58" s="4" t="n"/>
      <c r="Q58" s="4" t="n"/>
      <c r="R58" s="4" t="n"/>
      <c r="S58" s="4" t="n"/>
      <c r="T58" s="4" t="n"/>
      <c r="U58" s="4" t="n"/>
      <c r="V58" s="4" t="n"/>
      <c r="W58" s="4" t="n"/>
    </row>
    <row r="59">
      <c r="A59" s="5" t="inlineStr">
        <is>
          <t>REQ-705</t>
        </is>
      </c>
      <c r="B59" s="5" t="inlineStr">
        <is>
          <t>SWEBOK</t>
        </is>
      </c>
      <c r="C59" s="4" t="inlineStr">
        <is>
          <t>8. ユーザーストーリー・受入基準(SWEBOK 4.3 / アジャイル案件)</t>
        </is>
      </c>
      <c r="D59" s="10" t="inlineStr">
        <is>
          <t>Medium</t>
        </is>
      </c>
      <c r="E59" s="4" t="inlineStr">
        <is>
          <t>ストーリーがエピック・ビジネス目標に紐付いている</t>
        </is>
      </c>
      <c r="F59" s="4" t="inlineStr">
        <is>
          <t>各ストーリーから上位のエピックまたはビジネス目標を辿れる</t>
        </is>
      </c>
      <c r="G59" s="4" t="inlineStr">
        <is>
          <t>上位目標に紐付かないストーリーは後方トレース不能な要求であり、SWEBOKのトレーシングの目的(この要求はなぜ存在するかの説明)を欠く。価値の低い作業が優先順位の検証なく混入する。</t>
        </is>
      </c>
      <c r="H59" s="4" t="inlineStr">
        <is>
          <t>swebok-v4a.pdf ch01 Software Requirements &gt; 7.3 Requirements Tracing / 2.2(decomposition: capabilities→epics→features→stories)</t>
        </is>
      </c>
      <c r="I59" s="4" t="inlineStr">
        <is>
          <t>CORE</t>
        </is>
      </c>
      <c r="J59" s="4" t="inlineStr">
        <is>
          <t>原則適用。案件スコープ・成果物・規制・リスク上非該当の場合はN/A根拠を記録。</t>
        </is>
      </c>
      <c r="K59" s="4" t="inlineStr">
        <is>
          <t>SRC-SWEBOK-V4A</t>
        </is>
      </c>
      <c r="L59" s="4" t="inlineStr"/>
      <c r="M59" s="4" t="n"/>
      <c r="N59" s="4" t="n"/>
      <c r="O59" s="4" t="n"/>
      <c r="P59" s="4" t="n"/>
      <c r="Q59" s="4" t="n"/>
      <c r="R59" s="4" t="n"/>
      <c r="S59" s="4" t="n"/>
      <c r="T59" s="4" t="n"/>
      <c r="U59" s="4" t="n"/>
      <c r="V59" s="4" t="n"/>
      <c r="W59" s="4" t="n"/>
    </row>
    <row r="60">
      <c r="A60" s="5" t="inlineStr">
        <is>
          <t>REQ-706</t>
        </is>
      </c>
      <c r="B60" s="5" t="inlineStr">
        <is>
          <t>SWEBOK</t>
        </is>
      </c>
      <c r="C60" s="4" t="inlineStr">
        <is>
          <t>8. ユーザーストーリー・受入基準(SWEBOK 4.3 / アジャイル案件)</t>
        </is>
      </c>
      <c r="D60" s="10" t="inlineStr">
        <is>
          <t>Medium</t>
        </is>
      </c>
      <c r="E60" s="4" t="inlineStr">
        <is>
          <t>非機能要求がストーリー形式の外でも管理されている</t>
        </is>
      </c>
      <c r="F60" s="4" t="inlineStr">
        <is>
          <t>横断的なQoS制約がDoD・専用バックログ項目・非機能要件定義書のいずれかで管理され、ストーリーの隙間に消えていない</t>
        </is>
      </c>
      <c r="G60" s="4" t="inlineStr">
        <is>
          <t>SWEBOKは受入基準ベース仕様が曖昧性は解決しても不完全性は解決しないと警告する。横断的QoS制約はストーリー単位の記述から漏れやすく、性能・セキュリティの欠落として稼働後に露見する。</t>
        </is>
      </c>
      <c r="H60" s="4" t="inlineStr">
        <is>
          <t>swebok-v4a.pdf ch01 Software Requirements &gt; 4.3(不完全性問題への警告)/ 1.7 Quality of Service Constraints</t>
        </is>
      </c>
      <c r="I60" s="4" t="inlineStr">
        <is>
          <t>CORE</t>
        </is>
      </c>
      <c r="J60" s="4" t="inlineStr">
        <is>
          <t>原則適用。案件スコープ・成果物・規制・リスク上非該当の場合はN/A根拠を記録。</t>
        </is>
      </c>
      <c r="K60" s="4" t="inlineStr">
        <is>
          <t>SRC-SWEBOK-V4A</t>
        </is>
      </c>
      <c r="L60" s="4" t="inlineStr"/>
      <c r="M60" s="4" t="n"/>
      <c r="N60" s="4" t="n"/>
      <c r="O60" s="4" t="n"/>
      <c r="P60" s="4" t="n"/>
      <c r="Q60" s="4" t="n"/>
      <c r="R60" s="4" t="n"/>
      <c r="S60" s="4" t="n"/>
      <c r="T60" s="4" t="n"/>
      <c r="U60" s="4" t="n"/>
      <c r="V60" s="4" t="n"/>
      <c r="W60" s="4" t="n"/>
    </row>
    <row r="61">
      <c r="A61" s="5" t="inlineStr">
        <is>
          <t>REQ-801</t>
        </is>
      </c>
      <c r="B61" s="5" t="inlineStr">
        <is>
          <t>SWEBOK</t>
        </is>
      </c>
      <c r="C61" s="4" t="inlineStr">
        <is>
          <t>9. ユースケース(SWEBOK 4.2)</t>
        </is>
      </c>
      <c r="D61" s="9" t="inlineStr">
        <is>
          <t>High</t>
        </is>
      </c>
      <c r="E61" s="4" t="inlineStr">
        <is>
          <t>ユースケースがテンプレート必須項目を満たす</t>
        </is>
      </c>
      <c r="F61" s="4" t="inlineStr">
        <is>
          <t>各ユースケースに名称/ID/アクター/事前条件/事後条件/基本フローが揃っている</t>
        </is>
      </c>
      <c r="G61" s="4" t="inlineStr">
        <is>
          <t>SWEBOKのユースケース仕様テンプレート(名称・トリガ・パラメータ・事前保証・事後保証・正常/代替/例外コース)に対応。必須項目の欠落したユースケースは開始条件・終了状態が曖昧で実装者の解釈に委ねられる。</t>
        </is>
      </c>
      <c r="H61" s="4" t="inlineStr">
        <is>
          <t>swebok-v4a.pdf ch01 Software Requirements &gt; 4.2 Structured Natural Language Requirements Specification(use case template, Figure 1.6)</t>
        </is>
      </c>
      <c r="I61" s="4" t="inlineStr">
        <is>
          <t>CORE</t>
        </is>
      </c>
      <c r="J61" s="4" t="inlineStr">
        <is>
          <t>原則適用。案件スコープ・成果物・規制・リスク上非該当の場合はN/A根拠を記録。</t>
        </is>
      </c>
      <c r="K61" s="4" t="inlineStr">
        <is>
          <t>SRC-SWEBOK-V4A</t>
        </is>
      </c>
      <c r="L61" s="4" t="inlineStr"/>
      <c r="M61" s="4" t="n"/>
      <c r="N61" s="4" t="n"/>
      <c r="O61" s="4" t="n"/>
      <c r="P61" s="4" t="n"/>
      <c r="Q61" s="4" t="n"/>
      <c r="R61" s="4" t="n"/>
      <c r="S61" s="4" t="n"/>
      <c r="T61" s="4" t="n"/>
      <c r="U61" s="4" t="n"/>
      <c r="V61" s="4" t="n"/>
      <c r="W61" s="4" t="n"/>
    </row>
    <row r="62">
      <c r="A62" s="5" t="inlineStr">
        <is>
          <t>REQ-802</t>
        </is>
      </c>
      <c r="B62" s="5" t="inlineStr">
        <is>
          <t>SWEBOK</t>
        </is>
      </c>
      <c r="C62" s="4" t="inlineStr">
        <is>
          <t>9. ユースケース(SWEBOK 4.2)</t>
        </is>
      </c>
      <c r="D62" s="9" t="inlineStr">
        <is>
          <t>High</t>
        </is>
      </c>
      <c r="E62" s="4" t="inlineStr">
        <is>
          <t>代替フロー・例外フローが記述されている</t>
        </is>
      </c>
      <c r="F62" s="4" t="inlineStr">
        <is>
          <t>基本フローの分岐点・失敗しうるステップに対し、代替・例外フローが定義されているか不要の根拠がある</t>
        </is>
      </c>
      <c r="G62" s="4" t="inlineStr">
        <is>
          <t>SWEBOKのテンプレートは代替コース・例外を明示的な欄として持つ。正常コースのみのユースケースは完全性(例外条件への対処)を欠き、異常時挙動が実装時に即興で決められる。</t>
        </is>
      </c>
      <c r="H62" s="4" t="inlineStr">
        <is>
          <t>swebok-v4a.pdf ch01 Software Requirements &gt; 4.2(alternative courses / exceptions)/ 3.1(complete)</t>
        </is>
      </c>
      <c r="I62" s="4" t="inlineStr">
        <is>
          <t>CORE</t>
        </is>
      </c>
      <c r="J62" s="4" t="inlineStr">
        <is>
          <t>原則適用。案件スコープ・成果物・規制・リスク上非該当の場合はN/A根拠を記録。</t>
        </is>
      </c>
      <c r="K62" s="4" t="inlineStr">
        <is>
          <t>SRC-SWEBOK-V4A</t>
        </is>
      </c>
      <c r="L62" s="4" t="inlineStr"/>
      <c r="M62" s="4" t="n"/>
      <c r="N62" s="4" t="n"/>
      <c r="O62" s="4" t="n"/>
      <c r="P62" s="4" t="n"/>
      <c r="Q62" s="4" t="n"/>
      <c r="R62" s="4" t="n"/>
      <c r="S62" s="4" t="n"/>
      <c r="T62" s="4" t="n"/>
      <c r="U62" s="4" t="n"/>
      <c r="V62" s="4" t="n"/>
      <c r="W62" s="4" t="n"/>
    </row>
    <row r="63">
      <c r="A63" s="5" t="inlineStr">
        <is>
          <t>REQ-803</t>
        </is>
      </c>
      <c r="B63" s="5" t="inlineStr">
        <is>
          <t>SWEBOK</t>
        </is>
      </c>
      <c r="C63" s="4" t="inlineStr">
        <is>
          <t>9. ユースケース(SWEBOK 4.2)</t>
        </is>
      </c>
      <c r="D63" s="10" t="inlineStr">
        <is>
          <t>Medium</t>
        </is>
      </c>
      <c r="E63" s="4" t="inlineStr">
        <is>
          <t>アクターがシステム境界の外の存在として定義されている</t>
        </is>
      </c>
      <c r="F63" s="4" t="inlineStr">
        <is>
          <t>アクター一覧にシステム内部コンポーネントが混入していない</t>
        </is>
      </c>
      <c r="G63" s="4" t="inlineStr">
        <is>
          <t>内部コンポーネントをアクターに含めると、要求(外から観測可能な振る舞い)と設計(内部構造)の境界が崩れ、設計判断が要求として固定化される。Perfect Technology Filterの境界を守る確認。</t>
        </is>
      </c>
      <c r="H63" s="4" t="inlineStr">
        <is>
          <t>swebok-v4a.pdf ch01 Software Requirements &gt; 4.2(use case)/ 1.4 Functional Requirements(observable behaviors)</t>
        </is>
      </c>
      <c r="I63" s="4" t="inlineStr">
        <is>
          <t>CORE</t>
        </is>
      </c>
      <c r="J63" s="4" t="inlineStr">
        <is>
          <t>原則適用。案件スコープ・成果物・規制・リスク上非該当の場合はN/A根拠を記録。</t>
        </is>
      </c>
      <c r="K63" s="4" t="inlineStr">
        <is>
          <t>SRC-SWEBOK-V4A</t>
        </is>
      </c>
      <c r="L63" s="4" t="inlineStr"/>
      <c r="M63" s="4" t="n"/>
      <c r="N63" s="4" t="n"/>
      <c r="O63" s="4" t="n"/>
      <c r="P63" s="4" t="n"/>
      <c r="Q63" s="4" t="n"/>
      <c r="R63" s="4" t="n"/>
      <c r="S63" s="4" t="n"/>
      <c r="T63" s="4" t="n"/>
      <c r="U63" s="4" t="n"/>
      <c r="V63" s="4" t="n"/>
      <c r="W63" s="4" t="n"/>
    </row>
    <row r="64">
      <c r="A64" s="5" t="inlineStr">
        <is>
          <t>REQ-804</t>
        </is>
      </c>
      <c r="B64" s="5" t="inlineStr">
        <is>
          <t>SWEBOK</t>
        </is>
      </c>
      <c r="C64" s="4" t="inlineStr">
        <is>
          <t>9. ユースケース(SWEBOK 4.2)</t>
        </is>
      </c>
      <c r="D64" s="10" t="inlineStr">
        <is>
          <t>Medium</t>
        </is>
      </c>
      <c r="E64" s="4" t="inlineStr">
        <is>
          <t>事後条件が検証可能な状態として書かれている</t>
        </is>
      </c>
      <c r="F64" s="4" t="inlineStr">
        <is>
          <t>成功時にシステム・データがどうなっているかが観測可能な形で記述されている</t>
        </is>
      </c>
      <c r="G64" s="4" t="inlineStr">
        <is>
          <t>SWEBOKテンプレートのGuarantees(保証)に対応。事後条件が観測不能だとユースケースの達成をテストで実証できず、受入基準としての機能を果たさない。</t>
        </is>
      </c>
      <c r="H64" s="4" t="inlineStr">
        <is>
          <t>swebok-v4a.pdf ch01 Software Requirements &gt; 4.2(use case template: Guarantees)/ 3.1(testable)</t>
        </is>
      </c>
      <c r="I64" s="4" t="inlineStr">
        <is>
          <t>CORE</t>
        </is>
      </c>
      <c r="J64" s="4" t="inlineStr">
        <is>
          <t>原則適用。案件スコープ・成果物・規制・リスク上非該当の場合はN/A根拠を記録。</t>
        </is>
      </c>
      <c r="K64" s="4" t="inlineStr">
        <is>
          <t>SRC-SWEBOK-V4A</t>
        </is>
      </c>
      <c r="L64" s="4" t="inlineStr"/>
      <c r="M64" s="4" t="n"/>
      <c r="N64" s="4" t="n"/>
      <c r="O64" s="4" t="n"/>
      <c r="P64" s="4" t="n"/>
      <c r="Q64" s="4" t="n"/>
      <c r="R64" s="4" t="n"/>
      <c r="S64" s="4" t="n"/>
      <c r="T64" s="4" t="n"/>
      <c r="U64" s="4" t="n"/>
      <c r="V64" s="4" t="n"/>
      <c r="W64" s="4" t="n"/>
    </row>
    <row r="65">
      <c r="A65" s="5" t="inlineStr">
        <is>
          <t>REQ-805</t>
        </is>
      </c>
      <c r="B65" s="5" t="inlineStr">
        <is>
          <t>SWEBOK</t>
        </is>
      </c>
      <c r="C65" s="4" t="inlineStr">
        <is>
          <t>9. ユースケース(SWEBOK 4.2)</t>
        </is>
      </c>
      <c r="D65" s="11" t="inlineStr">
        <is>
          <t>Low</t>
        </is>
      </c>
      <c r="E65" s="4" t="inlineStr">
        <is>
          <t>ユースケース間の関係(include/extend)が乱用されていない</t>
        </is>
      </c>
      <c r="F65" s="4" t="inlineStr">
        <is>
          <t>include/extend が3階層を超える入れ子や循環参照になっていない</t>
        </is>
      </c>
      <c r="G65" s="4" t="inlineStr">
        <is>
          <t>過剰なinclude/extendの入れ子は、ユースケースを追うだけで複数文書の往復を強いる可読性の劣化を生み、構造化による「精度と簡潔さの向上」という目的に反する。</t>
        </is>
      </c>
      <c r="H65" s="4" t="inlineStr">
        <is>
          <t>swebok-v4a.pdf ch01 Software Requirements &gt; 4.2 Structured Natural Language Requirements Specification / 実務補完(Cockburn等のユースケース実務)</t>
        </is>
      </c>
      <c r="I65" s="4" t="inlineStr">
        <is>
          <t>CORE</t>
        </is>
      </c>
      <c r="J65" s="4" t="inlineStr">
        <is>
          <t>原則適用。案件スコープ・成果物・規制・リスク上非該当の場合はN/A根拠を記録。</t>
        </is>
      </c>
      <c r="K65" s="4" t="inlineStr">
        <is>
          <t>SRC-SWEBOK-V4A;SRC-PRACTICE</t>
        </is>
      </c>
      <c r="L65" s="4" t="inlineStr"/>
      <c r="M65" s="4" t="n"/>
      <c r="N65" s="4" t="n"/>
      <c r="O65" s="4" t="n"/>
      <c r="P65" s="4" t="n"/>
      <c r="Q65" s="4" t="n"/>
      <c r="R65" s="4" t="n"/>
      <c r="S65" s="4" t="n"/>
      <c r="T65" s="4" t="n"/>
      <c r="U65" s="4" t="n"/>
      <c r="V65" s="4" t="n"/>
      <c r="W65" s="4" t="n"/>
    </row>
    <row r="66">
      <c r="A66" s="5" t="inlineStr">
        <is>
          <t>REQ-901</t>
        </is>
      </c>
      <c r="B66" s="5" t="inlineStr">
        <is>
          <t>追加承認</t>
        </is>
      </c>
      <c r="C66" s="4" t="inlineStr">
        <is>
          <t>10. 妥当性確認(SWEBOK 5.1〜5.3)</t>
        </is>
      </c>
      <c r="D66" s="8" t="inlineStr">
        <is>
          <t>Critical</t>
        </is>
      </c>
      <c r="E66" s="4" t="inlineStr">
        <is>
          <t>要求レビューが実施され記録がある</t>
        </is>
      </c>
      <c r="F66" s="4" t="inlineStr">
        <is>
          <t>レビュー実施記録(日付・参加者・指摘一覧・処置)が存在する</t>
        </is>
      </c>
      <c r="G66" s="4" t="inlineStr">
        <is>
          <t>SWEBOKは要求レビューを最も一般的な妥当性確認手段とする。記録がなければ誤り・欠落・無効な前提の検出が体系的に行われた証拠がなく、未検証の要求がベースライン化される。</t>
        </is>
      </c>
      <c r="H66" s="4" t="inlineStr">
        <is>
          <t>swebok-v4a.pdf ch01 Software Requirements &gt; 5.1 Requirements Reviews</t>
        </is>
      </c>
      <c r="I66" s="4" t="inlineStr">
        <is>
          <t>CORE</t>
        </is>
      </c>
      <c r="J66" s="4" t="inlineStr">
        <is>
          <t>原則適用。案件スコープ・成果物・規制・リスク上非該当の場合はN/A根拠を記録。</t>
        </is>
      </c>
      <c r="K66" s="4" t="inlineStr">
        <is>
          <t>SRC-SWEBOK-V4A</t>
        </is>
      </c>
      <c r="L66" s="4" t="inlineStr"/>
      <c r="M66" s="4" t="n"/>
      <c r="N66" s="4" t="n"/>
      <c r="O66" s="4" t="n"/>
      <c r="P66" s="4" t="n"/>
      <c r="Q66" s="4" t="n"/>
      <c r="R66" s="4" t="n"/>
      <c r="S66" s="4" t="n"/>
      <c r="T66" s="4" t="n"/>
      <c r="U66" s="4" t="n"/>
      <c r="V66" s="4" t="n"/>
      <c r="W66" s="4" t="n"/>
    </row>
    <row r="67">
      <c r="A67" s="5" t="inlineStr">
        <is>
          <t>REQ-902</t>
        </is>
      </c>
      <c r="B67" s="5" t="inlineStr">
        <is>
          <t>追加承認</t>
        </is>
      </c>
      <c r="C67" s="4" t="inlineStr">
        <is>
          <t>10. 妥当性確認(SWEBOK 5.1〜5.3)</t>
        </is>
      </c>
      <c r="D67" s="9" t="inlineStr">
        <is>
          <t>High</t>
        </is>
      </c>
      <c r="E67" s="4" t="inlineStr">
        <is>
          <t>レビューが複数視点で行われている</t>
        </is>
      </c>
      <c r="F67" s="4" t="inlineStr">
        <is>
          <t>クライアント視点/別エンジニア視点/実装担当視点のうち2視点以上の参加者記録がある</t>
        </is>
      </c>
      <c r="G67" s="4" t="inlineStr">
        <is>
          <t>SWEBOKは「顧客・ユーザー(ニーズの正確さ)/要求仕様の専門家(明確さと標準準拠)/下流の設計・実装者(作業に十分か)」の複数視点レビューを推奨する。単一視点では各視点固有の欠陥が素通りする。</t>
        </is>
      </c>
      <c r="H67" s="4" t="inlineStr">
        <is>
          <t>swebok-v4a.pdf ch01 Software Requirements &gt; 5.1 Requirements Reviews(review from multiple perspectives)</t>
        </is>
      </c>
      <c r="I67" s="4" t="inlineStr">
        <is>
          <t>CORE</t>
        </is>
      </c>
      <c r="J67" s="4" t="inlineStr">
        <is>
          <t>原則適用。案件スコープ・成果物・規制・リスク上非該当の場合はN/A根拠を記録。</t>
        </is>
      </c>
      <c r="K67" s="4" t="inlineStr">
        <is>
          <t>SRC-SWEBOK-V4A</t>
        </is>
      </c>
      <c r="L67" s="4" t="inlineStr"/>
      <c r="M67" s="4" t="n"/>
      <c r="N67" s="4" t="n"/>
      <c r="O67" s="4" t="n"/>
      <c r="P67" s="4" t="n"/>
      <c r="Q67" s="4" t="n"/>
      <c r="R67" s="4" t="n"/>
      <c r="S67" s="4" t="n"/>
      <c r="T67" s="4" t="n"/>
      <c r="U67" s="4" t="n"/>
      <c r="V67" s="4" t="n"/>
      <c r="W67" s="4" t="n"/>
    </row>
    <row r="68">
      <c r="A68" s="5" t="inlineStr">
        <is>
          <t>REQ-903</t>
        </is>
      </c>
      <c r="B68" s="5" t="inlineStr">
        <is>
          <t>追加承認</t>
        </is>
      </c>
      <c r="C68" s="4" t="inlineStr">
        <is>
          <t>10. 妥当性確認(SWEBOK 5.1〜5.3)</t>
        </is>
      </c>
      <c r="D68" s="9" t="inlineStr">
        <is>
          <t>High</t>
        </is>
      </c>
      <c r="E68" s="4" t="inlineStr">
        <is>
          <t>Critical/High 指摘がクローズされている</t>
        </is>
      </c>
      <c r="F68" s="4" t="inlineStr">
        <is>
          <t>指摘管理表で重要度の高い指摘がすべて処置済み(修正または却下理由記録)である</t>
        </is>
      </c>
      <c r="G68" s="4" t="inlineStr">
        <is>
          <t>指摘が未処置のままベースライン化されると、既知の欠陥を仕様として合意したことになり、下流で発見された時の修正コストが跳ね上がる。レビューは指摘のクローズまで含めて妥当性確認になる。</t>
        </is>
      </c>
      <c r="H68" s="4" t="inlineStr">
        <is>
          <t>swebok-v4a.pdf ch01 Software Requirements &gt; 5.1 Requirements Reviews / 実務補完(レビュープロセス実務)</t>
        </is>
      </c>
      <c r="I68" s="4" t="inlineStr">
        <is>
          <t>CORE</t>
        </is>
      </c>
      <c r="J68" s="4" t="inlineStr">
        <is>
          <t>原則適用。案件スコープ・成果物・規制・リスク上非該当の場合はN/A根拠を記録。</t>
        </is>
      </c>
      <c r="K68" s="4" t="inlineStr">
        <is>
          <t>SRC-SWEBOK-V4A;SRC-PRACTICE</t>
        </is>
      </c>
      <c r="L68" s="4" t="inlineStr"/>
      <c r="M68" s="4" t="n"/>
      <c r="N68" s="4" t="n"/>
      <c r="O68" s="4" t="n"/>
      <c r="P68" s="4" t="n"/>
      <c r="Q68" s="4" t="n"/>
      <c r="R68" s="4" t="n"/>
      <c r="S68" s="4" t="n"/>
      <c r="T68" s="4" t="n"/>
      <c r="U68" s="4" t="n"/>
      <c r="V68" s="4" t="n"/>
      <c r="W68" s="4" t="n"/>
    </row>
    <row r="69">
      <c r="A69" s="5" t="inlineStr">
        <is>
          <t>REQ-904</t>
        </is>
      </c>
      <c r="B69" s="5" t="inlineStr">
        <is>
          <t>追加承認</t>
        </is>
      </c>
      <c r="C69" s="4" t="inlineStr">
        <is>
          <t>10. 妥当性確認(SWEBOK 5.1〜5.3)</t>
        </is>
      </c>
      <c r="D69" s="9" t="inlineStr">
        <is>
          <t>High</t>
        </is>
      </c>
      <c r="E69" s="4" t="inlineStr">
        <is>
          <t>主要ステークホルダーの承認記録がある</t>
        </is>
      </c>
      <c r="F69" s="4" t="inlineStr">
        <is>
          <t>承認者名・日付・対象版数が記録されている</t>
        </is>
      </c>
      <c r="G69" s="4" t="inlineStr">
        <is>
          <t>SWEBOKは要求開発を「何を作るかの合意に達すること」と定義する。承認記録がなければ合意の成立と対象版が証明できず、後の「言った/言わない」紛争と変更管理の起点喪失を招く。</t>
        </is>
      </c>
      <c r="H69" s="4" t="inlineStr">
        <is>
          <t>swebok-v4a.pdf ch01 Software Requirements &gt; 1.11 Software Requirements Activities(reaching an agreement)/ 5. Requirements Validation</t>
        </is>
      </c>
      <c r="I69" s="4" t="inlineStr">
        <is>
          <t>CORE</t>
        </is>
      </c>
      <c r="J69" s="4" t="inlineStr">
        <is>
          <t>原則適用。案件スコープ・成果物・規制・リスク上非該当の場合はN/A根拠を記録。</t>
        </is>
      </c>
      <c r="K69" s="4" t="inlineStr">
        <is>
          <t>SRC-SWEBOK-V4A</t>
        </is>
      </c>
      <c r="L69" s="4" t="inlineStr"/>
      <c r="M69" s="4" t="n"/>
      <c r="N69" s="4" t="n"/>
      <c r="O69" s="4" t="n"/>
      <c r="P69" s="4" t="n"/>
      <c r="Q69" s="4" t="n"/>
      <c r="R69" s="4" t="n"/>
      <c r="S69" s="4" t="n"/>
      <c r="T69" s="4" t="n"/>
      <c r="U69" s="4" t="n"/>
      <c r="V69" s="4" t="n"/>
      <c r="W69" s="4" t="n"/>
    </row>
    <row r="70">
      <c r="A70" s="5" t="inlineStr">
        <is>
          <t>REQ-905</t>
        </is>
      </c>
      <c r="B70" s="5" t="inlineStr">
        <is>
          <t>追加承認</t>
        </is>
      </c>
      <c r="C70" s="4" t="inlineStr">
        <is>
          <t>10. 妥当性確認(SWEBOK 5.1〜5.3)</t>
        </is>
      </c>
      <c r="D70" s="10" t="inlineStr">
        <is>
          <t>Medium</t>
        </is>
      </c>
      <c r="E70" s="4" t="inlineStr">
        <is>
          <t>誤解リスクの高い箇所にプロトタイプ等の確認が行われている</t>
        </is>
      </c>
      <c r="F70" s="4" t="inlineStr">
        <is>
          <t>UI・複雑な業務フロー等について、プロトタイプ・画面モック・シミュレーションでの確認記録があるか、不要の判断が記録されている</t>
        </is>
      </c>
      <c r="G70" s="4" t="inlineStr">
        <is>
          <t>SWEBOKは、文書レビューに時間を割けない非技術ステークホルダーに対しプロトタイプ・シミュレーションが有効とし、UIの動的挙動は文章より動くプロトタイプで理解されると指摘する。誤解リスクの高い箇所を文書レビューだけで通すと誤要求のまま実装される。</t>
        </is>
      </c>
      <c r="H70" s="4" t="inlineStr">
        <is>
          <t>swebok-v4a.pdf ch01 Software Requirements &gt; 5.2 Simulation and Execution / 5.3 Prototyping</t>
        </is>
      </c>
      <c r="I70" s="4" t="inlineStr">
        <is>
          <t>CORE</t>
        </is>
      </c>
      <c r="J70" s="4" t="inlineStr">
        <is>
          <t>原則適用。案件スコープ・成果物・規制・リスク上非該当の場合はN/A根拠を記録。</t>
        </is>
      </c>
      <c r="K70" s="4" t="inlineStr">
        <is>
          <t>SRC-SWEBOK-V4A</t>
        </is>
      </c>
      <c r="L70" s="4" t="inlineStr"/>
      <c r="M70" s="4" t="n"/>
      <c r="N70" s="4" t="n"/>
      <c r="O70" s="4" t="n"/>
      <c r="P70" s="4" t="n"/>
      <c r="Q70" s="4" t="n"/>
      <c r="R70" s="4" t="n"/>
      <c r="S70" s="4" t="n"/>
      <c r="T70" s="4" t="n"/>
      <c r="U70" s="4" t="n"/>
      <c r="V70" s="4" t="n"/>
      <c r="W70" s="4" t="n"/>
    </row>
    <row r="71">
      <c r="A71" s="5" t="inlineStr">
        <is>
          <t>REQ-906</t>
        </is>
      </c>
      <c r="B71" s="5" t="inlineStr">
        <is>
          <t>追加承認</t>
        </is>
      </c>
      <c r="C71" s="4" t="inlineStr">
        <is>
          <t>10. 妥当性確認(SWEBOK 5.1〜5.3)</t>
        </is>
      </c>
      <c r="D71" s="11" t="inlineStr">
        <is>
          <t>Low</t>
        </is>
      </c>
      <c r="E71" s="4" t="inlineStr">
        <is>
          <t>プロトタイプ確認の論点が事前定義されていた</t>
        </is>
      </c>
      <c r="F71" s="4" t="inlineStr">
        <is>
          <t>プロトタイプ実施時に確認したい論点リストが残っている</t>
        </is>
      </c>
      <c r="G71" s="4" t="inlineStr">
        <is>
          <t>SWEBOKはプロトタイプの危険として「見た目の問題がレビューアの注意を本質的機能から逸らす」ことを挙げる。確認論点の事前定義は、デモが表層の感想会に流れて肝心の要求確認が漏れる事態を防ぐ。</t>
        </is>
      </c>
      <c r="H71" s="4" t="inlineStr">
        <is>
          <t>swebok-v4a.pdf ch01 Software Requirements &gt; 5.3 Prototyping(cosmetic issues への警告)</t>
        </is>
      </c>
      <c r="I71" s="4" t="inlineStr">
        <is>
          <t>CORE</t>
        </is>
      </c>
      <c r="J71" s="4" t="inlineStr">
        <is>
          <t>原則適用。案件スコープ・成果物・規制・リスク上非該当の場合はN/A根拠を記録。</t>
        </is>
      </c>
      <c r="K71" s="4" t="inlineStr">
        <is>
          <t>SRC-SWEBOK-V4A</t>
        </is>
      </c>
      <c r="L71" s="4" t="inlineStr"/>
      <c r="M71" s="4" t="n"/>
      <c r="N71" s="4" t="n"/>
      <c r="O71" s="4" t="n"/>
      <c r="P71" s="4" t="n"/>
      <c r="Q71" s="4" t="n"/>
      <c r="R71" s="4" t="n"/>
      <c r="S71" s="4" t="n"/>
      <c r="T71" s="4" t="n"/>
      <c r="U71" s="4" t="n"/>
      <c r="V71" s="4" t="n"/>
      <c r="W71" s="4" t="n"/>
    </row>
    <row r="72">
      <c r="A72" s="5" t="inlineStr">
        <is>
          <t>REQ-1001</t>
        </is>
      </c>
      <c r="B72" s="5" t="inlineStr">
        <is>
          <t>SWEBOK</t>
        </is>
      </c>
      <c r="C72" s="4" t="inlineStr">
        <is>
          <t>11. 要求管理・変更管理(SWEBOK 6.1〜6.3)</t>
        </is>
      </c>
      <c r="D72" s="8" t="inlineStr">
        <is>
          <t>Critical</t>
        </is>
      </c>
      <c r="E72" s="4" t="inlineStr">
        <is>
          <t>変更管理プロセスが定義されている</t>
        </is>
      </c>
      <c r="F72" s="4" t="inlineStr">
        <is>
          <t>変更要求の受付→影響分析→承認/却下/保留→通知→追跡の手順が文書化されている(アジャイルの場合はバックログ運用ルールが明文化されている)</t>
        </is>
      </c>
      <c r="G72" s="4" t="inlineStr">
        <is>
          <t>SWEBOKは変更管理を要求管理の中心とし、受付・影響分析・裁定・通知・追跡の要素を明示する。プロセスがないと変更が非公式経路で滑り込み、スコープクリープと成果物間の不整合が常態化する。</t>
        </is>
      </c>
      <c r="H72" s="4" t="inlineStr">
        <is>
          <t>swebok-v4a.pdf ch01 Software Requirements &gt; 6.2 Requirements Change Control</t>
        </is>
      </c>
      <c r="I72" s="4" t="inlineStr">
        <is>
          <t>CORE</t>
        </is>
      </c>
      <c r="J72" s="4" t="inlineStr">
        <is>
          <t>原則適用。案件スコープ・成果物・規制・リスク上非該当の場合はN/A根拠を記録。</t>
        </is>
      </c>
      <c r="K72" s="4" t="inlineStr">
        <is>
          <t>SRC-SWEBOK-V4A</t>
        </is>
      </c>
      <c r="L72" s="4" t="inlineStr"/>
      <c r="M72" s="4" t="n"/>
      <c r="N72" s="4" t="n"/>
      <c r="O72" s="4" t="n"/>
      <c r="P72" s="4" t="n"/>
      <c r="Q72" s="4" t="n"/>
      <c r="R72" s="4" t="n"/>
      <c r="S72" s="4" t="n"/>
      <c r="T72" s="4" t="n"/>
      <c r="U72" s="4" t="n"/>
      <c r="V72" s="4" t="n"/>
      <c r="W72" s="4" t="n"/>
    </row>
    <row r="73">
      <c r="A73" s="5" t="inlineStr">
        <is>
          <t>REQ-1002</t>
        </is>
      </c>
      <c r="B73" s="5" t="inlineStr">
        <is>
          <t>SWEBOK</t>
        </is>
      </c>
      <c r="C73" s="4" t="inlineStr">
        <is>
          <t>11. 要求管理・変更管理(SWEBOK 6.1〜6.3)</t>
        </is>
      </c>
      <c r="D73" s="9" t="inlineStr">
        <is>
          <t>High</t>
        </is>
      </c>
      <c r="E73" s="4" t="inlineStr">
        <is>
          <t>承認済み要求がベースライン化され構成管理下にある</t>
        </is>
      </c>
      <c r="F73" s="4" t="inlineStr">
        <is>
          <t>ベースライン版数が識別でき、変更が版管理されている</t>
        </is>
      </c>
      <c r="G73" s="4" t="inlineStr">
        <is>
          <t>SWEBOKは要求文書と個々の要求を他の成果物と同じ構成管理の対象とすべきとする。ベースラインがなければ「変更」を定義できず、変更管理プロセス自体が成立しない。</t>
        </is>
      </c>
      <c r="H73" s="4" t="inlineStr">
        <is>
          <t>swebok-v4a.pdf ch01 Software Requirements &gt; 6.2 Requirements Change Control / 4.(構成管理への言及)</t>
        </is>
      </c>
      <c r="I73" s="4" t="inlineStr">
        <is>
          <t>CORE</t>
        </is>
      </c>
      <c r="J73" s="4" t="inlineStr">
        <is>
          <t>原則適用。案件スコープ・成果物・規制・リスク上非該当の場合はN/A根拠を記録。</t>
        </is>
      </c>
      <c r="K73" s="4" t="inlineStr">
        <is>
          <t>SRC-SWEBOK-V4A</t>
        </is>
      </c>
      <c r="L73" s="4" t="inlineStr"/>
      <c r="M73" s="4" t="n"/>
      <c r="N73" s="4" t="n"/>
      <c r="O73" s="4" t="n"/>
      <c r="P73" s="4" t="n"/>
      <c r="Q73" s="4" t="n"/>
      <c r="R73" s="4" t="n"/>
      <c r="S73" s="4" t="n"/>
      <c r="T73" s="4" t="n"/>
      <c r="U73" s="4" t="n"/>
      <c r="V73" s="4" t="n"/>
      <c r="W73" s="4" t="n"/>
    </row>
    <row r="74">
      <c r="A74" s="5" t="inlineStr">
        <is>
          <t>REQ-1003</t>
        </is>
      </c>
      <c r="B74" s="5" t="inlineStr">
        <is>
          <t>SWEBOK</t>
        </is>
      </c>
      <c r="C74" s="4" t="inlineStr">
        <is>
          <t>11. 要求管理・変更管理(SWEBOK 6.1〜6.3)</t>
        </is>
      </c>
      <c r="D74" s="9" t="inlineStr">
        <is>
          <t>High</t>
        </is>
      </c>
      <c r="E74" s="4" t="inlineStr">
        <is>
          <t>変更要求に影響分析の記録がある</t>
        </is>
      </c>
      <c r="F74" s="4" t="inlineStr">
        <is>
          <t>実施済みの各変更に、影響範囲(要求・設計・テスト・コスト)の分析記録がある</t>
        </is>
      </c>
      <c r="G74" s="4" t="inlineStr">
        <is>
          <t>SWEBOKは変更受入が「スケジュール・リソース・他スコープへの影響の受入」を意味することを全関係者が理解すべきとする。影響分析なしの受入は、その影響を誰も引き受けないまま計画超過を積み上げる。</t>
        </is>
      </c>
      <c r="H74" s="4" t="inlineStr">
        <is>
          <t>swebok-v4a.pdf ch01 Software Requirements &gt; 6.2 Requirements Change Control(impact analysis)/ 7.3(トレースによる影響のfootprint)</t>
        </is>
      </c>
      <c r="I74" s="4" t="inlineStr">
        <is>
          <t>CORE</t>
        </is>
      </c>
      <c r="J74" s="4" t="inlineStr">
        <is>
          <t>原則適用。案件スコープ・成果物・規制・リスク上非該当の場合はN/A根拠を記録。</t>
        </is>
      </c>
      <c r="K74" s="4" t="inlineStr">
        <is>
          <t>SRC-SWEBOK-V4A</t>
        </is>
      </c>
      <c r="L74" s="4" t="inlineStr"/>
      <c r="M74" s="4" t="n"/>
      <c r="N74" s="4" t="n"/>
      <c r="O74" s="4" t="n"/>
      <c r="P74" s="4" t="n"/>
      <c r="Q74" s="4" t="n"/>
      <c r="R74" s="4" t="n"/>
      <c r="S74" s="4" t="n"/>
      <c r="T74" s="4" t="n"/>
      <c r="U74" s="4" t="n"/>
      <c r="V74" s="4" t="n"/>
      <c r="W74" s="4" t="n"/>
    </row>
    <row r="75">
      <c r="A75" s="5" t="inlineStr">
        <is>
          <t>REQ-1004</t>
        </is>
      </c>
      <c r="B75" s="5" t="inlineStr">
        <is>
          <t>SWEBOK</t>
        </is>
      </c>
      <c r="C75" s="4" t="inlineStr">
        <is>
          <t>11. 要求管理・変更管理(SWEBOK 6.1〜6.3)</t>
        </is>
      </c>
      <c r="D75" s="10" t="inlineStr">
        <is>
          <t>Medium</t>
        </is>
      </c>
      <c r="E75" s="4" t="inlineStr">
        <is>
          <t>要求スクラビングが実施されている</t>
        </is>
      </c>
      <c r="F75" s="4" t="inlineStr">
        <is>
          <t>スコープ外・低価値として除外した要求の一覧と除外理由が残っている(除外ゼロの場合はスクラビング実施の記録がある)</t>
        </is>
      </c>
      <c r="G75" s="4" t="inlineStr">
        <is>
          <t>SWEBOKのスクラビングは「ステークホルダーニーズを満たす最小の要求集合」を見つけて解の規模・コストを最小化する活動。実施しないとスコープ外・低ROIの要求が温存され、工数と納期を静かに侵食する。</t>
        </is>
      </c>
      <c r="H75" s="4" t="inlineStr">
        <is>
          <t>swebok-v4a.pdf ch01 Software Requirements &gt; 6.1 Requirements Scrubbing</t>
        </is>
      </c>
      <c r="I75" s="4" t="inlineStr">
        <is>
          <t>CORE</t>
        </is>
      </c>
      <c r="J75" s="4" t="inlineStr">
        <is>
          <t>原則適用。案件スコープ・成果物・規制・リスク上非該当の場合はN/A根拠を記録。</t>
        </is>
      </c>
      <c r="K75" s="4" t="inlineStr">
        <is>
          <t>SRC-SWEBOK-V4A</t>
        </is>
      </c>
      <c r="L75" s="4" t="inlineStr"/>
      <c r="M75" s="4" t="n"/>
      <c r="N75" s="4" t="n"/>
      <c r="O75" s="4" t="n"/>
      <c r="P75" s="4" t="n"/>
      <c r="Q75" s="4" t="n"/>
      <c r="R75" s="4" t="n"/>
      <c r="S75" s="4" t="n"/>
      <c r="T75" s="4" t="n"/>
      <c r="U75" s="4" t="n"/>
      <c r="V75" s="4" t="n"/>
      <c r="W75" s="4" t="n"/>
    </row>
    <row r="76">
      <c r="A76" s="5" t="inlineStr">
        <is>
          <t>REQ-1005</t>
        </is>
      </c>
      <c r="B76" s="5" t="inlineStr">
        <is>
          <t>SWEBOK</t>
        </is>
      </c>
      <c r="C76" s="4" t="inlineStr">
        <is>
          <t>11. 要求管理・変更管理(SWEBOK 6.1〜6.3)</t>
        </is>
      </c>
      <c r="D76" s="10" t="inlineStr">
        <is>
          <t>Medium</t>
        </is>
      </c>
      <c r="E76" s="4" t="inlineStr">
        <is>
          <t>スコープと制約(コスト・期間・要員)の整合が確認されている</t>
        </is>
      </c>
      <c r="F76" s="4" t="inlineStr">
        <is>
          <t>要求規模(件数・ファンクショナルサイズ・ストーリーポイント等)と制約の突合記録があり、超過時の調整判断が記録されている</t>
        </is>
      </c>
      <c r="G76" s="4" t="inlineStr">
        <is>
          <t>SWEBOKのスコープマッチングに対応。要求スコープが制約を超えたまま進むと、破綻が開発後半に露見して最悪のタイミングでの削減交渉になる。定量的(機能規模単位)な突合が望ましいとされる。</t>
        </is>
      </c>
      <c r="H76" s="4" t="inlineStr">
        <is>
          <t>swebok-v4a.pdf ch01 Software Requirements &gt; 6.3 Scope Matching</t>
        </is>
      </c>
      <c r="I76" s="4" t="inlineStr">
        <is>
          <t>CORE</t>
        </is>
      </c>
      <c r="J76" s="4" t="inlineStr">
        <is>
          <t>原則適用。案件スコープ・成果物・規制・リスク上非該当の場合はN/A根拠を記録。</t>
        </is>
      </c>
      <c r="K76" s="4" t="inlineStr">
        <is>
          <t>SRC-SWEBOK-V4A</t>
        </is>
      </c>
      <c r="L76" s="4" t="inlineStr">
        <is>
          <t>COST</t>
        </is>
      </c>
      <c r="M76" s="4" t="n"/>
      <c r="N76" s="4" t="n"/>
      <c r="O76" s="4" t="n"/>
      <c r="P76" s="4" t="n"/>
      <c r="Q76" s="4" t="n"/>
      <c r="R76" s="4" t="n"/>
      <c r="S76" s="4" t="n"/>
      <c r="T76" s="4" t="n"/>
      <c r="U76" s="4" t="n"/>
      <c r="V76" s="4" t="n"/>
      <c r="W76" s="4" t="n"/>
    </row>
    <row r="77">
      <c r="A77" s="5" t="inlineStr">
        <is>
          <t>REQ-1006</t>
        </is>
      </c>
      <c r="B77" s="5" t="inlineStr">
        <is>
          <t>SWEBOK</t>
        </is>
      </c>
      <c r="C77" s="4" t="inlineStr">
        <is>
          <t>11. 要求管理・変更管理(SWEBOK 6.1〜6.3)</t>
        </is>
      </c>
      <c r="D77" s="11" t="inlineStr">
        <is>
          <t>Low</t>
        </is>
      </c>
      <c r="E77" s="4" t="inlineStr">
        <is>
          <t>要求ごとの安定性(変動しやすさ)が評価されている</t>
        </is>
      </c>
      <c r="F77" s="4" t="inlineStr">
        <is>
          <t>変動リスクの高い要求に安定性属性または注記が付いている</t>
        </is>
      </c>
      <c r="G77" s="4" t="inlineStr">
        <is>
          <t>SWEBOKは変動しやすい要求の識別が「変更に強い設計」の確立を助けるとする。安定性評価がないと、変動必至の要求を硬直した構造で実装し、変更のたびに大規模改修を強いられる。</t>
        </is>
      </c>
      <c r="H77" s="4" t="inlineStr">
        <is>
          <t>swebok-v4a.pdf ch01 Software Requirements &gt; 7.4 Requirements Stability and Volatility</t>
        </is>
      </c>
      <c r="I77" s="4" t="inlineStr">
        <is>
          <t>CORE</t>
        </is>
      </c>
      <c r="J77" s="4" t="inlineStr">
        <is>
          <t>原則適用。案件スコープ・成果物・規制・リスク上非該当の場合はN/A根拠を記録。</t>
        </is>
      </c>
      <c r="K77" s="4" t="inlineStr">
        <is>
          <t>SRC-SWEBOK-V4A</t>
        </is>
      </c>
      <c r="L77" s="4" t="inlineStr"/>
      <c r="M77" s="4" t="n"/>
      <c r="N77" s="4" t="n"/>
      <c r="O77" s="4" t="n"/>
      <c r="P77" s="4" t="n"/>
      <c r="Q77" s="4" t="n"/>
      <c r="R77" s="4" t="n"/>
      <c r="S77" s="4" t="n"/>
      <c r="T77" s="4" t="n"/>
      <c r="U77" s="4" t="n"/>
      <c r="V77" s="4" t="n"/>
      <c r="W77" s="4" t="n"/>
    </row>
    <row r="78">
      <c r="A78" s="5" t="inlineStr">
        <is>
          <t>REQ-1101</t>
        </is>
      </c>
      <c r="B78" s="5" t="inlineStr">
        <is>
          <t>SWEBOK</t>
        </is>
      </c>
      <c r="C78" s="4" t="inlineStr">
        <is>
          <t>12. 優先順位付け・トレーサビリティ・計測(SWEBOK 7.2〜7.5)</t>
        </is>
      </c>
      <c r="D78" s="8" t="inlineStr">
        <is>
          <t>Critical</t>
        </is>
      </c>
      <c r="E78" s="4" t="inlineStr">
        <is>
          <t>RTMが存在し、要求⇔テストの対応が記録されている</t>
        </is>
      </c>
      <c r="F78" s="4" t="inlineStr">
        <is>
          <t>承認済み要求の各行にテストケースID(または検証手段)が対応付いているか、対応付け予定が管理されている</t>
        </is>
      </c>
      <c r="G78" s="4" t="inlineStr">
        <is>
          <t>SWEBOKはトレーシングの第一の目的を成果物間の整合の検証に置く。要求⇔テストの対応がないと、検証されない要求(実装漏れの見逃し)と要求のないテスト(仕様の欠落か無駄)を検出できない。</t>
        </is>
      </c>
      <c r="H78" s="4" t="inlineStr">
        <is>
          <t>swebok-v4a.pdf ch01 Software Requirements &gt; 7.3 Requirements Tracing(forward to test cases)</t>
        </is>
      </c>
      <c r="I78" s="4" t="inlineStr">
        <is>
          <t>CORE</t>
        </is>
      </c>
      <c r="J78" s="4" t="inlineStr">
        <is>
          <t>原則適用。案件スコープ・成果物・規制・リスク上非該当の場合はN/A根拠を記録。</t>
        </is>
      </c>
      <c r="K78" s="4" t="inlineStr">
        <is>
          <t>SRC-SWEBOK-V4A</t>
        </is>
      </c>
      <c r="L78" s="4" t="inlineStr"/>
      <c r="M78" s="4" t="n"/>
      <c r="N78" s="4" t="n"/>
      <c r="O78" s="4" t="n"/>
      <c r="P78" s="4" t="n"/>
      <c r="Q78" s="4" t="n"/>
      <c r="R78" s="4" t="n"/>
      <c r="S78" s="4" t="n"/>
      <c r="T78" s="4" t="n"/>
      <c r="U78" s="4" t="n"/>
      <c r="V78" s="4" t="n"/>
      <c r="W78" s="4" t="n"/>
    </row>
    <row r="79">
      <c r="A79" s="5" t="inlineStr">
        <is>
          <t>REQ-1102</t>
        </is>
      </c>
      <c r="B79" s="5" t="inlineStr">
        <is>
          <t>SWEBOK</t>
        </is>
      </c>
      <c r="C79" s="4" t="inlineStr">
        <is>
          <t>12. 優先順位付け・トレーサビリティ・計測(SWEBOK 7.2〜7.5)</t>
        </is>
      </c>
      <c r="D79" s="8" t="inlineStr">
        <is>
          <t>Critical</t>
        </is>
      </c>
      <c r="E79" s="4" t="inlineStr">
        <is>
          <t>全要求が上位要求・ビジネス目標にトレースされる(後方トレース)</t>
        </is>
      </c>
      <c r="F79" s="4" t="inlineStr">
        <is>
          <t>RTM上で源泉・上位目標が空欄の承認済み要求がない</t>
        </is>
      </c>
      <c r="G79" s="4" t="inlineStr">
        <is>
          <t>上位にトレースできない要求は「存在理由を説明できない要求」であり、スコープクリープの典型的な侵入形態。SWEBOKは源泉文書への後方トレースを明示する。</t>
        </is>
      </c>
      <c r="H79" s="4" t="inlineStr">
        <is>
          <t>swebok-v4a.pdf ch01 Software Requirements &gt; 7.3 Requirements Tracing(back to source documentation)</t>
        </is>
      </c>
      <c r="I79" s="4" t="inlineStr">
        <is>
          <t>CORE</t>
        </is>
      </c>
      <c r="J79" s="4" t="inlineStr">
        <is>
          <t>原則適用。案件スコープ・成果物・規制・リスク上非該当の場合はN/A根拠を記録。</t>
        </is>
      </c>
      <c r="K79" s="4" t="inlineStr">
        <is>
          <t>SRC-SWEBOK-V4A</t>
        </is>
      </c>
      <c r="L79" s="4" t="inlineStr">
        <is>
          <t>OPS-OBSERVABILITY</t>
        </is>
      </c>
      <c r="M79" s="4" t="n"/>
      <c r="N79" s="4" t="n"/>
      <c r="O79" s="4" t="n"/>
      <c r="P79" s="4" t="n"/>
      <c r="Q79" s="4" t="n"/>
      <c r="R79" s="4" t="n"/>
      <c r="S79" s="4" t="n"/>
      <c r="T79" s="4" t="n"/>
      <c r="U79" s="4" t="n"/>
      <c r="V79" s="4" t="n"/>
      <c r="W79" s="4" t="n"/>
    </row>
    <row r="80">
      <c r="A80" s="5" t="inlineStr">
        <is>
          <t>REQ-1103</t>
        </is>
      </c>
      <c r="B80" s="5" t="inlineStr">
        <is>
          <t>SWEBOK</t>
        </is>
      </c>
      <c r="C80" s="4" t="inlineStr">
        <is>
          <t>12. 優先順位付け・トレーサビリティ・計測(SWEBOK 7.2〜7.5)</t>
        </is>
      </c>
      <c r="D80" s="9" t="inlineStr">
        <is>
          <t>High</t>
        </is>
      </c>
      <c r="E80" s="4" t="inlineStr">
        <is>
          <t>上位要求から下位要求への前方トレースが取れる</t>
        </is>
      </c>
      <c r="F80" s="4" t="inlineStr">
        <is>
          <t>ビジネス目標・システム要求の各項目が、少なくとも1つのソフトウェア要求に展開されているか、未展開が識別されている</t>
        </is>
      </c>
      <c r="G80" s="4" t="inlineStr">
        <is>
          <t>SWEBOKのトレーシング設問「各要求に対応する下位要素があるか」の適用。前方トレースの欠落は上位目標の未実現(要求の不完全性)をリリースまで隠す。</t>
        </is>
      </c>
      <c r="H80" s="4" t="inlineStr">
        <is>
          <t>swebok-v4a.pdf ch01 Software Requirements &gt; 7.3 Requirements Tracing(forward tracing)</t>
        </is>
      </c>
      <c r="I80" s="4" t="inlineStr">
        <is>
          <t>CORE</t>
        </is>
      </c>
      <c r="J80" s="4" t="inlineStr">
        <is>
          <t>原則適用。案件スコープ・成果物・規制・リスク上非該当の場合はN/A根拠を記録。</t>
        </is>
      </c>
      <c r="K80" s="4" t="inlineStr">
        <is>
          <t>SRC-SWEBOK-V4A</t>
        </is>
      </c>
      <c r="L80" s="4" t="inlineStr">
        <is>
          <t>OPS-OBSERVABILITY</t>
        </is>
      </c>
      <c r="M80" s="4" t="n"/>
      <c r="N80" s="4" t="n"/>
      <c r="O80" s="4" t="n"/>
      <c r="P80" s="4" t="n"/>
      <c r="Q80" s="4" t="n"/>
      <c r="R80" s="4" t="n"/>
      <c r="S80" s="4" t="n"/>
      <c r="T80" s="4" t="n"/>
      <c r="U80" s="4" t="n"/>
      <c r="V80" s="4" t="n"/>
      <c r="W80" s="4" t="n"/>
    </row>
    <row r="81">
      <c r="A81" s="5" t="inlineStr">
        <is>
          <t>REQ-1104</t>
        </is>
      </c>
      <c r="B81" s="5" t="inlineStr">
        <is>
          <t>SWEBOK</t>
        </is>
      </c>
      <c r="C81" s="4" t="inlineStr">
        <is>
          <t>12. 優先順位付け・トレーサビリティ・計測(SWEBOK 7.2〜7.5)</t>
        </is>
      </c>
      <c r="D81" s="9" t="inlineStr">
        <is>
          <t>High</t>
        </is>
      </c>
      <c r="E81" s="4" t="inlineStr">
        <is>
          <t>すべての要求に優先度が付与され、差が付いている</t>
        </is>
      </c>
      <c r="F81" s="4" t="inlineStr">
        <is>
          <t>優先度属性の空欄がなく、全件が同一優先度になっていない</t>
        </is>
      </c>
      <c r="G81" s="4" t="inlineStr">
        <is>
          <t>SWEBOKは優先順位付けが価値の高い機能の早期提供・対立解消・スコープマッチングを支えるとする。全件同一優先度は優先順位付けの放棄であり、削減交渉時に判断材料がなくなる。</t>
        </is>
      </c>
      <c r="H81" s="4" t="inlineStr">
        <is>
          <t>swebok-v4a.pdf ch01 Software Requirements &gt; 7.2 Requirements Prioritization</t>
        </is>
      </c>
      <c r="I81" s="4" t="inlineStr">
        <is>
          <t>CORE</t>
        </is>
      </c>
      <c r="J81" s="4" t="inlineStr">
        <is>
          <t>原則適用。案件スコープ・成果物・規制・リスク上非該当の場合はN/A根拠を記録。</t>
        </is>
      </c>
      <c r="K81" s="4" t="inlineStr">
        <is>
          <t>SRC-SWEBOK-V4A</t>
        </is>
      </c>
      <c r="L81" s="4" t="inlineStr"/>
      <c r="M81" s="4" t="n"/>
      <c r="N81" s="4" t="n"/>
      <c r="O81" s="4" t="n"/>
      <c r="P81" s="4" t="n"/>
      <c r="Q81" s="4" t="n"/>
      <c r="R81" s="4" t="n"/>
      <c r="S81" s="4" t="n"/>
      <c r="T81" s="4" t="n"/>
      <c r="U81" s="4" t="n"/>
      <c r="V81" s="4" t="n"/>
      <c r="W81" s="4" t="n"/>
    </row>
    <row r="82">
      <c r="A82" s="5" t="inlineStr">
        <is>
          <t>REQ-1105</t>
        </is>
      </c>
      <c r="B82" s="5" t="inlineStr">
        <is>
          <t>SWEBOK</t>
        </is>
      </c>
      <c r="C82" s="4" t="inlineStr">
        <is>
          <t>12. 優先順位付け・トレーサビリティ・計測(SWEBOK 7.2〜7.5)</t>
        </is>
      </c>
      <c r="D82" s="10" t="inlineStr">
        <is>
          <t>Medium</t>
        </is>
      </c>
      <c r="E82" s="4" t="inlineStr">
        <is>
          <t>優先順位付けの基準が定義されている</t>
        </is>
      </c>
      <c r="F82" s="4" t="inlineStr">
        <is>
          <t>価値・コスト・リスク・不満足度(Kanoモデル等)のうち何を基準にしたかが記録されている</t>
        </is>
      </c>
      <c r="G82" s="4" t="inlineStr">
        <is>
          <t>SWEBOKは満足度だけでなく「なければどれほど不満か」(Kanoモデル)まで考慮しないと誤った優先順位になると警告する。基準の記録がないと優先度が声の大きさで決まり、必須機能が後回しになる。</t>
        </is>
      </c>
      <c r="H82" s="4" t="inlineStr">
        <is>
          <t>swebok-v4a.pdf ch01 Software Requirements &gt; 7.2 Requirements Prioritization(価値・コスト・リスク・Kanoモデル)</t>
        </is>
      </c>
      <c r="I82" s="4" t="inlineStr">
        <is>
          <t>CORE</t>
        </is>
      </c>
      <c r="J82" s="4" t="inlineStr">
        <is>
          <t>原則適用。案件スコープ・成果物・規制・リスク上非該当の場合はN/A根拠を記録。</t>
        </is>
      </c>
      <c r="K82" s="4" t="inlineStr">
        <is>
          <t>SRC-SWEBOK-V4A</t>
        </is>
      </c>
      <c r="L82" s="4" t="inlineStr"/>
      <c r="M82" s="4" t="n"/>
      <c r="N82" s="4" t="n"/>
      <c r="O82" s="4" t="n"/>
      <c r="P82" s="4" t="n"/>
      <c r="Q82" s="4" t="n"/>
      <c r="R82" s="4" t="n"/>
      <c r="S82" s="4" t="n"/>
      <c r="T82" s="4" t="n"/>
      <c r="U82" s="4" t="n"/>
      <c r="V82" s="4" t="n"/>
      <c r="W82" s="4" t="n"/>
    </row>
    <row r="83">
      <c r="A83" s="5" t="inlineStr">
        <is>
          <t>REQ-1106</t>
        </is>
      </c>
      <c r="B83" s="5" t="inlineStr">
        <is>
          <t>SWEBOK</t>
        </is>
      </c>
      <c r="C83" s="4" t="inlineStr">
        <is>
          <t>12. 優先順位付け・トレーサビリティ・計測(SWEBOK 7.2〜7.5)</t>
        </is>
      </c>
      <c r="D83" s="10" t="inlineStr">
        <is>
          <t>Medium</t>
        </is>
      </c>
      <c r="E83" s="4" t="inlineStr">
        <is>
          <t>要求の規模・件数が計測されている</t>
        </is>
      </c>
      <c r="F83" s="4" t="inlineStr">
        <is>
          <t>要求件数、ファンクショナルサイズまたはストーリーポイント合計が記録されている</t>
        </is>
      </c>
      <c r="G83" s="4" t="inlineStr">
        <is>
          <t>SWEBOKは要求の量(機能規模・ストーリーポイント)が開発規模の評価・見積り・他計測の分母として有用とする。計測がないとスコープマッチングも変更規模の定量化もできない。</t>
        </is>
      </c>
      <c r="H83" s="4" t="inlineStr">
        <is>
          <t>swebok-v4a.pdf ch01 Software Requirements &gt; 7.5 Measuring Requirements(FSM, story points)</t>
        </is>
      </c>
      <c r="I83" s="4" t="inlineStr">
        <is>
          <t>CORE</t>
        </is>
      </c>
      <c r="J83" s="4" t="inlineStr">
        <is>
          <t>原則適用。案件スコープ・成果物・規制・リスク上非該当の場合はN/A根拠を記録。</t>
        </is>
      </c>
      <c r="K83" s="4" t="inlineStr">
        <is>
          <t>SRC-SWEBOK-V4A</t>
        </is>
      </c>
      <c r="L83" s="4" t="inlineStr"/>
      <c r="M83" s="4" t="n"/>
      <c r="N83" s="4" t="n"/>
      <c r="O83" s="4" t="n"/>
      <c r="P83" s="4" t="n"/>
      <c r="Q83" s="4" t="n"/>
      <c r="R83" s="4" t="n"/>
      <c r="S83" s="4" t="n"/>
      <c r="T83" s="4" t="n"/>
      <c r="U83" s="4" t="n"/>
      <c r="V83" s="4" t="n"/>
      <c r="W83" s="4" t="n"/>
    </row>
    <row r="84">
      <c r="A84" s="5" t="inlineStr">
        <is>
          <t>REQ-1107</t>
        </is>
      </c>
      <c r="B84" s="5" t="inlineStr">
        <is>
          <t>SWEBOK</t>
        </is>
      </c>
      <c r="C84" s="4" t="inlineStr">
        <is>
          <t>12. 優先順位付け・トレーサビリティ・計測(SWEBOK 7.2〜7.5)</t>
        </is>
      </c>
      <c r="D84" s="10" t="inlineStr">
        <is>
          <t>Medium</t>
        </is>
      </c>
      <c r="E84" s="4" t="inlineStr">
        <is>
          <t>RTMの状態列が運用されている</t>
        </is>
      </c>
      <c r="F84" s="4" t="inlineStr">
        <is>
          <t>各要求の状態(提案/承認/実装済み/検証済み等)が定義された値集合で管理されている</t>
        </is>
      </c>
      <c r="G84" s="4" t="inlineStr">
        <is>
          <t>SWEBOKはマネジメントが要求の状態からプロジェクト完了度を評価できると述べる。状態列が運用されていないRTMは作成時点のスナップショットに過ぎず、進捗・検証状況の把握手段にならない。</t>
        </is>
      </c>
      <c r="H84" s="4" t="inlineStr">
        <is>
          <t>swebok-v4a.pdf ch01 Software Requirements &gt; 4.5(属性)/ 序論(要求の状態によるプロジェクト完了評価)</t>
        </is>
      </c>
      <c r="I84" s="4" t="inlineStr">
        <is>
          <t>CORE</t>
        </is>
      </c>
      <c r="J84" s="4" t="inlineStr">
        <is>
          <t>原則適用。案件スコープ・成果物・規制・リスク上非該当の場合はN/A根拠を記録。</t>
        </is>
      </c>
      <c r="K84" s="4" t="inlineStr">
        <is>
          <t>SRC-SWEBOK-V4A</t>
        </is>
      </c>
      <c r="L84" s="4" t="inlineStr"/>
      <c r="M84" s="4" t="n"/>
      <c r="N84" s="4" t="n"/>
      <c r="O84" s="4" t="n"/>
      <c r="P84" s="4" t="n"/>
      <c r="Q84" s="4" t="n"/>
      <c r="R84" s="4" t="n"/>
      <c r="S84" s="4" t="n"/>
      <c r="T84" s="4" t="n"/>
      <c r="U84" s="4" t="n"/>
      <c r="V84" s="4" t="n"/>
      <c r="W84" s="4" t="n"/>
    </row>
    <row r="85">
      <c r="A85" s="5" t="inlineStr">
        <is>
          <t>REQ-1108</t>
        </is>
      </c>
      <c r="B85" s="5" t="inlineStr">
        <is>
          <t>SWEBOK</t>
        </is>
      </c>
      <c r="C85" s="4" t="inlineStr">
        <is>
          <t>12. 優先順位付け・トレーサビリティ・計測(SWEBOK 7.2〜7.5)</t>
        </is>
      </c>
      <c r="D85" s="11" t="inlineStr">
        <is>
          <t>Low</t>
        </is>
      </c>
      <c r="E85" s="4" t="inlineStr">
        <is>
          <t>要求変更率(volatility)が追跡されている</t>
        </is>
      </c>
      <c r="F85" s="4" t="inlineStr">
        <is>
          <t>ベースライン後の変更件数・変更率の記録または集計手段がある</t>
        </is>
      </c>
      <c r="G85" s="4" t="inlineStr">
        <is>
          <t>SWEBOKは要求の安定性・変動性の評価を実務上の考慮事項とする。変更率の追跡は、要求プロセスの品質問題(獲得不足・合意の脆さ)の早期警報であり、再見積りの根拠にもなる。</t>
        </is>
      </c>
      <c r="H85" s="4" t="inlineStr">
        <is>
          <t>swebok-v4a.pdf ch01 Software Requirements &gt; 7.4 Requirements Stability and Volatility / 7.5 Measuring Requirements</t>
        </is>
      </c>
      <c r="I85" s="4" t="inlineStr">
        <is>
          <t>CORE</t>
        </is>
      </c>
      <c r="J85" s="4" t="inlineStr">
        <is>
          <t>原則適用。案件スコープ・成果物・規制・リスク上非該当の場合はN/A根拠を記録。</t>
        </is>
      </c>
      <c r="K85" s="4" t="inlineStr">
        <is>
          <t>SRC-SWEBOK-V4A</t>
        </is>
      </c>
      <c r="L85" s="4" t="inlineStr"/>
      <c r="M85" s="4" t="n"/>
      <c r="N85" s="4" t="n"/>
      <c r="O85" s="4" t="n"/>
      <c r="P85" s="4" t="n"/>
      <c r="Q85" s="4" t="n"/>
      <c r="R85" s="4" t="n"/>
      <c r="S85" s="4" t="n"/>
      <c r="T85" s="4" t="n"/>
      <c r="U85" s="4" t="n"/>
      <c r="V85" s="4" t="n"/>
      <c r="W85" s="4" t="n"/>
    </row>
    <row r="86">
      <c r="A86" s="5" t="inlineStr">
        <is>
          <t>REQ-1201</t>
        </is>
      </c>
      <c r="B86" s="5" t="inlineStr">
        <is>
          <t>SWEBOK</t>
        </is>
      </c>
      <c r="C86" s="4" t="inlineStr">
        <is>
          <t>13. ツール・運用(SWEBOK 8章)</t>
        </is>
      </c>
      <c r="D86" s="10" t="inlineStr">
        <is>
          <t>Medium</t>
        </is>
      </c>
      <c r="E86" s="4" t="inlineStr">
        <is>
          <t>要求の管理媒体・ツールが特定され関係者に共有されている</t>
        </is>
      </c>
      <c r="F86" s="4" t="inlineStr">
        <is>
          <t>要求の正本がどこにあるか(ツール名・リポジトリ・文書)が文書化され、複数の正本が併存していない</t>
        </is>
      </c>
      <c r="G86" s="4" t="inlineStr">
        <is>
          <t>正本が複数併存すると、どれを見て実装・テストするかが人によって分かれ、古い版に基づく作業が発生する。SWEBOKは要求管理ツールの役割(属性保存・トレース・変更管理)を明示し、正本の一元化を前提とする。</t>
        </is>
      </c>
      <c r="H86" s="4" t="inlineStr">
        <is>
          <t>swebok-v4a.pdf ch01 Software Requirements &gt; 8.1 Requirements Management Tools</t>
        </is>
      </c>
      <c r="I86" s="4" t="inlineStr">
        <is>
          <t>CORE</t>
        </is>
      </c>
      <c r="J86" s="4" t="inlineStr">
        <is>
          <t>原則適用。案件スコープ・成果物・規制・リスク上非該当の場合はN/A根拠を記録。</t>
        </is>
      </c>
      <c r="K86" s="4" t="inlineStr">
        <is>
          <t>SRC-SWEBOK-V4A</t>
        </is>
      </c>
      <c r="L86" s="4" t="inlineStr"/>
      <c r="M86" s="4" t="n"/>
      <c r="N86" s="4" t="n"/>
      <c r="O86" s="4" t="n"/>
      <c r="P86" s="4" t="n"/>
      <c r="Q86" s="4" t="n"/>
      <c r="R86" s="4" t="n"/>
      <c r="S86" s="4" t="n"/>
      <c r="T86" s="4" t="n"/>
      <c r="U86" s="4" t="n"/>
      <c r="V86" s="4" t="n"/>
      <c r="W86" s="4" t="n"/>
    </row>
    <row r="87">
      <c r="A87" s="5" t="inlineStr">
        <is>
          <t>REQ-1202</t>
        </is>
      </c>
      <c r="B87" s="5" t="inlineStr">
        <is>
          <t>SWEBOK</t>
        </is>
      </c>
      <c r="C87" s="4" t="inlineStr">
        <is>
          <t>13. ツール・運用(SWEBOK 8章)</t>
        </is>
      </c>
      <c r="D87" s="10" t="inlineStr">
        <is>
          <t>Medium</t>
        </is>
      </c>
      <c r="E87" s="4" t="inlineStr">
        <is>
          <t>要求規模に対して管理方法が持続可能である</t>
        </is>
      </c>
      <c r="F87" s="4" t="inlineStr">
        <is>
          <t>要求数百件超・高変更頻度の案件で手作業スプレッドシート運用の場合、属性管理・トレース更新の運用手順が定義されているか、ツール導入の検討記録がある</t>
        </is>
      </c>
      <c r="G87" s="4" t="inlineStr">
        <is>
          <t>SWEBOKは「トレースと変更管理はツール支援があって初めて実用的になり得る」とし、スプレッドシート等のアドホック管理を「満足度の低い方法」と明言する。規模に対して手作業運用が破綻すると、トレース・属性が更新されず形骸化する。</t>
        </is>
      </c>
      <c r="H87" s="4" t="inlineStr">
        <is>
          <t>swebok-v4a.pdf ch01 Software Requirements &gt; 8.1 Requirements Management Tools(ad hoc管理への警告)</t>
        </is>
      </c>
      <c r="I87" s="4" t="inlineStr">
        <is>
          <t>CORE</t>
        </is>
      </c>
      <c r="J87" s="4" t="inlineStr">
        <is>
          <t>原則適用。案件スコープ・成果物・規制・リスク上非該当の場合はN/A根拠を記録。</t>
        </is>
      </c>
      <c r="K87" s="4" t="inlineStr">
        <is>
          <t>SRC-SWEBOK-V4A</t>
        </is>
      </c>
      <c r="L87" s="4" t="inlineStr"/>
      <c r="M87" s="4" t="n"/>
      <c r="N87" s="4" t="n"/>
      <c r="O87" s="4" t="n"/>
      <c r="P87" s="4" t="n"/>
      <c r="Q87" s="4" t="n"/>
      <c r="R87" s="4" t="n"/>
      <c r="S87" s="4" t="n"/>
      <c r="T87" s="4" t="n"/>
      <c r="U87" s="4" t="n"/>
      <c r="V87" s="4" t="n"/>
      <c r="W87" s="4" t="n"/>
    </row>
    <row r="88">
      <c r="A88" s="5" t="inlineStr">
        <is>
          <t>REQ-1203</t>
        </is>
      </c>
      <c r="B88" s="5" t="inlineStr">
        <is>
          <t>SWEBOK</t>
        </is>
      </c>
      <c r="C88" s="4" t="inlineStr">
        <is>
          <t>13. ツール・運用(SWEBOK 8章)</t>
        </is>
      </c>
      <c r="D88" s="11" t="inlineStr">
        <is>
          <t>Low</t>
        </is>
      </c>
      <c r="E88" s="4" t="inlineStr">
        <is>
          <t>仕様からテストケースを導出する方針が定義されている</t>
        </is>
      </c>
      <c r="F88" s="4" t="inlineStr">
        <is>
          <t>受入基準・デシジョンテーブル・モデル等からのテストケース導出方法がテスト計画側と合意されている</t>
        </is>
      </c>
      <c r="G88" s="4" t="inlineStr">
        <is>
          <t>SWEBOKは形式性の高い仕様(BDDシナリオ・状態モデル等)ほどテストケースを機械的に導出できるとする。導出方針をテスト側と事前合意しないと、仕様化技法の選択がテスト工程で活かされず二重作業になる。</t>
        </is>
      </c>
      <c r="H88" s="4" t="inlineStr">
        <is>
          <t>swebok-v4a.pdf ch01 Software Requirements &gt; 8.3 Functional Test Case Generation Tools / 4.3(BDDシナリオからのテスト導出)</t>
        </is>
      </c>
      <c r="I88" s="4" t="inlineStr">
        <is>
          <t>CORE</t>
        </is>
      </c>
      <c r="J88" s="4" t="inlineStr">
        <is>
          <t>原則適用。案件スコープ・成果物・規制・リスク上非該当の場合はN/A根拠を記録。</t>
        </is>
      </c>
      <c r="K88" s="4" t="inlineStr">
        <is>
          <t>SRC-SWEBOK-V4A</t>
        </is>
      </c>
      <c r="L88" s="4" t="inlineStr"/>
      <c r="M88" s="4" t="n"/>
      <c r="N88" s="4" t="n"/>
      <c r="O88" s="4" t="n"/>
      <c r="P88" s="4" t="n"/>
      <c r="Q88" s="4" t="n"/>
      <c r="R88" s="4" t="n"/>
      <c r="S88" s="4" t="n"/>
      <c r="T88" s="4" t="n"/>
      <c r="U88" s="4" t="n"/>
      <c r="V88" s="4" t="n"/>
      <c r="W88" s="4" t="n"/>
    </row>
    <row r="89">
      <c r="A89" s="5" t="inlineStr">
        <is>
          <t>REQ-9903</t>
        </is>
      </c>
      <c r="B89" s="5" t="inlineStr">
        <is>
          <t>追加承認</t>
        </is>
      </c>
      <c r="C89" s="4" t="inlineStr">
        <is>
          <t>13. ツール・運用(SWEBOK 8章)</t>
        </is>
      </c>
      <c r="D89" s="11" t="inlineStr">
        <is>
          <t>Low</t>
        </is>
      </c>
      <c r="E89" s="4" t="inlineStr">
        <is>
          <t>要求プロセス自体の振り返り・改善の仕組みがある</t>
        </is>
      </c>
      <c r="F89" s="4" t="inlineStr">
        <is>
          <t>要求起因の欠陥・変更の傾向を振り返る場(工程完了時レビュー、レトロスペクティブ等)が計画され、実施記録または改善アクションが残っている</t>
        </is>
      </c>
      <c r="G89" s="4" t="inlineStr">
        <is>
          <t>要求起因の欠陥はプロセスの欠陥の症状であり、成果物検査だけでは同種の欠陥が案件のたびに再発する。プロセス改善のループを確認する。</t>
        </is>
      </c>
      <c r="H89" s="4" t="inlineStr">
        <is>
          <t>swebok-v4a.pdf ch01 Software Requirements &gt; 7.6 Requirements Process Quality and Improvement(要求プロセスの品質と改善)</t>
        </is>
      </c>
      <c r="I89" s="4" t="inlineStr">
        <is>
          <t>CORE</t>
        </is>
      </c>
      <c r="J89" s="4" t="inlineStr">
        <is>
          <t>原則適用。案件スコープ・成果物・規制・リスク上非該当の場合はN/A根拠を記録。</t>
        </is>
      </c>
      <c r="K89" s="4" t="inlineStr">
        <is>
          <t>SRC-SWEBOK-V4A</t>
        </is>
      </c>
      <c r="L89" s="4" t="inlineStr"/>
      <c r="M89" s="4" t="n"/>
      <c r="N89" s="4" t="n"/>
      <c r="O89" s="4" t="n"/>
      <c r="P89" s="4" t="n"/>
      <c r="Q89" s="4" t="n"/>
      <c r="R89" s="4" t="n"/>
      <c r="S89" s="4" t="n"/>
      <c r="T89" s="4" t="n"/>
      <c r="U89" s="4" t="n"/>
      <c r="V89" s="4" t="n"/>
      <c r="W89" s="4" t="n"/>
    </row>
  </sheetData>
  <autoFilter ref="A1:W89"/>
  <conditionalFormatting sqref="O2:O2000">
    <cfRule type="cellIs" priority="1" operator="equal" dxfId="0">
      <formula>"Fail"</formula>
    </cfRule>
    <cfRule type="cellIs" priority="2" operator="equal" dxfId="1">
      <formula>"Pass"</formula>
    </cfRule>
    <cfRule type="cellIs" priority="4" operator="equal" dxfId="0">
      <formula>"Fail"</formula>
    </cfRule>
    <cfRule type="cellIs" priority="5" operator="equal" dxfId="1">
      <formula>"Pass"</formula>
    </cfRule>
    <cfRule type="cellIs" priority="7" operator="equal" dxfId="0">
      <formula>"Fail"</formula>
    </cfRule>
    <cfRule type="cellIs" priority="8" operator="equal" dxfId="1">
      <formula>"Pass"</formula>
    </cfRule>
    <cfRule type="cellIs" priority="10" operator="equal" dxfId="0">
      <formula>"Fail"</formula>
    </cfRule>
    <cfRule type="cellIs" priority="11" operator="equal" dxfId="1">
      <formula>"Pass"</formula>
    </cfRule>
    <cfRule type="cellIs" priority="13" operator="equal" dxfId="0">
      <formula>"Fail"</formula>
    </cfRule>
    <cfRule type="cellIs" priority="14" operator="equal" dxfId="1">
      <formula>"Pass"</formula>
    </cfRule>
  </conditionalFormatting>
  <conditionalFormatting sqref="N2:N2000">
    <cfRule type="cellIs" priority="3" operator="equal" dxfId="2">
      <formula>"N/A"</formula>
    </cfRule>
    <cfRule type="cellIs" priority="6" operator="equal" dxfId="2">
      <formula>"N/A"</formula>
    </cfRule>
    <cfRule type="cellIs" priority="9" operator="equal" dxfId="2">
      <formula>"N/A"</formula>
    </cfRule>
    <cfRule type="cellIs" priority="12" operator="equal" dxfId="2">
      <formula>"N/A"</formula>
    </cfRule>
    <cfRule type="cellIs" priority="15" operator="equal" dxfId="2">
      <formula>"N/A"</formula>
    </cfRule>
  </conditionalFormatting>
  <dataValidations count="20">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s>
  <pageMargins left="0.75" right="0.75" top="1" bottom="1" header="0.5" footer="0.5"/>
  <pageSetup orientation="landscape" fitToWidth="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W83"/>
  <sheetViews>
    <sheetView workbookViewId="0">
      <pane xSplit="4" ySplit="1" topLeftCell="E2"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4" customWidth="1" min="1" max="1"/>
    <col width="14" customWidth="1" min="2" max="2"/>
    <col width="28" customWidth="1" min="3" max="3"/>
    <col width="12" customWidth="1" min="4" max="4"/>
    <col width="46" customWidth="1" min="5" max="5"/>
    <col width="52" customWidth="1" min="6" max="6"/>
    <col width="48" customWidth="1" min="7" max="7"/>
    <col width="46" customWidth="1" min="8" max="8"/>
    <col width="18" customWidth="1" min="9" max="9"/>
    <col width="38" customWidth="1" min="10" max="10"/>
    <col width="28" customWidth="1" min="11" max="11"/>
    <col width="25" customWidth="1" min="12" max="12"/>
    <col width="13" customWidth="1" min="13" max="13"/>
    <col width="12" customWidth="1" min="14" max="14"/>
    <col width="12" customWidth="1" min="15" max="15"/>
    <col width="38" customWidth="1" min="16" max="16"/>
    <col width="24" customWidth="1" min="17" max="17"/>
    <col width="30" customWidth="1" min="18" max="18"/>
    <col width="23" customWidth="1" min="19" max="19"/>
    <col width="15" customWidth="1" min="20" max="20"/>
    <col width="18" customWidth="1" min="21" max="21"/>
    <col width="15" customWidth="1" min="22" max="22"/>
    <col width="15" customWidth="1" min="23" max="23"/>
  </cols>
  <sheetData>
    <row r="1">
      <c r="A1" s="3" t="inlineStr">
        <is>
          <t>ID</t>
        </is>
      </c>
      <c r="B1" s="3" t="inlineStr">
        <is>
          <t>区分</t>
        </is>
      </c>
      <c r="C1" s="3" t="inlineStr">
        <is>
          <t>カテゴリ</t>
        </is>
      </c>
      <c r="D1" s="3" t="inlineStr">
        <is>
          <t>基準重要度</t>
        </is>
      </c>
      <c r="E1" s="3" t="inlineStr">
        <is>
          <t>チェック項目</t>
        </is>
      </c>
      <c r="F1" s="3" t="inlineStr">
        <is>
          <t>合格基準</t>
        </is>
      </c>
      <c r="G1" s="3" t="inlineStr">
        <is>
          <t>意図(なぜ確認するか)</t>
        </is>
      </c>
      <c r="H1" s="3" t="inlineStr">
        <is>
          <t>対象ドキュメント(参照箇所)</t>
        </is>
      </c>
      <c r="I1" s="21" t="inlineStr">
        <is>
          <t>適用プロファイル</t>
        </is>
      </c>
      <c r="J1" s="21" t="inlineStr">
        <is>
          <t>適用条件</t>
        </is>
      </c>
      <c r="K1" s="21" t="inlineStr">
        <is>
          <t>出典ID</t>
        </is>
      </c>
      <c r="L1" s="21" t="inlineStr">
        <is>
          <t>重複統制グループ</t>
        </is>
      </c>
      <c r="M1" s="21" t="inlineStr">
        <is>
          <t>案件重要度</t>
        </is>
      </c>
      <c r="N1" s="21" t="inlineStr">
        <is>
          <t>適用判定</t>
        </is>
      </c>
      <c r="O1" s="21" t="inlineStr">
        <is>
          <t>判定</t>
        </is>
      </c>
      <c r="P1" s="21" t="inlineStr">
        <is>
          <t>証跡・参照箇所</t>
        </is>
      </c>
      <c r="Q1" s="21" t="inlineStr">
        <is>
          <t>指摘・Issue ID</t>
        </is>
      </c>
      <c r="R1" s="21" t="inlineStr">
        <is>
          <t>対応方針</t>
        </is>
      </c>
      <c r="S1" s="21" t="inlineStr">
        <is>
          <t>例外・リスク受容承認者</t>
        </is>
      </c>
      <c r="T1" s="21" t="inlineStr">
        <is>
          <t>是正期限</t>
        </is>
      </c>
      <c r="U1" s="21" t="inlineStr">
        <is>
          <t>レビュアー</t>
        </is>
      </c>
      <c r="V1" s="21" t="inlineStr">
        <is>
          <t>レビュー日</t>
        </is>
      </c>
      <c r="W1" s="21" t="inlineStr">
        <is>
          <t>再確認結果</t>
        </is>
      </c>
    </row>
    <row r="2">
      <c r="A2" s="5" t="inlineStr">
        <is>
          <t>ARC-001</t>
        </is>
      </c>
      <c r="B2" s="5" t="inlineStr">
        <is>
          <t>SWEBOK</t>
        </is>
      </c>
      <c r="C2" s="4" t="inlineStr">
        <is>
          <t>1. コンテキストとステークホルダー</t>
        </is>
      </c>
      <c r="D2" s="8" t="inlineStr">
        <is>
          <t>Critical</t>
        </is>
      </c>
      <c r="E2" s="4" t="inlineStr">
        <is>
          <t>ステークホルダーが特定されている</t>
        </is>
      </c>
      <c r="F2" s="4" t="inlineStr">
        <is>
          <t>利用者・開発者・運用者・保守者を含む主要ステークホルダーが一覧化され、各々に少なくとも1つの関心事が対応付けられている</t>
        </is>
      </c>
      <c r="G2" s="4" t="inlineStr">
        <is>
          <t>誰の関心事に応えるアーキテクチャかが不明だと、声の大きい一部の利害だけを反映した設計になり、運用者・保守者の要求が後工程で噴出して大規模な手戻りを招く。</t>
        </is>
      </c>
      <c r="H2" s="4" t="inlineStr">
        <is>
          <t>swebok-v4a.pdf ch02 Software Architecture &gt; 1.2 Stakeholders and Concerns</t>
        </is>
      </c>
      <c r="I2" s="4" t="inlineStr">
        <is>
          <t>CORE</t>
        </is>
      </c>
      <c r="J2" s="4" t="inlineStr">
        <is>
          <t>原則適用。案件スコープ・成果物・規制・リスク上非該当の場合はN/A根拠を記録。</t>
        </is>
      </c>
      <c r="K2" s="4" t="inlineStr">
        <is>
          <t>SRC-SWEBOK-V4A</t>
        </is>
      </c>
      <c r="L2" s="4" t="inlineStr"/>
      <c r="M2" s="4" t="n"/>
      <c r="N2" s="4" t="n"/>
      <c r="O2" s="4" t="n"/>
      <c r="P2" s="4" t="n"/>
      <c r="Q2" s="4" t="n"/>
      <c r="R2" s="4" t="n"/>
      <c r="S2" s="4" t="n"/>
      <c r="T2" s="4" t="n"/>
      <c r="U2" s="4" t="n"/>
      <c r="V2" s="4" t="n"/>
      <c r="W2" s="4" t="n"/>
    </row>
    <row r="3">
      <c r="A3" s="5" t="inlineStr">
        <is>
          <t>ARC-002</t>
        </is>
      </c>
      <c r="B3" s="5" t="inlineStr">
        <is>
          <t>SWEBOK</t>
        </is>
      </c>
      <c r="C3" s="4" t="inlineStr">
        <is>
          <t>1. コンテキストとステークホルダー</t>
        </is>
      </c>
      <c r="D3" s="8" t="inlineStr">
        <is>
          <t>Critical</t>
        </is>
      </c>
      <c r="E3" s="4" t="inlineStr">
        <is>
          <t>ステークホルダーの関心事が文書化されている</t>
        </is>
      </c>
      <c r="F3" s="4" t="inlineStr">
        <is>
          <t>関心事が機能・非機能(品質属性)・制約のいずれかに分類され、一覧表または同等の形式で記録されている</t>
        </is>
      </c>
      <c r="G3" s="4" t="inlineStr">
        <is>
          <t>関心事を分類・記録しないと非機能や制約が暗黙のまま設計が進み、後から性能・セキュリティ要求が判明して構造の作り直しが発生する。</t>
        </is>
      </c>
      <c r="H3" s="4" t="inlineStr">
        <is>
          <t>swebok-v4a.pdf ch02 Software Architecture &gt; 1.2 Stakeholders and Concerns(関心事の機能/非機能/制約への分類)</t>
        </is>
      </c>
      <c r="I3" s="4" t="inlineStr">
        <is>
          <t>CORE</t>
        </is>
      </c>
      <c r="J3" s="4" t="inlineStr">
        <is>
          <t>原則適用。案件スコープ・成果物・規制・リスク上非該当の場合はN/A根拠を記録。</t>
        </is>
      </c>
      <c r="K3" s="4" t="inlineStr">
        <is>
          <t>SRC-SWEBOK-V4A</t>
        </is>
      </c>
      <c r="L3" s="4" t="inlineStr"/>
      <c r="M3" s="4" t="n"/>
      <c r="N3" s="4" t="n"/>
      <c r="O3" s="4" t="n"/>
      <c r="P3" s="4" t="n"/>
      <c r="Q3" s="4" t="n"/>
      <c r="R3" s="4" t="n"/>
      <c r="S3" s="4" t="n"/>
      <c r="T3" s="4" t="n"/>
      <c r="U3" s="4" t="n"/>
      <c r="V3" s="4" t="n"/>
      <c r="W3" s="4" t="n"/>
    </row>
    <row r="4">
      <c r="A4" s="5" t="inlineStr">
        <is>
          <t>ARC-003</t>
        </is>
      </c>
      <c r="B4" s="5" t="inlineStr">
        <is>
          <t>SWEBOK</t>
        </is>
      </c>
      <c r="C4" s="4" t="inlineStr">
        <is>
          <t>1. コンテキストとステークホルダー</t>
        </is>
      </c>
      <c r="D4" s="9" t="inlineStr">
        <is>
          <t>High</t>
        </is>
      </c>
      <c r="E4" s="4" t="inlineStr">
        <is>
          <t>システムコンテキストが記述されている</t>
        </is>
      </c>
      <c r="F4" s="4" t="inlineStr">
        <is>
          <t>外部システム・利用者・環境との境界と相互作用がコンテキスト図または文章で示され、システムの責務範囲が判別できる</t>
        </is>
      </c>
      <c r="G4" s="4" t="inlineStr">
        <is>
          <t>アーキテクチャは環境の中のシステムを外向きに捉えるものであり、境界が曖昧だと責務の押し付け合いや外部システム連携の設計漏れが起きる。</t>
        </is>
      </c>
      <c r="H4" s="4" t="inlineStr">
        <is>
          <t>swebok-v4a.pdf ch02 Software Architecture &gt; 1.1 The Senses of "Architecture"(環境の中のシステムという定義)</t>
        </is>
      </c>
      <c r="I4" s="4" t="inlineStr">
        <is>
          <t>CORE</t>
        </is>
      </c>
      <c r="J4" s="4" t="inlineStr">
        <is>
          <t>原則適用。案件スコープ・成果物・規制・リスク上非該当の場合はN/A根拠を記録。</t>
        </is>
      </c>
      <c r="K4" s="4" t="inlineStr">
        <is>
          <t>SRC-SWEBOK-V4A</t>
        </is>
      </c>
      <c r="L4" s="4" t="inlineStr"/>
      <c r="M4" s="4" t="n"/>
      <c r="N4" s="4" t="n"/>
      <c r="O4" s="4" t="n"/>
      <c r="P4" s="4" t="n"/>
      <c r="Q4" s="4" t="n"/>
      <c r="R4" s="4" t="n"/>
      <c r="S4" s="4" t="n"/>
      <c r="T4" s="4" t="n"/>
      <c r="U4" s="4" t="n"/>
      <c r="V4" s="4" t="n"/>
      <c r="W4" s="4" t="n"/>
    </row>
    <row r="5">
      <c r="A5" s="5" t="inlineStr">
        <is>
          <t>ARC-004</t>
        </is>
      </c>
      <c r="B5" s="5" t="inlineStr">
        <is>
          <t>SWEBOK</t>
        </is>
      </c>
      <c r="C5" s="4" t="inlineStr">
        <is>
          <t>1. コンテキストとステークホルダー</t>
        </is>
      </c>
      <c r="D5" s="9" t="inlineStr">
        <is>
          <t>High</t>
        </is>
      </c>
      <c r="E5" s="4" t="inlineStr">
        <is>
          <t>関心事とビュー/ADRの対応が示されている</t>
        </is>
      </c>
      <c r="F5" s="4" t="inlineStr">
        <is>
          <t>各関心事について、それを扱うビューまたはADRへの対応(トレーサビリティ)が確認できる。どこにも扱われない関心事がない</t>
        </is>
      </c>
      <c r="G5" s="4" t="inlineStr">
        <is>
          <t>関心事とビュー/決定の対応が取れていないと、どこにも扱われない関心事が放置され、レビューでも見落とされたままリリースに至る。</t>
        </is>
      </c>
      <c r="H5" s="4" t="inlineStr">
        <is>
          <t>swebok-v4a.pdf ch02 Software Architecture &gt; 2. Software Architecture Description / 2.1 Architecture Views and Viewpoints</t>
        </is>
      </c>
      <c r="I5" s="4" t="inlineStr">
        <is>
          <t>CORE</t>
        </is>
      </c>
      <c r="J5" s="4" t="inlineStr">
        <is>
          <t>原則適用。案件スコープ・成果物・規制・リスク上非該当の場合はN/A根拠を記録。</t>
        </is>
      </c>
      <c r="K5" s="4" t="inlineStr">
        <is>
          <t>SRC-SWEBOK-V4A</t>
        </is>
      </c>
      <c r="L5" s="4" t="inlineStr">
        <is>
          <t>CONTINUITY-DR</t>
        </is>
      </c>
      <c r="M5" s="4" t="n"/>
      <c r="N5" s="4" t="n"/>
      <c r="O5" s="4" t="n"/>
      <c r="P5" s="4" t="n"/>
      <c r="Q5" s="4" t="n"/>
      <c r="R5" s="4" t="n"/>
      <c r="S5" s="4" t="n"/>
      <c r="T5" s="4" t="n"/>
      <c r="U5" s="4" t="n"/>
      <c r="V5" s="4" t="n"/>
      <c r="W5" s="4" t="n"/>
    </row>
    <row r="6">
      <c r="A6" s="5" t="inlineStr">
        <is>
          <t>ARC-005</t>
        </is>
      </c>
      <c r="B6" s="5" t="inlineStr">
        <is>
          <t>SWEBOK</t>
        </is>
      </c>
      <c r="C6" s="4" t="inlineStr">
        <is>
          <t>1. コンテキストとステークホルダー</t>
        </is>
      </c>
      <c r="D6" s="10" t="inlineStr">
        <is>
          <t>Medium</t>
        </is>
      </c>
      <c r="E6" s="4" t="inlineStr">
        <is>
          <t>運用・保守・テストの関心事が含まれている</t>
        </is>
      </c>
      <c r="F6" s="4" t="inlineStr">
        <is>
          <t>開発時の関心事だけでなく、展開・運用・監視・保守・テスト容易性に関する関心事が少なくとも1つ以上記載されている</t>
        </is>
      </c>
      <c r="G6" s="4" t="inlineStr">
        <is>
          <t>関心事は開発・運用・保守・テストなど広範な影響を含むため、開発時の視点だけで設計すると運用不能・テスト困難なシステムが本番で発覚する。</t>
        </is>
      </c>
      <c r="H6" s="4" t="inlineStr">
        <is>
          <t>swebok-v4a.pdf ch02 Software Architecture &gt; 1.2 Stakeholders and Concerns(developmental/operationalを含む関心事の範囲)</t>
        </is>
      </c>
      <c r="I6" s="4" t="inlineStr">
        <is>
          <t>CORE</t>
        </is>
      </c>
      <c r="J6" s="4" t="inlineStr">
        <is>
          <t>原則適用。案件スコープ・成果物・規制・リスク上非該当の場合はN/A根拠を記録。</t>
        </is>
      </c>
      <c r="K6" s="4" t="inlineStr">
        <is>
          <t>SRC-SWEBOK-V4A</t>
        </is>
      </c>
      <c r="L6" s="4" t="inlineStr"/>
      <c r="M6" s="4" t="n"/>
      <c r="N6" s="4" t="n"/>
      <c r="O6" s="4" t="n"/>
      <c r="P6" s="4" t="n"/>
      <c r="Q6" s="4" t="n"/>
      <c r="R6" s="4" t="n"/>
      <c r="S6" s="4" t="n"/>
      <c r="T6" s="4" t="n"/>
      <c r="U6" s="4" t="n"/>
      <c r="V6" s="4" t="n"/>
      <c r="W6" s="4" t="n"/>
    </row>
    <row r="7">
      <c r="A7" s="5" t="inlineStr">
        <is>
          <t>ARC-006</t>
        </is>
      </c>
      <c r="B7" s="5" t="inlineStr">
        <is>
          <t>SWEBOK</t>
        </is>
      </c>
      <c r="C7" s="4" t="inlineStr">
        <is>
          <t>1. コンテキストとステークホルダー</t>
        </is>
      </c>
      <c r="D7" s="10" t="inlineStr">
        <is>
          <t>Medium</t>
        </is>
      </c>
      <c r="E7" s="4" t="inlineStr">
        <is>
          <t>組織構造が考慮されている</t>
        </is>
      </c>
      <c r="F7" s="4" t="inlineStr">
        <is>
          <t>チーム編成・組織間の責任分界とコンポーネント境界の関係(コンウェイの法則への言及または整合性の検討)が記録されている</t>
        </is>
      </c>
      <c r="G7" s="4" t="inlineStr">
        <is>
          <t>コンウェイの法則によりアーキテクチャは組織の通信構造を写し取るため、組織と構造の不整合を放置するとチーム間調整コストの爆発や責任の空白地帯を生む。</t>
        </is>
      </c>
      <c r="H7" s="4" t="inlineStr">
        <is>
          <t>swebok-v4a.pdf ch02 Software Architecture &gt; 1.3 Uses of Architecture(Conway's Law)</t>
        </is>
      </c>
      <c r="I7" s="4" t="inlineStr">
        <is>
          <t>CORE</t>
        </is>
      </c>
      <c r="J7" s="4" t="inlineStr">
        <is>
          <t>原則適用。案件スコープ・成果物・規制・リスク上非該当の場合はN/A根拠を記録。</t>
        </is>
      </c>
      <c r="K7" s="4" t="inlineStr">
        <is>
          <t>SRC-SWEBOK-V4A</t>
        </is>
      </c>
      <c r="L7" s="4" t="inlineStr"/>
      <c r="M7" s="4" t="n"/>
      <c r="N7" s="4" t="n"/>
      <c r="O7" s="4" t="n"/>
      <c r="P7" s="4" t="n"/>
      <c r="Q7" s="4" t="n"/>
      <c r="R7" s="4" t="n"/>
      <c r="S7" s="4" t="n"/>
      <c r="T7" s="4" t="n"/>
      <c r="U7" s="4" t="n"/>
      <c r="V7" s="4" t="n"/>
      <c r="W7" s="4" t="n"/>
    </row>
    <row r="8">
      <c r="A8" s="5" t="inlineStr">
        <is>
          <t>ARC-007</t>
        </is>
      </c>
      <c r="B8" s="5" t="inlineStr">
        <is>
          <t>SWEBOK</t>
        </is>
      </c>
      <c r="C8" s="4" t="inlineStr">
        <is>
          <t>1. コンテキストとステークホルダー</t>
        </is>
      </c>
      <c r="D8" s="11" t="inlineStr">
        <is>
          <t>Low</t>
        </is>
      </c>
      <c r="E8" s="4" t="inlineStr">
        <is>
          <t>関心事の将来変化が考慮されている</t>
        </is>
      </c>
      <c r="F8" s="4" t="inlineStr">
        <is>
          <t>事業環境・規制・技術動向による関心事の変化(例: 持続可能性、エネルギー効率)への言及または見直し方針がある</t>
        </is>
      </c>
      <c r="G8" s="4" t="inlineStr">
        <is>
          <t>関心事は静的でなくライフサイクルや技術・政策の変化とともに進化するため、見直し観点がないと規制変更やエネルギー効率要求に構造が追随できなくなる。</t>
        </is>
      </c>
      <c r="H8" s="4" t="inlineStr">
        <is>
          <t>swebok-v4a.pdf ch02 Software Architecture &gt; 1.2 Stakeholders and Concerns(関心事の進化、持続可能性への言及)</t>
        </is>
      </c>
      <c r="I8" s="4" t="inlineStr">
        <is>
          <t>CORE</t>
        </is>
      </c>
      <c r="J8" s="4" t="inlineStr">
        <is>
          <t>原則適用。案件スコープ・成果物・規制・リスク上非該当の場合はN/A根拠を記録。</t>
        </is>
      </c>
      <c r="K8" s="4" t="inlineStr">
        <is>
          <t>SRC-SWEBOK-V4A</t>
        </is>
      </c>
      <c r="L8" s="4" t="inlineStr"/>
      <c r="M8" s="4" t="n"/>
      <c r="N8" s="4" t="n"/>
      <c r="O8" s="4" t="n"/>
      <c r="P8" s="4" t="n"/>
      <c r="Q8" s="4" t="n"/>
      <c r="R8" s="4" t="n"/>
      <c r="S8" s="4" t="n"/>
      <c r="T8" s="4" t="n"/>
      <c r="U8" s="4" t="n"/>
      <c r="V8" s="4" t="n"/>
      <c r="W8" s="4" t="n"/>
    </row>
    <row r="9">
      <c r="A9" s="5" t="inlineStr">
        <is>
          <t>ARC-903</t>
        </is>
      </c>
      <c r="B9" s="5" t="inlineStr">
        <is>
          <t>追加承認</t>
        </is>
      </c>
      <c r="C9" s="4" t="inlineStr">
        <is>
          <t>1. コンテキストとステークホルダー</t>
        </is>
      </c>
      <c r="D9" s="10" t="inlineStr">
        <is>
          <t>Medium</t>
        </is>
      </c>
      <c r="E9" s="4" t="inlineStr">
        <is>
          <t>開発アプローチに応じたアーキテクチャ活動の位置付けが定義されている</t>
        </is>
      </c>
      <c r="F9" s="4" t="inlineStr">
        <is>
          <t>採用する開発アプローチ(ウォーターフォール/アジャイル/プロダクトライン等)の中で、アーキテクチャの分析・統合・評価をいつ・どの程度行うかが定められている。アジャイルで創発的アーキテクチャに依る場合、ユーザーストーリーに現れない重要品質特性(安全性・性能等)の扱いが別途定義されている</t>
        </is>
      </c>
      <c r="G9" s="4" t="inlineStr">
        <is>
          <t>アジャイルで創発任せにすると、ユーザーストーリーに現れない安全性・性能などの重要特性が誰にも設計されず、後から構造レベルの作り直しが必要になる。</t>
        </is>
      </c>
      <c r="H9" s="4" t="inlineStr">
        <is>
          <t>swebok-v4a.pdf ch02 Software Architecture &gt; 3.1 Architecture in Context — ライフサイクルコンテキスト(アジャイル等での創発的アーキテクチャのリスク)</t>
        </is>
      </c>
      <c r="I9" s="4" t="inlineStr">
        <is>
          <t>CORE</t>
        </is>
      </c>
      <c r="J9" s="4" t="inlineStr">
        <is>
          <t>原則適用。案件スコープ・成果物・規制・リスク上非該当の場合はN/A根拠を記録。</t>
        </is>
      </c>
      <c r="K9" s="4" t="inlineStr">
        <is>
          <t>SRC-SWEBOK-V4A</t>
        </is>
      </c>
      <c r="L9" s="4" t="inlineStr"/>
      <c r="M9" s="4" t="n"/>
      <c r="N9" s="4" t="n"/>
      <c r="O9" s="4" t="n"/>
      <c r="P9" s="4" t="n"/>
      <c r="Q9" s="4" t="n"/>
      <c r="R9" s="4" t="n"/>
      <c r="S9" s="4" t="n"/>
      <c r="T9" s="4" t="n"/>
      <c r="U9" s="4" t="n"/>
      <c r="V9" s="4" t="n"/>
      <c r="W9" s="4" t="n"/>
    </row>
    <row r="10">
      <c r="A10" s="5" t="inlineStr">
        <is>
          <t>ARC-010</t>
        </is>
      </c>
      <c r="B10" s="5" t="inlineStr">
        <is>
          <t>SWEBOK</t>
        </is>
      </c>
      <c r="C10" s="4" t="inlineStr">
        <is>
          <t>2. アーキテクチャ上重要な要求(ASR)</t>
        </is>
      </c>
      <c r="D10" s="8" t="inlineStr">
        <is>
          <t>Critical</t>
        </is>
      </c>
      <c r="E10" s="4" t="inlineStr">
        <is>
          <t>ASRが識別されている</t>
        </is>
      </c>
      <c r="F10" s="4" t="inlineStr">
        <is>
          <t>アーキテクチャ上重要な要求が一般要求と区別して一覧化され、各ASRに識別子が付与されている</t>
        </is>
      </c>
      <c r="G10" s="4" t="inlineStr">
        <is>
          <t>ASRを一般要求と区別しないと、アーキテクチャを左右する要求が後工程に先送りされ、構造を壊さないと満たせない要求が実装後に見つかる。</t>
        </is>
      </c>
      <c r="H10" s="4" t="inlineStr">
        <is>
          <t>swebok-v4a.pdf ch02 Software Architecture &gt; 3.2.1 Architecture Analysis(ASRの収集と定式化)</t>
        </is>
      </c>
      <c r="I10" s="4" t="inlineStr">
        <is>
          <t>CORE</t>
        </is>
      </c>
      <c r="J10" s="4" t="inlineStr">
        <is>
          <t>原則適用。案件スコープ・成果物・規制・リスク上非該当の場合はN/A根拠を記録。</t>
        </is>
      </c>
      <c r="K10" s="4" t="inlineStr">
        <is>
          <t>SRC-SWEBOK-V4A</t>
        </is>
      </c>
      <c r="L10" s="4" t="inlineStr"/>
      <c r="M10" s="4" t="n"/>
      <c r="N10" s="4" t="n"/>
      <c r="O10" s="4" t="n"/>
      <c r="P10" s="4" t="n"/>
      <c r="Q10" s="4" t="n"/>
      <c r="R10" s="4" t="n"/>
      <c r="S10" s="4" t="n"/>
      <c r="T10" s="4" t="n"/>
      <c r="U10" s="4" t="n"/>
      <c r="V10" s="4" t="n"/>
      <c r="W10" s="4" t="n"/>
    </row>
    <row r="11">
      <c r="A11" s="5" t="inlineStr">
        <is>
          <t>ARC-011</t>
        </is>
      </c>
      <c r="B11" s="5" t="inlineStr">
        <is>
          <t>SWEBOK</t>
        </is>
      </c>
      <c r="C11" s="4" t="inlineStr">
        <is>
          <t>2. アーキテクチャ上重要な要求(ASR)</t>
        </is>
      </c>
      <c r="D11" s="8" t="inlineStr">
        <is>
          <t>Critical</t>
        </is>
      </c>
      <c r="E11" s="4" t="inlineStr">
        <is>
          <t>ASRの選定基準が妥当である</t>
        </is>
      </c>
      <c r="F11" s="4" t="inlineStr">
        <is>
          <t>各ASRについて、変更困難性・高コスト・横断性・品質属性への直結のいずれかの根拠が説明されている、または選定基準が文書化されている</t>
        </is>
      </c>
      <c r="G11" s="4" t="inlineStr">
        <is>
          <t>選定基準がないとASRの認定が恣意的になり、重要でない要求に設計労力を割く一方で真に構造を制約する要求を見落とす。</t>
        </is>
      </c>
      <c r="H11" s="4" t="inlineStr">
        <is>
          <t>swebok-v4a.pdf ch02 Software Architecture &gt; 3.2.1 Architecture Analysis(ASR=アーキテクチャに影響する要求の定義)</t>
        </is>
      </c>
      <c r="I11" s="4" t="inlineStr">
        <is>
          <t>CORE</t>
        </is>
      </c>
      <c r="J11" s="4" t="inlineStr">
        <is>
          <t>原則適用。案件スコープ・成果物・規制・リスク上非該当の場合はN/A根拠を記録。</t>
        </is>
      </c>
      <c r="K11" s="4" t="inlineStr">
        <is>
          <t>SRC-SWEBOK-V4A</t>
        </is>
      </c>
      <c r="L11" s="4" t="inlineStr"/>
      <c r="M11" s="4" t="n"/>
      <c r="N11" s="4" t="n"/>
      <c r="O11" s="4" t="n"/>
      <c r="P11" s="4" t="n"/>
      <c r="Q11" s="4" t="n"/>
      <c r="R11" s="4" t="n"/>
      <c r="S11" s="4" t="n"/>
      <c r="T11" s="4" t="n"/>
      <c r="U11" s="4" t="n"/>
      <c r="V11" s="4" t="n"/>
      <c r="W11" s="4" t="n"/>
    </row>
    <row r="12">
      <c r="A12" s="5" t="inlineStr">
        <is>
          <t>ARC-012</t>
        </is>
      </c>
      <c r="B12" s="5" t="inlineStr">
        <is>
          <t>SWEBOK</t>
        </is>
      </c>
      <c r="C12" s="4" t="inlineStr">
        <is>
          <t>2. アーキテクチャ上重要な要求(ASR)</t>
        </is>
      </c>
      <c r="D12" s="9" t="inlineStr">
        <is>
          <t>High</t>
        </is>
      </c>
      <c r="E12" s="4" t="inlineStr">
        <is>
          <t>ASRに優先度が付与されている</t>
        </is>
      </c>
      <c r="F12" s="4" t="inlineStr">
        <is>
          <t>全ASRに優先度(高/中/低または同等の尺度)が付与され、優先度の判断基準が記載されている</t>
        </is>
      </c>
      <c r="G12" s="4" t="inlineStr">
        <is>
          <t>全要求を同等に扱うと分析・統合の反復で焦点が定まらず、コストや納期との衝突時にどの要求を交渉・緩和すべきか判断できない。</t>
        </is>
      </c>
      <c r="H12" s="4" t="inlineStr">
        <is>
          <t>swebok-v4a.pdf ch02 Software Architecture &gt; 3.2.1 Architecture Analysis(要求と制約の衝突時の交渉)</t>
        </is>
      </c>
      <c r="I12" s="4" t="inlineStr">
        <is>
          <t>CORE</t>
        </is>
      </c>
      <c r="J12" s="4" t="inlineStr">
        <is>
          <t>原則適用。案件スコープ・成果物・規制・リスク上非該当の場合はN/A根拠を記録。</t>
        </is>
      </c>
      <c r="K12" s="4" t="inlineStr">
        <is>
          <t>SRC-SWEBOK-V4A</t>
        </is>
      </c>
      <c r="L12" s="4" t="inlineStr"/>
      <c r="M12" s="4" t="n"/>
      <c r="N12" s="4" t="n"/>
      <c r="O12" s="4" t="n"/>
      <c r="P12" s="4" t="n"/>
      <c r="Q12" s="4" t="n"/>
      <c r="R12" s="4" t="n"/>
      <c r="S12" s="4" t="n"/>
      <c r="T12" s="4" t="n"/>
      <c r="U12" s="4" t="n"/>
      <c r="V12" s="4" t="n"/>
      <c r="W12" s="4" t="n"/>
    </row>
    <row r="13">
      <c r="A13" s="5" t="inlineStr">
        <is>
          <t>ARC-013</t>
        </is>
      </c>
      <c r="B13" s="5" t="inlineStr">
        <is>
          <t>SWEBOK</t>
        </is>
      </c>
      <c r="C13" s="4" t="inlineStr">
        <is>
          <t>2. アーキテクチャ上重要な要求(ASR)</t>
        </is>
      </c>
      <c r="D13" s="8" t="inlineStr">
        <is>
          <t>Critical</t>
        </is>
      </c>
      <c r="E13" s="4" t="inlineStr">
        <is>
          <t>優先度の高いASRすべてに対応方針がある</t>
        </is>
      </c>
      <c r="F13" s="4" t="inlineStr">
        <is>
          <t>優先度「高」の各ASRについて、それを満たすアーキテクチャ上の対応(スタイル・戦術・構造)がADまたはADRで特定できる</t>
        </is>
      </c>
      <c r="G13" s="4" t="inlineStr">
        <is>
          <t>高優先ASRに対応する構造・戦術が特定できないと、要求が「書かれただけ」で終わり、評価時に充足性を検証する手がかりも失われる。</t>
        </is>
      </c>
      <c r="H13" s="4" t="inlineStr">
        <is>
          <t>swebok-v4a.pdf ch02 Software Architecture &gt; 3.2.2 Architecture Synthesis(ASRが示す設計問題への解の展開)</t>
        </is>
      </c>
      <c r="I13" s="4" t="inlineStr">
        <is>
          <t>CORE</t>
        </is>
      </c>
      <c r="J13" s="4" t="inlineStr">
        <is>
          <t>原則適用。案件スコープ・成果物・規制・リスク上非該当の場合はN/A根拠を記録。</t>
        </is>
      </c>
      <c r="K13" s="4" t="inlineStr">
        <is>
          <t>SRC-SWEBOK-V4A</t>
        </is>
      </c>
      <c r="L13" s="4" t="inlineStr"/>
      <c r="M13" s="4" t="n"/>
      <c r="N13" s="4" t="n"/>
      <c r="O13" s="4" t="n"/>
      <c r="P13" s="4" t="n"/>
      <c r="Q13" s="4" t="n"/>
      <c r="R13" s="4" t="n"/>
      <c r="S13" s="4" t="n"/>
      <c r="T13" s="4" t="n"/>
      <c r="U13" s="4" t="n"/>
      <c r="V13" s="4" t="n"/>
      <c r="W13" s="4" t="n"/>
    </row>
    <row r="14">
      <c r="A14" s="5" t="inlineStr">
        <is>
          <t>ARC-014</t>
        </is>
      </c>
      <c r="B14" s="5" t="inlineStr">
        <is>
          <t>SWEBOK</t>
        </is>
      </c>
      <c r="C14" s="4" t="inlineStr">
        <is>
          <t>2. アーキテクチャ上重要な要求(ASR)</t>
        </is>
      </c>
      <c r="D14" s="9" t="inlineStr">
        <is>
          <t>High</t>
        </is>
      </c>
      <c r="E14" s="4" t="inlineStr">
        <is>
          <t>ASRと要求文書のトレーサビリティがある</t>
        </is>
      </c>
      <c r="F14" s="4" t="inlineStr">
        <is>
          <t>各ASRが元の要求(要求仕様書の項番等)まで遡れる。出典のないASRがない</t>
        </is>
      </c>
      <c r="G14" s="4" t="inlineStr">
        <is>
          <t>出典不明のASRは根拠の検証も変更時の影響分析もできず、要求変更がアーキテクチャへ伝播しない(またはその逆)事故を招く。</t>
        </is>
      </c>
      <c r="H14" s="4" t="inlineStr">
        <is>
          <t>swebok-v4a.pdf ch02 Software Architecture &gt; 3.2.1 Architecture Analysis(既知の要求・コンテキストに基づく分析)</t>
        </is>
      </c>
      <c r="I14" s="4" t="inlineStr">
        <is>
          <t>CORE</t>
        </is>
      </c>
      <c r="J14" s="4" t="inlineStr">
        <is>
          <t>原則適用。案件スコープ・成果物・規制・リスク上非該当の場合はN/A根拠を記録。</t>
        </is>
      </c>
      <c r="K14" s="4" t="inlineStr">
        <is>
          <t>SRC-SWEBOK-V4A</t>
        </is>
      </c>
      <c r="L14" s="4" t="inlineStr"/>
      <c r="M14" s="4" t="n"/>
      <c r="N14" s="4" t="n"/>
      <c r="O14" s="4" t="n"/>
      <c r="P14" s="4" t="n"/>
      <c r="Q14" s="4" t="n"/>
      <c r="R14" s="4" t="n"/>
      <c r="S14" s="4" t="n"/>
      <c r="T14" s="4" t="n"/>
      <c r="U14" s="4" t="n"/>
      <c r="V14" s="4" t="n"/>
      <c r="W14" s="4" t="n"/>
    </row>
    <row r="15">
      <c r="A15" s="5" t="inlineStr">
        <is>
          <t>ARC-015</t>
        </is>
      </c>
      <c r="B15" s="5" t="inlineStr">
        <is>
          <t>SWEBOK</t>
        </is>
      </c>
      <c r="C15" s="4" t="inlineStr">
        <is>
          <t>2. アーキテクチャ上重要な要求(ASR)</t>
        </is>
      </c>
      <c r="D15" s="10" t="inlineStr">
        <is>
          <t>Medium</t>
        </is>
      </c>
      <c r="E15" s="4" t="inlineStr">
        <is>
          <t>非機能要求がISO/IEC 25010等の品質モデルに対応付けられている</t>
        </is>
      </c>
      <c r="F15" s="4" t="inlineStr">
        <is>
          <t>品質属性が標準の品質特性分類(性能効率性・信頼性・セキュリティ・保守性等)で整理されている</t>
        </is>
      </c>
      <c r="G15" s="4" t="inlineStr">
        <is>
          <t>品質属性を標準分類で整理しないと、関係者ごとに用語の解釈がずれ、性能とスケーラビリティの混同のような認識齟齬が評価段階まで残る。</t>
        </is>
      </c>
      <c r="H15" s="4" t="inlineStr">
        <is>
          <t>swebok-v4a.pdf ch02 Software Architecture &gt; 1.2 Stakeholders and Concerns(品質属性としての関心事)+ 実務補完(ISO/IEC 25010)</t>
        </is>
      </c>
      <c r="I15" s="4" t="inlineStr">
        <is>
          <t>CORE</t>
        </is>
      </c>
      <c r="J15" s="4" t="inlineStr">
        <is>
          <t>原則適用。案件スコープ・成果物・規制・リスク上非該当の場合はN/A根拠を記録。</t>
        </is>
      </c>
      <c r="K15" s="4" t="inlineStr">
        <is>
          <t>SRC-SWEBOK-V4A;SRC-ISO-25010;SRC-PRACTICE</t>
        </is>
      </c>
      <c r="L15" s="4" t="inlineStr"/>
      <c r="M15" s="4" t="n"/>
      <c r="N15" s="4" t="n"/>
      <c r="O15" s="4" t="n"/>
      <c r="P15" s="4" t="n"/>
      <c r="Q15" s="4" t="n"/>
      <c r="R15" s="4" t="n"/>
      <c r="S15" s="4" t="n"/>
      <c r="T15" s="4" t="n"/>
      <c r="U15" s="4" t="n"/>
      <c r="V15" s="4" t="n"/>
      <c r="W15" s="4" t="n"/>
    </row>
    <row r="16">
      <c r="A16" s="5" t="inlineStr">
        <is>
          <t>ARC-020</t>
        </is>
      </c>
      <c r="B16" s="5" t="inlineStr">
        <is>
          <t>SWEBOK</t>
        </is>
      </c>
      <c r="C16" s="4" t="inlineStr">
        <is>
          <t>3. 制約と前提条件</t>
        </is>
      </c>
      <c r="D16" s="9" t="inlineStr">
        <is>
          <t>High</t>
        </is>
      </c>
      <c r="E16" s="4" t="inlineStr">
        <is>
          <t>技術的制約が明記されている</t>
        </is>
      </c>
      <c r="F16" s="4" t="inlineStr">
        <is>
          <t>既存資産・利用必須の技術・上位アーキテクチャ(EA/リファレンスアーキテクチャ)からの制約が列挙されている</t>
        </is>
      </c>
      <c r="G16" s="4" t="inlineStr">
        <is>
          <t>エンタープライズアーキテクチャや上位システムからの制約はASRとして反映すべきものであり、見落とすと適合性検査や統合段階で不適合が発覚し設計をやり直すことになる。</t>
        </is>
      </c>
      <c r="H16" s="4" t="inlineStr">
        <is>
          <t>swebok-v4a.pdf ch02 Software Architecture &gt; 3.1 Architecture in Context / 3.4 Architecting in the Large(上位アーキテクチャへの準拠)</t>
        </is>
      </c>
      <c r="I16" s="4" t="inlineStr">
        <is>
          <t>CORE</t>
        </is>
      </c>
      <c r="J16" s="4" t="inlineStr">
        <is>
          <t>原則適用。案件スコープ・成果物・規制・リスク上非該当の場合はN/A根拠を記録。</t>
        </is>
      </c>
      <c r="K16" s="4" t="inlineStr">
        <is>
          <t>SRC-SWEBOK-V4A</t>
        </is>
      </c>
      <c r="L16" s="4" t="inlineStr"/>
      <c r="M16" s="4" t="n"/>
      <c r="N16" s="4" t="n"/>
      <c r="O16" s="4" t="n"/>
      <c r="P16" s="4" t="n"/>
      <c r="Q16" s="4" t="n"/>
      <c r="R16" s="4" t="n"/>
      <c r="S16" s="4" t="n"/>
      <c r="T16" s="4" t="n"/>
      <c r="U16" s="4" t="n"/>
      <c r="V16" s="4" t="n"/>
      <c r="W16" s="4" t="n"/>
    </row>
    <row r="17">
      <c r="A17" s="5" t="inlineStr">
        <is>
          <t>ARC-021</t>
        </is>
      </c>
      <c r="B17" s="5" t="inlineStr">
        <is>
          <t>SWEBOK</t>
        </is>
      </c>
      <c r="C17" s="4" t="inlineStr">
        <is>
          <t>3. 制約と前提条件</t>
        </is>
      </c>
      <c r="D17" s="9" t="inlineStr">
        <is>
          <t>High</t>
        </is>
      </c>
      <c r="E17" s="4" t="inlineStr">
        <is>
          <t>組織的・事業的制約が明記されている</t>
        </is>
      </c>
      <c r="F17" s="4" t="inlineStr">
        <is>
          <t>予算・納期・チームスキル・調達方針など、設計の選択肢を狭める非技術的制約が記録されている</t>
        </is>
      </c>
      <c r="G17" s="4" t="inlineStr">
        <is>
          <t>予算・納期・スキルなどの事業的制約は設計の選択肢を実質的に決めるため、無視すると技術的には正しくても実現不能な机上の設計になる。</t>
        </is>
      </c>
      <c r="H17" s="4" t="inlineStr">
        <is>
          <t>swebok-v4a.pdf ch02 Software Architecture &gt; 1.2 Stakeholders and Concerns(business/organizational/economicな影響)</t>
        </is>
      </c>
      <c r="I17" s="4" t="inlineStr">
        <is>
          <t>CORE</t>
        </is>
      </c>
      <c r="J17" s="4" t="inlineStr">
        <is>
          <t>原則適用。案件スコープ・成果物・規制・リスク上非該当の場合はN/A根拠を記録。</t>
        </is>
      </c>
      <c r="K17" s="4" t="inlineStr">
        <is>
          <t>SRC-SWEBOK-V4A</t>
        </is>
      </c>
      <c r="L17" s="4" t="inlineStr"/>
      <c r="M17" s="4" t="n"/>
      <c r="N17" s="4" t="n"/>
      <c r="O17" s="4" t="n"/>
      <c r="P17" s="4" t="n"/>
      <c r="Q17" s="4" t="n"/>
      <c r="R17" s="4" t="n"/>
      <c r="S17" s="4" t="n"/>
      <c r="T17" s="4" t="n"/>
      <c r="U17" s="4" t="n"/>
      <c r="V17" s="4" t="n"/>
      <c r="W17" s="4" t="n"/>
    </row>
    <row r="18">
      <c r="A18" s="5" t="inlineStr">
        <is>
          <t>ARC-022</t>
        </is>
      </c>
      <c r="B18" s="5" t="inlineStr">
        <is>
          <t>SWEBOK</t>
        </is>
      </c>
      <c r="C18" s="4" t="inlineStr">
        <is>
          <t>3. 制約と前提条件</t>
        </is>
      </c>
      <c r="D18" s="10" t="inlineStr">
        <is>
          <t>Medium</t>
        </is>
      </c>
      <c r="E18" s="4" t="inlineStr">
        <is>
          <t>法規制・コンプライアンス要件が特定されている</t>
        </is>
      </c>
      <c r="F18" s="4" t="inlineStr">
        <is>
          <t>対象ドメインに適用される法規制・業界標準(個人情報保護、業界規制等)が列挙され、影響するASRまたは決定に紐付いている</t>
        </is>
      </c>
      <c r="G18" s="4" t="inlineStr">
        <is>
          <t>法規制・コンプライアンスは関心事の主要類型であり、対応漏れは設計手戻りにとどまらず事業停止・罰則という回復困難な損害につながる。</t>
        </is>
      </c>
      <c r="H18" s="4" t="inlineStr">
        <is>
          <t>swebok-v4a.pdf ch02 Software Architecture &gt; 1.2 Stakeholders and Concerns(legal/regulatoryな関心事)</t>
        </is>
      </c>
      <c r="I18" s="4" t="inlineStr">
        <is>
          <t>CORE</t>
        </is>
      </c>
      <c r="J18" s="4" t="inlineStr">
        <is>
          <t>原則適用。案件スコープ・成果物・規制・リスク上非該当の場合はN/A根拠を記録。</t>
        </is>
      </c>
      <c r="K18" s="4" t="inlineStr">
        <is>
          <t>SRC-SWEBOK-V4A</t>
        </is>
      </c>
      <c r="L18" s="4" t="inlineStr"/>
      <c r="M18" s="4" t="n"/>
      <c r="N18" s="4" t="n"/>
      <c r="O18" s="4" t="n"/>
      <c r="P18" s="4" t="n"/>
      <c r="Q18" s="4" t="n"/>
      <c r="R18" s="4" t="n"/>
      <c r="S18" s="4" t="n"/>
      <c r="T18" s="4" t="n"/>
      <c r="U18" s="4" t="n"/>
      <c r="V18" s="4" t="n"/>
      <c r="W18" s="4" t="n"/>
    </row>
    <row r="19">
      <c r="A19" s="5" t="inlineStr">
        <is>
          <t>ARC-023</t>
        </is>
      </c>
      <c r="B19" s="5" t="inlineStr">
        <is>
          <t>SWEBOK</t>
        </is>
      </c>
      <c r="C19" s="4" t="inlineStr">
        <is>
          <t>3. 制約と前提条件</t>
        </is>
      </c>
      <c r="D19" s="10" t="inlineStr">
        <is>
          <t>Medium</t>
        </is>
      </c>
      <c r="E19" s="4" t="inlineStr">
        <is>
          <t>前提条件が明示されている</t>
        </is>
      </c>
      <c r="F19" s="4" t="inlineStr">
        <is>
          <t>設計が依拠する前提(トラフィック規模、データ量、利用者数、外部システムの可用性等)が数値または条件として記載されている</t>
        </is>
      </c>
      <c r="G19" s="4" t="inlineStr">
        <is>
          <t>設計判断の前提となる仮定を明示しないと、決定の妥当性を後から検証できず、規模想定の誤りが本番の性能障害として初めて表面化する。</t>
        </is>
      </c>
      <c r="H19" s="4" t="inlineStr">
        <is>
          <t>swebok-v4a.pdf ch02 Software Architecture &gt; 2.4 Architecture as Significant Decisions(決定に先立つ仮定の記録)</t>
        </is>
      </c>
      <c r="I19" s="4" t="inlineStr">
        <is>
          <t>CORE</t>
        </is>
      </c>
      <c r="J19" s="4" t="inlineStr">
        <is>
          <t>原則適用。案件スコープ・成果物・規制・リスク上非該当の場合はN/A根拠を記録。</t>
        </is>
      </c>
      <c r="K19" s="4" t="inlineStr">
        <is>
          <t>SRC-SWEBOK-V4A;SRC-CIS</t>
        </is>
      </c>
      <c r="L19" s="4" t="inlineStr"/>
      <c r="M19" s="4" t="n"/>
      <c r="N19" s="4" t="n"/>
      <c r="O19" s="4" t="n"/>
      <c r="P19" s="4" t="n"/>
      <c r="Q19" s="4" t="n"/>
      <c r="R19" s="4" t="n"/>
      <c r="S19" s="4" t="n"/>
      <c r="T19" s="4" t="n"/>
      <c r="U19" s="4" t="n"/>
      <c r="V19" s="4" t="n"/>
      <c r="W19" s="4" t="n"/>
    </row>
    <row r="20">
      <c r="A20" s="5" t="inlineStr">
        <is>
          <t>ARC-024</t>
        </is>
      </c>
      <c r="B20" s="5" t="inlineStr">
        <is>
          <t>SWEBOK</t>
        </is>
      </c>
      <c r="C20" s="4" t="inlineStr">
        <is>
          <t>3. 制約と前提条件</t>
        </is>
      </c>
      <c r="D20" s="11" t="inlineStr">
        <is>
          <t>Low</t>
        </is>
      </c>
      <c r="E20" s="4" t="inlineStr">
        <is>
          <t>前提が崩れた場合の影響が検討されている</t>
        </is>
      </c>
      <c r="F20" s="4" t="inlineStr">
        <is>
          <t>主要な前提条件について、成立しなくなった場合の影響または見直しトリガーが記載されている</t>
        </is>
      </c>
      <c r="G20" s="4" t="inlineStr">
        <is>
          <t>前提が崩れたときの影響と見直しトリガーがないと、環境変化に誰も気づかず、破綻した前提の上に機能追加を積み重ねてしまう。</t>
        </is>
      </c>
      <c r="H20" s="4" t="inlineStr">
        <is>
          <t>swebok-v4a.pdf ch02 Software Architecture &gt; 2.4 Architecture as Significant Decisions(条件変化時の決定の再検討)</t>
        </is>
      </c>
      <c r="I20" s="4" t="inlineStr">
        <is>
          <t>CORE</t>
        </is>
      </c>
      <c r="J20" s="4" t="inlineStr">
        <is>
          <t>原則適用。案件スコープ・成果物・規制・リスク上非該当の場合はN/A根拠を記録。</t>
        </is>
      </c>
      <c r="K20" s="4" t="inlineStr">
        <is>
          <t>SRC-SWEBOK-V4A;SRC-CIS</t>
        </is>
      </c>
      <c r="L20" s="4" t="inlineStr"/>
      <c r="M20" s="4" t="n"/>
      <c r="N20" s="4" t="n"/>
      <c r="O20" s="4" t="n"/>
      <c r="P20" s="4" t="n"/>
      <c r="Q20" s="4" t="n"/>
      <c r="R20" s="4" t="n"/>
      <c r="S20" s="4" t="n"/>
      <c r="T20" s="4" t="n"/>
      <c r="U20" s="4" t="n"/>
      <c r="V20" s="4" t="n"/>
      <c r="W20" s="4" t="n"/>
    </row>
    <row r="21">
      <c r="A21" s="12" t="inlineStr">
        <is>
          <t>ARC-CO01</t>
        </is>
      </c>
      <c r="B21" s="12" t="inlineStr">
        <is>
          <t>クラウド補完</t>
        </is>
      </c>
      <c r="C21" s="13" t="inlineStr">
        <is>
          <t>3. 制約と前提条件</t>
        </is>
      </c>
      <c r="D21" s="10" t="inlineStr">
        <is>
          <t>Medium</t>
        </is>
      </c>
      <c r="E21" s="13" t="inlineStr">
        <is>
          <t>システムの配置先(リージョン/データセンター/国)の選定根拠として、データ所在地規制・ユーザー近接性(レイテンシ)・サービス提供状況・DR要件が制約条件として文書化されているか</t>
        </is>
      </c>
      <c r="F21" s="13" t="inlineStr">
        <is>
          <t>アーキテクチャ記述書の制約節に配置先選定の根拠と規制要件との対応が記載されていること</t>
        </is>
      </c>
      <c r="G21" s="13" t="inlineStr">
        <is>
          <t>データ主権・所在地規制の見落としは稼働後に発覚するとシステム移設という最大級の手戻りになる。</t>
        </is>
      </c>
      <c r="H21" s="13" t="inlineStr">
        <is>
          <t>Well-Architected Framework for OCI &gt; Operational Efficiency &gt; Plan Your Deployment Strategy &gt; Choose a Region Based on Your Customers and Data / Distributed Cloud &gt; Follow Distributed Cloud Design Principles</t>
        </is>
      </c>
      <c r="I21" s="13" t="inlineStr">
        <is>
          <t>CORE</t>
        </is>
      </c>
      <c r="J21" s="13" t="inlineStr">
        <is>
          <t>原則適用。案件スコープ・成果物・規制・リスク上非該当の場合はN/A根拠を記録。</t>
        </is>
      </c>
      <c r="K21" s="13" t="inlineStr">
        <is>
          <t>SRC-OCI-WAF</t>
        </is>
      </c>
      <c r="L21" s="13" t="inlineStr">
        <is>
          <t>CONTINUITY-DR</t>
        </is>
      </c>
      <c r="M21" s="13" t="n"/>
      <c r="N21" s="13" t="n"/>
      <c r="O21" s="13" t="n"/>
      <c r="P21" s="13" t="n"/>
      <c r="Q21" s="13" t="n"/>
      <c r="R21" s="13" t="n"/>
      <c r="S21" s="13" t="n"/>
      <c r="T21" s="13" t="n"/>
      <c r="U21" s="13" t="n"/>
      <c r="V21" s="13" t="n"/>
      <c r="W21" s="13" t="n"/>
    </row>
    <row r="22">
      <c r="A22" s="5" t="inlineStr">
        <is>
          <t>ARC-030</t>
        </is>
      </c>
      <c r="B22" s="5" t="inlineStr">
        <is>
          <t>SWEBOK</t>
        </is>
      </c>
      <c r="C22" s="4" t="inlineStr">
        <is>
          <t>4. アーキテクチャビューとビューポイント</t>
        </is>
      </c>
      <c r="D22" s="8" t="inlineStr">
        <is>
          <t>Critical</t>
        </is>
      </c>
      <c r="E22" s="4" t="inlineStr">
        <is>
          <t>複数の関心事に対応するビューが存在する</t>
        </is>
      </c>
      <c r="F22" s="4" t="inlineStr">
        <is>
          <t>少なくとも構造系ビュー(論理/モジュール)と配置系ビュー(デプロイメント)の2種類以上が作成されている</t>
        </is>
      </c>
      <c r="G22" s="4" t="inlineStr">
        <is>
          <t>単一ビューでは多様な関心事を扱えない(multiple viewsの必要性)ため、構造と配置の最低2観点がないと運用・展開の関心事が設計から抜け落ちる。</t>
        </is>
      </c>
      <c r="H22" s="4" t="inlineStr">
        <is>
          <t>swebok-v4a.pdf ch02 Software Architecture &gt; 2.1 Architecture Views and Viewpoints(複数ビューによる関心事の分離)</t>
        </is>
      </c>
      <c r="I22" s="4" t="inlineStr">
        <is>
          <t>CORE</t>
        </is>
      </c>
      <c r="J22" s="4" t="inlineStr">
        <is>
          <t>原則適用。案件スコープ・成果物・規制・リスク上非該当の場合はN/A根拠を記録。</t>
        </is>
      </c>
      <c r="K22" s="4" t="inlineStr">
        <is>
          <t>SRC-SWEBOK-V4A</t>
        </is>
      </c>
      <c r="L22" s="4" t="inlineStr"/>
      <c r="M22" s="4" t="n"/>
      <c r="N22" s="4" t="n"/>
      <c r="O22" s="4" t="n"/>
      <c r="P22" s="4" t="n"/>
      <c r="Q22" s="4" t="n"/>
      <c r="R22" s="4" t="n"/>
      <c r="S22" s="4" t="n"/>
      <c r="T22" s="4" t="n"/>
      <c r="U22" s="4" t="n"/>
      <c r="V22" s="4" t="n"/>
      <c r="W22" s="4" t="n"/>
    </row>
    <row r="23">
      <c r="A23" s="5" t="inlineStr">
        <is>
          <t>ARC-031</t>
        </is>
      </c>
      <c r="B23" s="5" t="inlineStr">
        <is>
          <t>SWEBOK</t>
        </is>
      </c>
      <c r="C23" s="4" t="inlineStr">
        <is>
          <t>4. アーキテクチャビューとビューポイント</t>
        </is>
      </c>
      <c r="D23" s="8" t="inlineStr">
        <is>
          <t>Critical</t>
        </is>
      </c>
      <c r="E23" s="4" t="inlineStr">
        <is>
          <t>各ビューの準拠ビューポイントが明示されている</t>
        </is>
      </c>
      <c r="F23" s="4" t="inlineStr">
        <is>
          <t>各ビューに、対象とする関心事と使用する表記法・規約(ビューポイント定義または既知のビューポイントへの参照)が明記されている</t>
        </is>
      </c>
      <c r="G23" s="4" t="inlineStr">
        <is>
          <t>ビューポイントはビューの作成・解釈の規約を与えるものであり、これがないと図の読み方が人により異なり、誤読に基づく実装ミスを誘発する。</t>
        </is>
      </c>
      <c r="H23" s="4" t="inlineStr">
        <is>
          <t>swebok-v4a.pdf ch02 Software Architecture &gt; 2.1 Architecture Views and Viewpoints(ビューポイントによる規約の文書化)</t>
        </is>
      </c>
      <c r="I23" s="4" t="inlineStr">
        <is>
          <t>CORE</t>
        </is>
      </c>
      <c r="J23" s="4" t="inlineStr">
        <is>
          <t>原則適用。案件スコープ・成果物・規制・リスク上非該当の場合はN/A根拠を記録。</t>
        </is>
      </c>
      <c r="K23" s="4" t="inlineStr">
        <is>
          <t>SRC-SWEBOK-V4A</t>
        </is>
      </c>
      <c r="L23" s="4" t="inlineStr"/>
      <c r="M23" s="4" t="n"/>
      <c r="N23" s="4" t="n"/>
      <c r="O23" s="4" t="n"/>
      <c r="P23" s="4" t="n"/>
      <c r="Q23" s="4" t="n"/>
      <c r="R23" s="4" t="n"/>
      <c r="S23" s="4" t="n"/>
      <c r="T23" s="4" t="n"/>
      <c r="U23" s="4" t="n"/>
      <c r="V23" s="4" t="n"/>
      <c r="W23" s="4" t="n"/>
    </row>
    <row r="24">
      <c r="A24" s="5" t="inlineStr">
        <is>
          <t>ARC-032</t>
        </is>
      </c>
      <c r="B24" s="5" t="inlineStr">
        <is>
          <t>SWEBOK</t>
        </is>
      </c>
      <c r="C24" s="4" t="inlineStr">
        <is>
          <t>4. アーキテクチャビューとビューポイント</t>
        </is>
      </c>
      <c r="D24" s="9" t="inlineStr">
        <is>
          <t>High</t>
        </is>
      </c>
      <c r="E24" s="4" t="inlineStr">
        <is>
          <t>図に凡例・記法の説明がある</t>
        </is>
      </c>
      <c r="F24" s="4" t="inlineStr">
        <is>
          <t>UML/ArchiMate等の標準記法の明記、または独自記法の場合は凡例があり、図中のすべての図形・線種の意味が判別できる</t>
        </is>
      </c>
      <c r="G24" s="4" t="inlineStr">
        <is>
          <t>記法の定義がない図は書いた本人以外に正確に伝わらず、矢印の向きや線種の解釈違いがインタフェース設計の食い違いとして実装段階で顕在化する。</t>
        </is>
      </c>
      <c r="H24" s="4" t="inlineStr">
        <is>
          <t>swebok-v4a.pdf ch02 Software Architecture &gt; 2.1 Architecture Views and Viewpoints / 2.3 Architecture Description Languages and Architecture Frameworks</t>
        </is>
      </c>
      <c r="I24" s="4" t="inlineStr">
        <is>
          <t>CORE</t>
        </is>
      </c>
      <c r="J24" s="4" t="inlineStr">
        <is>
          <t>原則適用。案件スコープ・成果物・規制・リスク上非該当の場合はN/A根拠を記録。</t>
        </is>
      </c>
      <c r="K24" s="4" t="inlineStr">
        <is>
          <t>SRC-SWEBOK-V4A</t>
        </is>
      </c>
      <c r="L24" s="4" t="inlineStr"/>
      <c r="M24" s="4" t="n"/>
      <c r="N24" s="4" t="n"/>
      <c r="O24" s="4" t="n"/>
      <c r="P24" s="4" t="n"/>
      <c r="Q24" s="4" t="n"/>
      <c r="R24" s="4" t="n"/>
      <c r="S24" s="4" t="n"/>
      <c r="T24" s="4" t="n"/>
      <c r="U24" s="4" t="n"/>
      <c r="V24" s="4" t="n"/>
      <c r="W24" s="4" t="n"/>
    </row>
    <row r="25">
      <c r="A25" s="5" t="inlineStr">
        <is>
          <t>ARC-033</t>
        </is>
      </c>
      <c r="B25" s="5" t="inlineStr">
        <is>
          <t>SWEBOK</t>
        </is>
      </c>
      <c r="C25" s="4" t="inlineStr">
        <is>
          <t>4. アーキテクチャビューとビューポイント</t>
        </is>
      </c>
      <c r="D25" s="8" t="inlineStr">
        <is>
          <t>Critical</t>
        </is>
      </c>
      <c r="E25" s="4" t="inlineStr">
        <is>
          <t>主要コンポーネントの責務が定義されている</t>
        </is>
      </c>
      <c r="F25" s="4" t="inlineStr">
        <is>
          <t>構造系ビューに現れる各コンポーネントについて、責務の説明が1つ以上文章で記載されている。名前だけのコンポーネントがない</t>
        </is>
      </c>
      <c r="G25" s="4" t="inlineStr">
        <is>
          <t>アーキテクチャ設計の中核は主要コンポーネントの責務・特性・関係の特定であり、名前だけの箱は責務の重複や空白を隠し、チーム間の実装衝突を生む。</t>
        </is>
      </c>
      <c r="H25" s="4" t="inlineStr">
        <is>
          <t>swebok-v4a.pdf ch02 Software Architecture &gt; 3.2 Architectural Design(主要コンポーネントとその責務の特定)</t>
        </is>
      </c>
      <c r="I25" s="4" t="inlineStr">
        <is>
          <t>CORE</t>
        </is>
      </c>
      <c r="J25" s="4" t="inlineStr">
        <is>
          <t>原則適用。案件スコープ・成果物・規制・リスク上非該当の場合はN/A根拠を記録。</t>
        </is>
      </c>
      <c r="K25" s="4" t="inlineStr">
        <is>
          <t>SRC-SWEBOK-V4A</t>
        </is>
      </c>
      <c r="L25" s="4" t="inlineStr"/>
      <c r="M25" s="4" t="n"/>
      <c r="N25" s="4" t="n"/>
      <c r="O25" s="4" t="n"/>
      <c r="P25" s="4" t="n"/>
      <c r="Q25" s="4" t="n"/>
      <c r="R25" s="4" t="n"/>
      <c r="S25" s="4" t="n"/>
      <c r="T25" s="4" t="n"/>
      <c r="U25" s="4" t="n"/>
      <c r="V25" s="4" t="n"/>
      <c r="W25" s="4" t="n"/>
    </row>
    <row r="26">
      <c r="A26" s="5" t="inlineStr">
        <is>
          <t>ARC-034</t>
        </is>
      </c>
      <c r="B26" s="5" t="inlineStr">
        <is>
          <t>SWEBOK</t>
        </is>
      </c>
      <c r="C26" s="4" t="inlineStr">
        <is>
          <t>4. アーキテクチャビューとビューポイント</t>
        </is>
      </c>
      <c r="D26" s="9" t="inlineStr">
        <is>
          <t>High</t>
        </is>
      </c>
      <c r="E26" s="4" t="inlineStr">
        <is>
          <t>コンポーネント間のインタフェースが定義されている</t>
        </is>
      </c>
      <c r="F26" s="4" t="inlineStr">
        <is>
          <t>コンポーネント間の主要な相互作用について、インタフェース(API・プロトコル・データ形式のいずれか)が特定されている</t>
        </is>
      </c>
      <c r="G26" s="4" t="inlineStr">
        <is>
          <t>コンポーネント間の通信・相互作用が未定義だと、チームごとに勝手なプロトコル・データ形式を採用し、統合テストで初めて不整合が発覚する。</t>
        </is>
      </c>
      <c r="H26" s="4" t="inlineStr">
        <is>
          <t>swebok-v4a.pdf ch02 Software Architecture &gt; 3.2 Architectural Design(コンポーネントインタフェース、相互作用)</t>
        </is>
      </c>
      <c r="I26" s="4" t="inlineStr">
        <is>
          <t>CORE</t>
        </is>
      </c>
      <c r="J26" s="4" t="inlineStr">
        <is>
          <t>原則適用。案件スコープ・成果物・規制・リスク上非該当の場合はN/A根拠を記録。</t>
        </is>
      </c>
      <c r="K26" s="4" t="inlineStr">
        <is>
          <t>SRC-SWEBOK-V4A</t>
        </is>
      </c>
      <c r="L26" s="4" t="inlineStr"/>
      <c r="M26" s="4" t="n"/>
      <c r="N26" s="4" t="n"/>
      <c r="O26" s="4" t="n"/>
      <c r="P26" s="4" t="n"/>
      <c r="Q26" s="4" t="n"/>
      <c r="R26" s="4" t="n"/>
      <c r="S26" s="4" t="n"/>
      <c r="T26" s="4" t="n"/>
      <c r="U26" s="4" t="n"/>
      <c r="V26" s="4" t="n"/>
      <c r="W26" s="4" t="n"/>
    </row>
    <row r="27">
      <c r="A27" s="5" t="inlineStr">
        <is>
          <t>ARC-035</t>
        </is>
      </c>
      <c r="B27" s="5" t="inlineStr">
        <is>
          <t>SWEBOK</t>
        </is>
      </c>
      <c r="C27" s="4" t="inlineStr">
        <is>
          <t>4. アーキテクチャビューとビューポイント</t>
        </is>
      </c>
      <c r="D27" s="9" t="inlineStr">
        <is>
          <t>High</t>
        </is>
      </c>
      <c r="E27" s="4" t="inlineStr">
        <is>
          <t>ビュー間の整合性が確認されている</t>
        </is>
      </c>
      <c r="F27" s="4" t="inlineStr">
        <is>
          <t>複数ビューに登場する同一要素の名前が一致している、またはビュー間対応表があり、既知の不整合が記録されている</t>
        </is>
      </c>
      <c r="G27" s="4" t="inlineStr">
        <is>
          <t>複数ビュー導入の代償はビュー間不整合(multiple views problem)であり、対応関係の確認を怠ると「同じシステムを描いていない」図面群を根拠に実装が進む。</t>
        </is>
      </c>
      <c r="H27" s="4" t="inlineStr">
        <is>
          <t>swebok-v4a.pdf ch02 Software Architecture &gt; 2.1 Architecture Views and Viewpoints(multiple views problemと対応規則)</t>
        </is>
      </c>
      <c r="I27" s="4" t="inlineStr">
        <is>
          <t>CORE</t>
        </is>
      </c>
      <c r="J27" s="4" t="inlineStr">
        <is>
          <t>原則適用。案件スコープ・成果物・規制・リスク上非該当の場合はN/A根拠を記録。</t>
        </is>
      </c>
      <c r="K27" s="4" t="inlineStr">
        <is>
          <t>SRC-SWEBOK-V4A</t>
        </is>
      </c>
      <c r="L27" s="4" t="inlineStr"/>
      <c r="M27" s="4" t="n"/>
      <c r="N27" s="4" t="n"/>
      <c r="O27" s="4" t="n"/>
      <c r="P27" s="4" t="n"/>
      <c r="Q27" s="4" t="n"/>
      <c r="R27" s="4" t="n"/>
      <c r="S27" s="4" t="n"/>
      <c r="T27" s="4" t="n"/>
      <c r="U27" s="4" t="n"/>
      <c r="V27" s="4" t="n"/>
      <c r="W27" s="4" t="n"/>
    </row>
    <row r="28">
      <c r="A28" s="5" t="inlineStr">
        <is>
          <t>ARC-036</t>
        </is>
      </c>
      <c r="B28" s="5" t="inlineStr">
        <is>
          <t>SWEBOK</t>
        </is>
      </c>
      <c r="C28" s="4" t="inlineStr">
        <is>
          <t>4. アーキテクチャビューとビューポイント</t>
        </is>
      </c>
      <c r="D28" s="9" t="inlineStr">
        <is>
          <t>High</t>
        </is>
      </c>
      <c r="E28" s="4" t="inlineStr">
        <is>
          <t>実行時の振る舞いが表現されている</t>
        </is>
      </c>
      <c r="F28" s="4" t="inlineStr">
        <is>
          <t>主要ユースケースまたは品質シナリオについて、実行時の相互作用(シーケンス図、コンポーネント&amp;コネクタビュー等)が少なくとも1つ示されている</t>
        </is>
      </c>
      <c r="G28" s="4" t="inlineStr">
        <is>
          <t>静的構造だけでは並行性・実行時相互作用の妥当性を判断できず、性能・デッドロック等の問題が実行して初めて見つかる。</t>
        </is>
      </c>
      <c r="H28" s="4" t="inlineStr">
        <is>
          <t>swebok-v4a.pdf ch02 Software Architecture &gt; 2.1 Architecture Views and Viewpoints(component and connectorビューポイント、processビュー)</t>
        </is>
      </c>
      <c r="I28" s="4" t="inlineStr">
        <is>
          <t>CORE</t>
        </is>
      </c>
      <c r="J28" s="4" t="inlineStr">
        <is>
          <t>原則適用。案件スコープ・成果物・規制・リスク上非該当の場合はN/A根拠を記録。</t>
        </is>
      </c>
      <c r="K28" s="4" t="inlineStr">
        <is>
          <t>SRC-SWEBOK-V4A</t>
        </is>
      </c>
      <c r="L28" s="4" t="inlineStr"/>
      <c r="M28" s="4" t="n"/>
      <c r="N28" s="4" t="n"/>
      <c r="O28" s="4" t="n"/>
      <c r="P28" s="4" t="n"/>
      <c r="Q28" s="4" t="n"/>
      <c r="R28" s="4" t="n"/>
      <c r="S28" s="4" t="n"/>
      <c r="T28" s="4" t="n"/>
      <c r="U28" s="4" t="n"/>
      <c r="V28" s="4" t="n"/>
      <c r="W28" s="4" t="n"/>
    </row>
    <row r="29">
      <c r="A29" s="5" t="inlineStr">
        <is>
          <t>ARC-037</t>
        </is>
      </c>
      <c r="B29" s="5" t="inlineStr">
        <is>
          <t>SWEBOK</t>
        </is>
      </c>
      <c r="C29" s="4" t="inlineStr">
        <is>
          <t>4. アーキテクチャビューとビューポイント</t>
        </is>
      </c>
      <c r="D29" s="10" t="inlineStr">
        <is>
          <t>Medium</t>
        </is>
      </c>
      <c r="E29" s="4" t="inlineStr">
        <is>
          <t>デプロイメントビューが実行環境を具体化している</t>
        </is>
      </c>
      <c r="F29" s="4" t="inlineStr">
        <is>
          <t>ソフトウェア要素と実行環境(ノード・コンテナ・リージョン・ネットワーク境界)の対応が示され、冗長構成が関係する場合は多重度が読み取れる</t>
        </is>
      </c>
      <c r="G29" s="4" t="inlineStr">
        <is>
          <t>配置ビューが抽象的なままだと、ネットワーク境界・冗長構成・リージョン配置の考慮漏れが本番構築時に発覚し、可用性目標が達成できない。</t>
        </is>
      </c>
      <c r="H29" s="4" t="inlineStr">
        <is>
          <t>swebok-v4a.pdf ch02 Software Architecture &gt; 2.1 Architecture Views and Viewpoints(deploymentビューポイント)</t>
        </is>
      </c>
      <c r="I29" s="4" t="inlineStr">
        <is>
          <t>CORE</t>
        </is>
      </c>
      <c r="J29" s="4" t="inlineStr">
        <is>
          <t>原則適用。案件スコープ・成果物・規制・リスク上非該当の場合はN/A根拠を記録。</t>
        </is>
      </c>
      <c r="K29" s="4" t="inlineStr">
        <is>
          <t>SRC-SWEBOK-V4A</t>
        </is>
      </c>
      <c r="L29" s="4" t="inlineStr"/>
      <c r="M29" s="4" t="n"/>
      <c r="N29" s="4" t="n"/>
      <c r="O29" s="4" t="n"/>
      <c r="P29" s="4" t="n"/>
      <c r="Q29" s="4" t="n"/>
      <c r="R29" s="4" t="n"/>
      <c r="S29" s="4" t="n"/>
      <c r="T29" s="4" t="n"/>
      <c r="U29" s="4" t="n"/>
      <c r="V29" s="4" t="n"/>
      <c r="W29" s="4" t="n"/>
    </row>
    <row r="30">
      <c r="A30" s="5" t="inlineStr">
        <is>
          <t>ARC-038</t>
        </is>
      </c>
      <c r="B30" s="5" t="inlineStr">
        <is>
          <t>SWEBOK</t>
        </is>
      </c>
      <c r="C30" s="4" t="inlineStr">
        <is>
          <t>4. アーキテクチャビューとビューポイント</t>
        </is>
      </c>
      <c r="D30" s="10" t="inlineStr">
        <is>
          <t>Medium</t>
        </is>
      </c>
      <c r="E30" s="4" t="inlineStr">
        <is>
          <t>データ/情報の観点が扱われている</t>
        </is>
      </c>
      <c r="F30" s="4" t="inlineStr">
        <is>
          <t>主要データの所在・所有者・ライフサイクル(情報ビュー、ER概要、データフロー等)が、データが重要なシステムにおいて記述されている</t>
        </is>
      </c>
      <c r="G30" s="4" t="inlineStr">
        <is>
          <t>データの所在・所有者・ライフサイクルが不明だと、整合性責任の押し付け合いやデータ保護要件の適用漏れが起き、後からの是正コストが大きい。</t>
        </is>
      </c>
      <c r="H30" s="4" t="inlineStr">
        <is>
          <t>swebok-v4a.pdf ch02 Software Architecture &gt; 2.1 Architecture Views and Viewpoints(informationビューポイント)</t>
        </is>
      </c>
      <c r="I30" s="4" t="inlineStr">
        <is>
          <t>CORE</t>
        </is>
      </c>
      <c r="J30" s="4" t="inlineStr">
        <is>
          <t>原則適用。案件スコープ・成果物・規制・リスク上非該当の場合はN/A根拠を記録。</t>
        </is>
      </c>
      <c r="K30" s="4" t="inlineStr">
        <is>
          <t>SRC-SWEBOK-V4A</t>
        </is>
      </c>
      <c r="L30" s="4" t="inlineStr"/>
      <c r="M30" s="4" t="n"/>
      <c r="N30" s="4" t="n"/>
      <c r="O30" s="4" t="n"/>
      <c r="P30" s="4" t="n"/>
      <c r="Q30" s="4" t="n"/>
      <c r="R30" s="4" t="n"/>
      <c r="S30" s="4" t="n"/>
      <c r="T30" s="4" t="n"/>
      <c r="U30" s="4" t="n"/>
      <c r="V30" s="4" t="n"/>
      <c r="W30" s="4" t="n"/>
    </row>
    <row r="31">
      <c r="A31" s="5" t="inlineStr">
        <is>
          <t>ARC-039</t>
        </is>
      </c>
      <c r="B31" s="5" t="inlineStr">
        <is>
          <t>SWEBOK</t>
        </is>
      </c>
      <c r="C31" s="4" t="inlineStr">
        <is>
          <t>4. アーキテクチャビューとビューポイント</t>
        </is>
      </c>
      <c r="D31" s="10" t="inlineStr">
        <is>
          <t>Medium</t>
        </is>
      </c>
      <c r="E31" s="4" t="inlineStr">
        <is>
          <t>図がソース管理可能な形式で保存されている</t>
        </is>
      </c>
      <c r="F31" s="4" t="inlineStr">
        <is>
          <t>図の元データ(PlantUML/Mermaid/drawio等)がリポジトリで管理されている、または更新手段が明記されている</t>
        </is>
      </c>
      <c r="G31" s="4" t="inlineStr">
        <is>
          <t>図の元データが管理されていないと更新できない「化石図」になり、ADが実態と乖離して評価・保守の情報源として機能しなくなる。</t>
        </is>
      </c>
      <c r="H31" s="4" t="inlineStr">
        <is>
          <t>実務補完(Docs as Code / 図のソース管理)</t>
        </is>
      </c>
      <c r="I31" s="4" t="inlineStr">
        <is>
          <t>CORE</t>
        </is>
      </c>
      <c r="J31" s="4" t="inlineStr">
        <is>
          <t>原則適用。案件スコープ・成果物・規制・リスク上非該当の場合はN/A根拠を記録。</t>
        </is>
      </c>
      <c r="K31" s="4" t="inlineStr">
        <is>
          <t>SRC-PRACTICE</t>
        </is>
      </c>
      <c r="L31" s="4" t="inlineStr"/>
      <c r="M31" s="4" t="n"/>
      <c r="N31" s="4" t="n"/>
      <c r="O31" s="4" t="n"/>
      <c r="P31" s="4" t="n"/>
      <c r="Q31" s="4" t="n"/>
      <c r="R31" s="4" t="n"/>
      <c r="S31" s="4" t="n"/>
      <c r="T31" s="4" t="n"/>
      <c r="U31" s="4" t="n"/>
      <c r="V31" s="4" t="n"/>
      <c r="W31" s="4" t="n"/>
    </row>
    <row r="32">
      <c r="A32" s="5" t="inlineStr">
        <is>
          <t>ARC-040</t>
        </is>
      </c>
      <c r="B32" s="5" t="inlineStr">
        <is>
          <t>SWEBOK</t>
        </is>
      </c>
      <c r="C32" s="4" t="inlineStr">
        <is>
          <t>4. アーキテクチャビューとビューポイント</t>
        </is>
      </c>
      <c r="D32" s="11" t="inlineStr">
        <is>
          <t>Low</t>
        </is>
      </c>
      <c r="E32" s="4" t="inlineStr">
        <is>
          <t>図の粒度が適切に統一されている</t>
        </is>
      </c>
      <c r="F32" s="4" t="inlineStr">
        <is>
          <t>1つの図の中で抽象度が混在していない(クラスレベルとシステムレベルの混在等がない)。要素数が概ね7±2〜20程度に収まるよう分割されている</t>
        </is>
      </c>
      <c r="G32" s="4" t="inlineStr">
        <is>
          <t>1枚の図に抽象度が混在すると読者が着目すべき粒度を見失い、レビューで本質的な構造問題より枝葉の指摘に時間が費やされる。</t>
        </is>
      </c>
      <c r="H32" s="4" t="inlineStr">
        <is>
          <t>実務補完(C4モデル等の図解プラクティス)+ 2.1(ビューによる複雑さの管理)</t>
        </is>
      </c>
      <c r="I32" s="4" t="inlineStr">
        <is>
          <t>CORE</t>
        </is>
      </c>
      <c r="J32" s="4" t="inlineStr">
        <is>
          <t>原則適用。案件スコープ・成果物・規制・リスク上非該当の場合はN/A根拠を記録。</t>
        </is>
      </c>
      <c r="K32" s="4" t="inlineStr">
        <is>
          <t>SRC-PRACTICE</t>
        </is>
      </c>
      <c r="L32" s="4" t="inlineStr"/>
      <c r="M32" s="4" t="n"/>
      <c r="N32" s="4" t="n"/>
      <c r="O32" s="4" t="n"/>
      <c r="P32" s="4" t="n"/>
      <c r="Q32" s="4" t="n"/>
      <c r="R32" s="4" t="n"/>
      <c r="S32" s="4" t="n"/>
      <c r="T32" s="4" t="n"/>
      <c r="U32" s="4" t="n"/>
      <c r="V32" s="4" t="n"/>
      <c r="W32" s="4" t="n"/>
    </row>
    <row r="33">
      <c r="A33" s="5" t="inlineStr">
        <is>
          <t>ARC-050</t>
        </is>
      </c>
      <c r="B33" s="5" t="inlineStr">
        <is>
          <t>SWEBOK</t>
        </is>
      </c>
      <c r="C33" s="4" t="inlineStr">
        <is>
          <t>5. アーキテクチャスタイル・パターンと構造</t>
        </is>
      </c>
      <c r="D33" s="9" t="inlineStr">
        <is>
          <t>High</t>
        </is>
      </c>
      <c r="E33" s="4" t="inlineStr">
        <is>
          <t>採用したスタイル/パターンが明記されている</t>
        </is>
      </c>
      <c r="F33" s="4" t="inlineStr">
        <is>
          <t>全体構成のアーキテクチャスタイル(レイヤード、マイクロサービス等)と主要パターンが名前付きで記載されている</t>
        </is>
      </c>
      <c r="G33" s="4" t="inlineStr">
        <is>
          <t>採用スタイル・パターンの名前を明示することは共通語彙による共有理解の基盤であり、これがないと新規参画者が構造の意図を推測で補い誤った拡張をする。</t>
        </is>
      </c>
      <c r="H33" s="4" t="inlineStr">
        <is>
          <t>swebok-v4a.pdf ch02 Software Architecture &gt; 2.2 Architecture Patterns, Styles and Reference Architectures</t>
        </is>
      </c>
      <c r="I33" s="4" t="inlineStr">
        <is>
          <t>CORE</t>
        </is>
      </c>
      <c r="J33" s="4" t="inlineStr">
        <is>
          <t>原則適用。案件スコープ・成果物・規制・リスク上非該当の場合はN/A根拠を記録。</t>
        </is>
      </c>
      <c r="K33" s="4" t="inlineStr">
        <is>
          <t>SRC-SWEBOK-V4A</t>
        </is>
      </c>
      <c r="L33" s="4" t="inlineStr"/>
      <c r="M33" s="4" t="n"/>
      <c r="N33" s="4" t="n"/>
      <c r="O33" s="4" t="n"/>
      <c r="P33" s="4" t="n"/>
      <c r="Q33" s="4" t="n"/>
      <c r="R33" s="4" t="n"/>
      <c r="S33" s="4" t="n"/>
      <c r="T33" s="4" t="n"/>
      <c r="U33" s="4" t="n"/>
      <c r="V33" s="4" t="n"/>
      <c r="W33" s="4" t="n"/>
    </row>
    <row r="34">
      <c r="A34" s="5" t="inlineStr">
        <is>
          <t>ARC-051</t>
        </is>
      </c>
      <c r="B34" s="5" t="inlineStr">
        <is>
          <t>SWEBOK</t>
        </is>
      </c>
      <c r="C34" s="4" t="inlineStr">
        <is>
          <t>5. アーキテクチャスタイル・パターンと構造</t>
        </is>
      </c>
      <c r="D34" s="9" t="inlineStr">
        <is>
          <t>High</t>
        </is>
      </c>
      <c r="E34" s="4" t="inlineStr">
        <is>
          <t>スタイル選定の根拠がASRと結び付いている</t>
        </is>
      </c>
      <c r="F34" s="4" t="inlineStr">
        <is>
          <t>採用スタイルがどのASR・品質属性に効くのかの説明があり、「流行しているから」等の根拠のない採用がない</t>
        </is>
      </c>
      <c r="G34" s="4" t="inlineStr">
        <is>
          <t>スタイルは特定の文脈の問題への解であり、ASRとの結び付きがない採用は流行追随に堕して、不要な複雑さ(例: 不必要なマイクロサービス化)のコストだけを残す。</t>
        </is>
      </c>
      <c r="H34" s="4" t="inlineStr">
        <is>
          <t>swebok-v4a.pdf ch02 Software Architecture &gt; 2.2 Architecture Patterns, Styles and Reference Architectures(文脈における問題への解)</t>
        </is>
      </c>
      <c r="I34" s="4" t="inlineStr">
        <is>
          <t>CORE</t>
        </is>
      </c>
      <c r="J34" s="4" t="inlineStr">
        <is>
          <t>原則適用。案件スコープ・成果物・規制・リスク上非該当の場合はN/A根拠を記録。</t>
        </is>
      </c>
      <c r="K34" s="4" t="inlineStr">
        <is>
          <t>SRC-SWEBOK-V4A</t>
        </is>
      </c>
      <c r="L34" s="4" t="inlineStr"/>
      <c r="M34" s="4" t="n"/>
      <c r="N34" s="4" t="n"/>
      <c r="O34" s="4" t="n"/>
      <c r="P34" s="4" t="n"/>
      <c r="Q34" s="4" t="n"/>
      <c r="R34" s="4" t="n"/>
      <c r="S34" s="4" t="n"/>
      <c r="T34" s="4" t="n"/>
      <c r="U34" s="4" t="n"/>
      <c r="V34" s="4" t="n"/>
      <c r="W34" s="4" t="n"/>
    </row>
    <row r="35">
      <c r="A35" s="5" t="inlineStr">
        <is>
          <t>ARC-052</t>
        </is>
      </c>
      <c r="B35" s="5" t="inlineStr">
        <is>
          <t>SWEBOK</t>
        </is>
      </c>
      <c r="C35" s="4" t="inlineStr">
        <is>
          <t>5. アーキテクチャスタイル・パターンと構造</t>
        </is>
      </c>
      <c r="D35" s="9" t="inlineStr">
        <is>
          <t>High</t>
        </is>
      </c>
      <c r="E35" s="4" t="inlineStr">
        <is>
          <t>依存関係の方向が規律付けられている</t>
        </is>
      </c>
      <c r="F35" s="4" t="inlineStr">
        <is>
          <t>レイヤ間・モジュール間の許可される依存方向のルールが定義されている(例: 上位層から下位層のみ、循環依存禁止)</t>
        </is>
      </c>
      <c r="G35" s="4" t="inlineStr">
        <is>
          <t>依存方向の規律がないと循環依存が蓄積してレイヤ構造が形骸化し、小さな変更が全体に波及する変更容易性の崩壊を招く。</t>
        </is>
      </c>
      <c r="H35" s="4" t="inlineStr">
        <is>
          <t>swebok-v4a.pdf ch02 Software Architecture &gt; 2.2(layeredスタイル)+ 4.4 Architecture Metrics(依存・循環性メトリクス)</t>
        </is>
      </c>
      <c r="I35" s="4" t="inlineStr">
        <is>
          <t>CORE</t>
        </is>
      </c>
      <c r="J35" s="4" t="inlineStr">
        <is>
          <t>原則適用。案件スコープ・成果物・規制・リスク上非該当の場合はN/A根拠を記録。</t>
        </is>
      </c>
      <c r="K35" s="4" t="inlineStr">
        <is>
          <t>SRC-SWEBOK-V4A</t>
        </is>
      </c>
      <c r="L35" s="4" t="inlineStr"/>
      <c r="M35" s="4" t="n"/>
      <c r="N35" s="4" t="n"/>
      <c r="O35" s="4" t="n"/>
      <c r="P35" s="4" t="n"/>
      <c r="Q35" s="4" t="n"/>
      <c r="R35" s="4" t="n"/>
      <c r="S35" s="4" t="n"/>
      <c r="T35" s="4" t="n"/>
      <c r="U35" s="4" t="n"/>
      <c r="V35" s="4" t="n"/>
      <c r="W35" s="4" t="n"/>
    </row>
    <row r="36">
      <c r="A36" s="5" t="inlineStr">
        <is>
          <t>ARC-053</t>
        </is>
      </c>
      <c r="B36" s="5" t="inlineStr">
        <is>
          <t>SWEBOK</t>
        </is>
      </c>
      <c r="C36" s="4" t="inlineStr">
        <is>
          <t>5. アーキテクチャスタイル・パターンと構造</t>
        </is>
      </c>
      <c r="D36" s="10" t="inlineStr">
        <is>
          <t>Medium</t>
        </is>
      </c>
      <c r="E36" s="4" t="inlineStr">
        <is>
          <t>関心の分離が保たれている</t>
        </is>
      </c>
      <c r="F36" s="4" t="inlineStr">
        <is>
          <t>横断的関心事(認証、ログ、監査等)の実現方法が定義され、業務ロジックとの分離方針が示されている</t>
        </is>
      </c>
      <c r="G36" s="4" t="inlineStr">
        <is>
          <t>横断的関心事の実現方法を決めないと、認証・ログが各コンポーネントにバラバラに実装され、Dijkstraのいう関心の分離が失われて監査・変更が困難になる。</t>
        </is>
      </c>
      <c r="H36" s="4" t="inlineStr">
        <is>
          <t>swebok-v4a.pdf ch02 Software Architecture &gt; 1.2 Stakeholders and Concerns(separation of concerns)</t>
        </is>
      </c>
      <c r="I36" s="4" t="inlineStr">
        <is>
          <t>CORE</t>
        </is>
      </c>
      <c r="J36" s="4" t="inlineStr">
        <is>
          <t>原則適用。案件スコープ・成果物・規制・リスク上非該当の場合はN/A根拠を記録。</t>
        </is>
      </c>
      <c r="K36" s="4" t="inlineStr">
        <is>
          <t>SRC-SWEBOK-V4A</t>
        </is>
      </c>
      <c r="L36" s="4" t="inlineStr"/>
      <c r="M36" s="4" t="n"/>
      <c r="N36" s="4" t="n"/>
      <c r="O36" s="4" t="n"/>
      <c r="P36" s="4" t="n"/>
      <c r="Q36" s="4" t="n"/>
      <c r="R36" s="4" t="n"/>
      <c r="S36" s="4" t="n"/>
      <c r="T36" s="4" t="n"/>
      <c r="U36" s="4" t="n"/>
      <c r="V36" s="4" t="n"/>
      <c r="W36" s="4" t="n"/>
    </row>
    <row r="37">
      <c r="A37" s="5" t="inlineStr">
        <is>
          <t>ARC-054</t>
        </is>
      </c>
      <c r="B37" s="5" t="inlineStr">
        <is>
          <t>SWEBOK</t>
        </is>
      </c>
      <c r="C37" s="4" t="inlineStr">
        <is>
          <t>5. アーキテクチャスタイル・パターンと構造</t>
        </is>
      </c>
      <c r="D37" s="10" t="inlineStr">
        <is>
          <t>Medium</t>
        </is>
      </c>
      <c r="E37" s="4" t="inlineStr">
        <is>
          <t>リファレンスアーキテクチャとの関係が明示されている</t>
        </is>
      </c>
      <c r="F37" s="4" t="inlineStr">
        <is>
          <t>組織・ドメインのリファレンスアーキテクチャが存在する場合、準拠箇所と逸脱箇所(および逸脱の承認)が記録されている</t>
        </is>
      </c>
      <c r="G37" s="4" t="inlineStr">
        <is>
          <t>リファレンスアーキテクチャは他のアーキテクチャを制約・誘導するものであり、無断逸脱は組織標準との相互運用性喪失や統制上の指摘につながる。</t>
        </is>
      </c>
      <c r="H37" s="4" t="inlineStr">
        <is>
          <t>swebok-v4a.pdf ch02 Software Architecture &gt; 2.2 Architecture Patterns, Styles and Reference Architectures(RA)</t>
        </is>
      </c>
      <c r="I37" s="4" t="inlineStr">
        <is>
          <t>CORE</t>
        </is>
      </c>
      <c r="J37" s="4" t="inlineStr">
        <is>
          <t>原則適用。案件スコープ・成果物・規制・リスク上非該当の場合はN/A根拠を記録。</t>
        </is>
      </c>
      <c r="K37" s="4" t="inlineStr">
        <is>
          <t>SRC-SWEBOK-V4A</t>
        </is>
      </c>
      <c r="L37" s="4" t="inlineStr"/>
      <c r="M37" s="4" t="n"/>
      <c r="N37" s="4" t="n"/>
      <c r="O37" s="4" t="n"/>
      <c r="P37" s="4" t="n"/>
      <c r="Q37" s="4" t="n"/>
      <c r="R37" s="4" t="n"/>
      <c r="S37" s="4" t="n"/>
      <c r="T37" s="4" t="n"/>
      <c r="U37" s="4" t="n"/>
      <c r="V37" s="4" t="n"/>
      <c r="W37" s="4" t="n"/>
    </row>
    <row r="38">
      <c r="A38" s="5" t="inlineStr">
        <is>
          <t>ARC-055</t>
        </is>
      </c>
      <c r="B38" s="5" t="inlineStr">
        <is>
          <t>SWEBOK</t>
        </is>
      </c>
      <c r="C38" s="4" t="inlineStr">
        <is>
          <t>5. アーキテクチャスタイル・パターンと構造</t>
        </is>
      </c>
      <c r="D38" s="10" t="inlineStr">
        <is>
          <t>Medium</t>
        </is>
      </c>
      <c r="E38" s="4" t="inlineStr">
        <is>
          <t>変更が想定される箇所が局所化されている</t>
        </is>
      </c>
      <c r="F38" s="4" t="inlineStr">
        <is>
          <t>変化しやすい要素(外部サービス、UI、規制対応ロジック等)が特定され、変更の影響を閉じ込める構造(抽象化・インタフェース分離)が説明されている</t>
        </is>
      </c>
      <c r="G38" s="4" t="inlineStr">
        <is>
          <t>変化しやすい要素を局所化しないと外部サービス仕様変更やUI刷新のたびに広範囲の改修が必要になり、進化性という『良さ』の基準を満たせない。</t>
        </is>
      </c>
      <c r="H38" s="4" t="inlineStr">
        <is>
          <t>swebok-v4a.pdf ch02 Software Architecture &gt; 4.1 "Goodness" in Architecture(進化への頑健性)+ 実務補完(変更容易性の戦術)</t>
        </is>
      </c>
      <c r="I38" s="4" t="inlineStr">
        <is>
          <t>CORE</t>
        </is>
      </c>
      <c r="J38" s="4" t="inlineStr">
        <is>
          <t>原則適用。案件スコープ・成果物・規制・リスク上非該当の場合はN/A根拠を記録。</t>
        </is>
      </c>
      <c r="K38" s="4" t="inlineStr">
        <is>
          <t>SRC-SWEBOK-V4A;SRC-PRACTICE</t>
        </is>
      </c>
      <c r="L38" s="4" t="inlineStr"/>
      <c r="M38" s="4" t="n"/>
      <c r="N38" s="4" t="n"/>
      <c r="O38" s="4" t="n"/>
      <c r="P38" s="4" t="n"/>
      <c r="Q38" s="4" t="n"/>
      <c r="R38" s="4" t="n"/>
      <c r="S38" s="4" t="n"/>
      <c r="T38" s="4" t="n"/>
      <c r="U38" s="4" t="n"/>
      <c r="V38" s="4" t="n"/>
      <c r="W38" s="4" t="n"/>
    </row>
    <row r="39">
      <c r="A39" s="5" t="inlineStr">
        <is>
          <t>ARC-056</t>
        </is>
      </c>
      <c r="B39" s="5" t="inlineStr">
        <is>
          <t>SWEBOK</t>
        </is>
      </c>
      <c r="C39" s="4" t="inlineStr">
        <is>
          <t>5. アーキテクチャスタイル・パターンと構造</t>
        </is>
      </c>
      <c r="D39" s="11" t="inlineStr">
        <is>
          <t>Low</t>
        </is>
      </c>
      <c r="E39" s="4" t="inlineStr">
        <is>
          <t>パターンの適用範囲が正しく限定されている</t>
        </is>
      </c>
      <c r="F39" s="4" t="inlineStr">
        <is>
          <t>システム全体スタイルと局所パターンが区別され、局所パターンをシステム全体の説明として誤用していない</t>
        </is>
      </c>
      <c r="G39" s="4" t="inlineStr">
        <is>
          <t>スタイル(全体)とパターン(局所)の区別を誤ると、システムの一部の解法を全体の説明として流用し、読者に実態と異なる全体像を植え付ける。</t>
        </is>
      </c>
      <c r="H39" s="4" t="inlineStr">
        <is>
          <t>swebok-v4a.pdf ch02 Software Architecture &gt; 2.2 Architecture Patterns, Styles and Reference Architectures(スタイルとパターンのスコープの違い)</t>
        </is>
      </c>
      <c r="I39" s="4" t="inlineStr">
        <is>
          <t>CORE</t>
        </is>
      </c>
      <c r="J39" s="4" t="inlineStr">
        <is>
          <t>原則適用。案件スコープ・成果物・規制・リスク上非該当の場合はN/A根拠を記録。</t>
        </is>
      </c>
      <c r="K39" s="4" t="inlineStr">
        <is>
          <t>SRC-SWEBOK-V4A</t>
        </is>
      </c>
      <c r="L39" s="4" t="inlineStr"/>
      <c r="M39" s="4" t="n"/>
      <c r="N39" s="4" t="n"/>
      <c r="O39" s="4" t="n"/>
      <c r="P39" s="4" t="n"/>
      <c r="Q39" s="4" t="n"/>
      <c r="R39" s="4" t="n"/>
      <c r="S39" s="4" t="n"/>
      <c r="T39" s="4" t="n"/>
      <c r="U39" s="4" t="n"/>
      <c r="V39" s="4" t="n"/>
      <c r="W39" s="4" t="n"/>
    </row>
    <row r="40">
      <c r="A40" s="5" t="inlineStr">
        <is>
          <t>ARC-901</t>
        </is>
      </c>
      <c r="B40" s="5" t="inlineStr">
        <is>
          <t>追加承認</t>
        </is>
      </c>
      <c r="C40" s="4" t="inlineStr">
        <is>
          <t>5. アーキテクチャスタイル・パターンと構造</t>
        </is>
      </c>
      <c r="D40" s="10" t="inlineStr">
        <is>
          <t>Medium</t>
        </is>
      </c>
      <c r="E40" s="4" t="inlineStr">
        <is>
          <t>再利用・派生開発における共通性と可変性が設計されている</t>
        </is>
      </c>
      <c r="F40" s="4" t="inlineStr">
        <is>
          <t>複数製品・複数環境への展開やコンポーネント再利用が想定される場合、共通部分と可変点(バリエーションポイント)が識別され、可変性を吸収する機構(設定、プラグイン、プロダクトライン基盤等)が記述されている。想定されない場合はその旨が明記されている</t>
        </is>
      </c>
      <c r="G40" s="4" t="inlineStr">
        <is>
          <t>共通性と可変性を設計せずに複数製品へ展開すると、コピー&amp;改変による派生コードが乱立し、同一不具合の多重修正など保守コストが際限なく増大する。</t>
        </is>
      </c>
      <c r="H40" s="4" t="inlineStr">
        <is>
          <t>swebok-v4a.pdf ch02 Software Architecture &gt; 1.3 Uses of Architecture — 再利用・プロダクトライン(共通性と可変性の設計)</t>
        </is>
      </c>
      <c r="I40" s="4" t="inlineStr">
        <is>
          <t>CORE</t>
        </is>
      </c>
      <c r="J40" s="4" t="inlineStr">
        <is>
          <t>原則適用。案件スコープ・成果物・規制・リスク上非該当の場合はN/A根拠を記録。</t>
        </is>
      </c>
      <c r="K40" s="4" t="inlineStr">
        <is>
          <t>SRC-SWEBOK-V4A</t>
        </is>
      </c>
      <c r="L40" s="4" t="inlineStr"/>
      <c r="M40" s="4" t="n"/>
      <c r="N40" s="4" t="n"/>
      <c r="O40" s="4" t="n"/>
      <c r="P40" s="4" t="n"/>
      <c r="Q40" s="4" t="n"/>
      <c r="R40" s="4" t="n"/>
      <c r="S40" s="4" t="n"/>
      <c r="T40" s="4" t="n"/>
      <c r="U40" s="4" t="n"/>
      <c r="V40" s="4" t="n"/>
      <c r="W40" s="4" t="n"/>
    </row>
    <row r="41">
      <c r="A41" s="12" t="inlineStr">
        <is>
          <t>ARC-CG01</t>
        </is>
      </c>
      <c r="B41" s="12" t="inlineStr">
        <is>
          <t>クラウド補完</t>
        </is>
      </c>
      <c r="C41" s="13" t="inlineStr">
        <is>
          <t>5. アーキテクチャスタイル・パターンと構造</t>
        </is>
      </c>
      <c r="D41" s="10" t="inlineStr">
        <is>
          <t>Medium</t>
        </is>
      </c>
      <c r="E41" s="13" t="inlineStr">
        <is>
          <t>スケールが必要なコンポーネントについてステートレス設計が検討されている</t>
        </is>
      </c>
      <c r="F41" s="13" t="inlineStr">
        <is>
          <t>状態を持つ/持たないコンポーネントが識別され、スケール対象について状態の外部化(共有ストア等)の設計判断が記録されている</t>
        </is>
      </c>
      <c r="G41" s="13" t="inlineStr">
        <is>
          <t>状態管理の設計を曖昧にすると、後からのスケールアウト対応が大規模な作り直しになる。</t>
        </is>
      </c>
      <c r="H41" s="13" t="inlineStr">
        <is>
          <t>Google Cloud Well-Architected Framework &gt; 信頼性 &gt; Take advantage of horizontal scalability &gt; Implement a stateless design</t>
        </is>
      </c>
      <c r="I41" s="13" t="inlineStr">
        <is>
          <t>CORE</t>
        </is>
      </c>
      <c r="J41" s="13" t="inlineStr">
        <is>
          <t>原則適用。案件スコープ・成果物・規制・リスク上非該当の場合はN/A根拠を記録。</t>
        </is>
      </c>
      <c r="K41" s="13" t="inlineStr">
        <is>
          <t>SRC-GCP-WAF</t>
        </is>
      </c>
      <c r="L41" s="13" t="inlineStr"/>
      <c r="M41" s="13" t="n"/>
      <c r="N41" s="13" t="n"/>
      <c r="O41" s="13" t="n"/>
      <c r="P41" s="13" t="n"/>
      <c r="Q41" s="13" t="n"/>
      <c r="R41" s="13" t="n"/>
      <c r="S41" s="13" t="n"/>
      <c r="T41" s="13" t="n"/>
      <c r="U41" s="13" t="n"/>
      <c r="V41" s="13" t="n"/>
      <c r="W41" s="13" t="n"/>
    </row>
    <row r="42">
      <c r="A42" s="12" t="inlineStr">
        <is>
          <t>ARC-CZ01</t>
        </is>
      </c>
      <c r="B42" s="12" t="inlineStr">
        <is>
          <t>クラウド補完</t>
        </is>
      </c>
      <c r="C42" s="13" t="inlineStr">
        <is>
          <t>5. アーキテクチャスタイル・パターンと構造</t>
        </is>
      </c>
      <c r="D42" s="10" t="inlineStr">
        <is>
          <t>Medium</t>
        </is>
      </c>
      <c r="E42" s="13" t="inlineStr">
        <is>
          <t>スケールユニット(共に増減するリソースのまとまり)が設計され、成長時の拡張単位(Deployment Stamps等)としてアーキテクチャ記述に明記されている</t>
        </is>
      </c>
      <c r="F42" s="13" t="inlineStr">
        <is>
          <t>アーキテクチャ記述書にスケールユニットの構成要素・拡張増分・上限が定義されている</t>
        </is>
      </c>
      <c r="G42" s="13" t="inlineStr">
        <is>
          <t>拡張単位が未定義だと、成長時に個別リソースの場当たり的増強となり、整合の取れないスケールで性能・信頼性が劣化する。</t>
        </is>
      </c>
      <c r="H42" s="13" t="inlineStr">
        <is>
          <t>Azure Well-Architected Framework &gt; パフォーマンス効率の柱 &gt; PE:05 (Optimizing scaling and partitioning &gt; scale unit design / Deployment Stamps pattern)</t>
        </is>
      </c>
      <c r="I42" s="13" t="inlineStr">
        <is>
          <t>CORE</t>
        </is>
      </c>
      <c r="J42" s="13" t="inlineStr">
        <is>
          <t>原則適用。案件スコープ・成果物・規制・リスク上非該当の場合はN/A根拠を記録。</t>
        </is>
      </c>
      <c r="K42" s="13" t="inlineStr">
        <is>
          <t>SRC-AZR-WAF</t>
        </is>
      </c>
      <c r="L42" s="13" t="inlineStr"/>
      <c r="M42" s="13" t="n"/>
      <c r="N42" s="13" t="n"/>
      <c r="O42" s="13" t="n"/>
      <c r="P42" s="13" t="n"/>
      <c r="Q42" s="13" t="n"/>
      <c r="R42" s="13" t="n"/>
      <c r="S42" s="13" t="n"/>
      <c r="T42" s="13" t="n"/>
      <c r="U42" s="13" t="n"/>
      <c r="V42" s="13" t="n"/>
      <c r="W42" s="13" t="n"/>
    </row>
    <row r="43">
      <c r="A43" s="5" t="inlineStr">
        <is>
          <t>ARC-060</t>
        </is>
      </c>
      <c r="B43" s="5" t="inlineStr">
        <is>
          <t>SWEBOK</t>
        </is>
      </c>
      <c r="C43" s="4" t="inlineStr">
        <is>
          <t>6. アーキテクチャ意思決定(ADR)と根拠</t>
        </is>
      </c>
      <c r="D43" s="8" t="inlineStr">
        <is>
          <t>Critical</t>
        </is>
      </c>
      <c r="E43" s="4" t="inlineStr">
        <is>
          <t>重要な意思決定がADRとして記録されている</t>
        </is>
      </c>
      <c r="F43" s="4" t="inlineStr">
        <is>
          <t>アーキテクチャに影響する主要決定(スタイル選定、主要技術選定、データ管理方針等)がそれぞれ識別子付きのADRとして存在する</t>
        </is>
      </c>
      <c r="G43" s="4" t="inlineStr">
        <is>
          <t>アーキテクチャは重要決定のネットワークとして捉えられ、決定を記録しないと後任者が理由不明の構造を壊す変更を加え、過去に棄却済みの悪手を繰り返す。</t>
        </is>
      </c>
      <c r="H43" s="4" t="inlineStr">
        <is>
          <t>swebok-v4a.pdf ch02 Software Architecture &gt; 2.4 Architecture as Significant Decisions</t>
        </is>
      </c>
      <c r="I43" s="4" t="inlineStr">
        <is>
          <t>CORE</t>
        </is>
      </c>
      <c r="J43" s="4" t="inlineStr">
        <is>
          <t>原則適用。案件スコープ・成果物・規制・リスク上非該当の場合はN/A根拠を記録。</t>
        </is>
      </c>
      <c r="K43" s="4" t="inlineStr">
        <is>
          <t>SRC-SWEBOK-V4A;SRC-CIS</t>
        </is>
      </c>
      <c r="L43" s="4" t="inlineStr">
        <is>
          <t>CONTINUITY-DR</t>
        </is>
      </c>
      <c r="M43" s="4" t="n"/>
      <c r="N43" s="4" t="n"/>
      <c r="O43" s="4" t="n"/>
      <c r="P43" s="4" t="n"/>
      <c r="Q43" s="4" t="n"/>
      <c r="R43" s="4" t="n"/>
      <c r="S43" s="4" t="n"/>
      <c r="T43" s="4" t="n"/>
      <c r="U43" s="4" t="n"/>
      <c r="V43" s="4" t="n"/>
      <c r="W43" s="4" t="n"/>
    </row>
    <row r="44">
      <c r="A44" s="5" t="inlineStr">
        <is>
          <t>ARC-061</t>
        </is>
      </c>
      <c r="B44" s="5" t="inlineStr">
        <is>
          <t>SWEBOK</t>
        </is>
      </c>
      <c r="C44" s="4" t="inlineStr">
        <is>
          <t>6. アーキテクチャ意思決定(ADR)と根拠</t>
        </is>
      </c>
      <c r="D44" s="8" t="inlineStr">
        <is>
          <t>Critical</t>
        </is>
      </c>
      <c r="E44" s="4" t="inlineStr">
        <is>
          <t>各ADRに検討した代替案が記載されている</t>
        </is>
      </c>
      <c r="F44" s="4" t="inlineStr">
        <is>
          <t>各ADRに採用案以外の代替案が1つ以上、利点・欠点とともに記載されている。代替案なしのADRがない</t>
        </is>
      </c>
      <c r="G44" s="4" t="inlineStr">
        <is>
          <t>検討した代替案と棄却理由の記録は、忘れられた理由で棄却済みの案を将来再び選ぶ事故を防ぎ、条件変化時に決定を再検討する材料になる。</t>
        </is>
      </c>
      <c r="H44" s="4" t="inlineStr">
        <is>
          <t>swebok-v4a.pdf ch02 Software Architecture &gt; 2.4 Architecture as Significant Decisions(rationale: 検討した代替案・棄却理由の記録)</t>
        </is>
      </c>
      <c r="I44" s="4" t="inlineStr">
        <is>
          <t>CORE</t>
        </is>
      </c>
      <c r="J44" s="4" t="inlineStr">
        <is>
          <t>原則適用。案件スコープ・成果物・規制・リスク上非該当の場合はN/A根拠を記録。</t>
        </is>
      </c>
      <c r="K44" s="4" t="inlineStr">
        <is>
          <t>SRC-SWEBOK-V4A;SRC-CIS</t>
        </is>
      </c>
      <c r="L44" s="4" t="inlineStr">
        <is>
          <t>CONTINUITY-DR</t>
        </is>
      </c>
      <c r="M44" s="4" t="n"/>
      <c r="N44" s="4" t="n"/>
      <c r="O44" s="4" t="n"/>
      <c r="P44" s="4" t="n"/>
      <c r="Q44" s="4" t="n"/>
      <c r="R44" s="4" t="n"/>
      <c r="S44" s="4" t="n"/>
      <c r="T44" s="4" t="n"/>
      <c r="U44" s="4" t="n"/>
      <c r="V44" s="4" t="n"/>
      <c r="W44" s="4" t="n"/>
    </row>
    <row r="45">
      <c r="A45" s="5" t="inlineStr">
        <is>
          <t>ARC-062</t>
        </is>
      </c>
      <c r="B45" s="5" t="inlineStr">
        <is>
          <t>SWEBOK</t>
        </is>
      </c>
      <c r="C45" s="4" t="inlineStr">
        <is>
          <t>6. アーキテクチャ意思決定(ADR)と根拠</t>
        </is>
      </c>
      <c r="D45" s="8" t="inlineStr">
        <is>
          <t>Critical</t>
        </is>
      </c>
      <c r="E45" s="4" t="inlineStr">
        <is>
          <t>決定の根拠(rationale)とトレードオフが記録されている</t>
        </is>
      </c>
      <c r="F45" s="4" t="inlineStr">
        <is>
          <t>各ADRに「なぜこの案か」の理由と、犠牲にした特性(トレードオフ)が明記されている</t>
        </is>
      </c>
      <c r="G45" s="4" t="inlineStr">
        <is>
          <t>品質属性間のトレードオフこそ設計決定の基盤であり、根拠と犠牲にした特性が残っていないと、決定の妥当性を評価も再検討もできない。</t>
        </is>
      </c>
      <c r="H45" s="4" t="inlineStr">
        <is>
          <t>swebok-v4a.pdf ch02 Software Architecture &gt; 2.4 Architecture as Significant Decisions(rationale、品質属性間のトレードオフ)</t>
        </is>
      </c>
      <c r="I45" s="4" t="inlineStr">
        <is>
          <t>CORE</t>
        </is>
      </c>
      <c r="J45" s="4" t="inlineStr">
        <is>
          <t>原則適用。案件スコープ・成果物・規制・リスク上非該当の場合はN/A根拠を記録。</t>
        </is>
      </c>
      <c r="K45" s="4" t="inlineStr">
        <is>
          <t>SRC-SWEBOK-V4A;SRC-CIS</t>
        </is>
      </c>
      <c r="L45" s="4" t="inlineStr">
        <is>
          <t>CONTINUITY-DR</t>
        </is>
      </c>
      <c r="M45" s="4" t="n"/>
      <c r="N45" s="4" t="n"/>
      <c r="O45" s="4" t="n"/>
      <c r="P45" s="4" t="n"/>
      <c r="Q45" s="4" t="n"/>
      <c r="R45" s="4" t="n"/>
      <c r="S45" s="4" t="n"/>
      <c r="T45" s="4" t="n"/>
      <c r="U45" s="4" t="n"/>
      <c r="V45" s="4" t="n"/>
      <c r="W45" s="4" t="n"/>
    </row>
    <row r="46">
      <c r="A46" s="5" t="inlineStr">
        <is>
          <t>ARC-063</t>
        </is>
      </c>
      <c r="B46" s="5" t="inlineStr">
        <is>
          <t>SWEBOK</t>
        </is>
      </c>
      <c r="C46" s="4" t="inlineStr">
        <is>
          <t>6. アーキテクチャ意思決定(ADR)と根拠</t>
        </is>
      </c>
      <c r="D46" s="9" t="inlineStr">
        <is>
          <t>High</t>
        </is>
      </c>
      <c r="E46" s="4" t="inlineStr">
        <is>
          <t>ADRにステータスと日付・決定者がある</t>
        </is>
      </c>
      <c r="F46" s="4" t="inlineStr">
        <is>
          <t>各ADRにステータス(提案/承認/廃止/置換)、日付、決定者または合意した関係者が記載されている</t>
        </is>
      </c>
      <c r="G46" s="4" t="inlineStr">
        <is>
          <t>ステータス・日付・決定者がないと、その決定が現在有効か廃止済みかを判別できず、無効な決定に基づく実装や責任の所在不明を招く。</t>
        </is>
      </c>
      <c r="H46" s="4" t="inlineStr">
        <is>
          <t>swebok-v4a.pdf ch02 Software Architecture &gt; 2.4 Architecture as Significant Decisions + 実務補完(ADRテンプレート)</t>
        </is>
      </c>
      <c r="I46" s="4" t="inlineStr">
        <is>
          <t>CORE</t>
        </is>
      </c>
      <c r="J46" s="4" t="inlineStr">
        <is>
          <t>原則適用。案件スコープ・成果物・規制・リスク上非該当の場合はN/A根拠を記録。</t>
        </is>
      </c>
      <c r="K46" s="4" t="inlineStr">
        <is>
          <t>SRC-SWEBOK-V4A;SRC-CIS;SRC-PRACTICE</t>
        </is>
      </c>
      <c r="L46" s="4" t="inlineStr">
        <is>
          <t>CONTINUITY-DR</t>
        </is>
      </c>
      <c r="M46" s="4" t="n"/>
      <c r="N46" s="4" t="n"/>
      <c r="O46" s="4" t="n"/>
      <c r="P46" s="4" t="n"/>
      <c r="Q46" s="4" t="n"/>
      <c r="R46" s="4" t="n"/>
      <c r="S46" s="4" t="n"/>
      <c r="T46" s="4" t="n"/>
      <c r="U46" s="4" t="n"/>
      <c r="V46" s="4" t="n"/>
      <c r="W46" s="4" t="n"/>
    </row>
    <row r="47">
      <c r="A47" s="5" t="inlineStr">
        <is>
          <t>ARC-064</t>
        </is>
      </c>
      <c r="B47" s="5" t="inlineStr">
        <is>
          <t>SWEBOK</t>
        </is>
      </c>
      <c r="C47" s="4" t="inlineStr">
        <is>
          <t>6. アーキテクチャ意思決定(ADR)と根拠</t>
        </is>
      </c>
      <c r="D47" s="9" t="inlineStr">
        <is>
          <t>High</t>
        </is>
      </c>
      <c r="E47" s="4" t="inlineStr">
        <is>
          <t>ADRが対応するASR・制約に紐付いている</t>
        </is>
      </c>
      <c r="F47" s="4" t="inlineStr">
        <is>
          <t>各ADRのコンテキスト欄に、関連するASR・関心事・制約への参照がある</t>
        </is>
      </c>
      <c r="G47" s="4" t="inlineStr">
        <is>
          <t>決定がどの関心事・要求・制約に応えるものかが不明だと、要求変更時にどの決定を見直すべきか特定できず、影響分析が総当たりになる。</t>
        </is>
      </c>
      <c r="H47" s="4" t="inlineStr">
        <is>
          <t>swebok-v4a.pdf ch02 Software Architecture &gt; 2.4 Architecture as Significant Decisions(関心事・要求・資源が決定に影響)</t>
        </is>
      </c>
      <c r="I47" s="4" t="inlineStr">
        <is>
          <t>CORE</t>
        </is>
      </c>
      <c r="J47" s="4" t="inlineStr">
        <is>
          <t>原則適用。案件スコープ・成果物・規制・リスク上非該当の場合はN/A根拠を記録。</t>
        </is>
      </c>
      <c r="K47" s="4" t="inlineStr">
        <is>
          <t>SRC-SWEBOK-V4A;SRC-CIS</t>
        </is>
      </c>
      <c r="L47" s="4" t="inlineStr">
        <is>
          <t>CONTINUITY-DR</t>
        </is>
      </c>
      <c r="M47" s="4" t="n"/>
      <c r="N47" s="4" t="n"/>
      <c r="O47" s="4" t="n"/>
      <c r="P47" s="4" t="n"/>
      <c r="Q47" s="4" t="n"/>
      <c r="R47" s="4" t="n"/>
      <c r="S47" s="4" t="n"/>
      <c r="T47" s="4" t="n"/>
      <c r="U47" s="4" t="n"/>
      <c r="V47" s="4" t="n"/>
      <c r="W47" s="4" t="n"/>
    </row>
    <row r="48">
      <c r="A48" s="5" t="inlineStr">
        <is>
          <t>ARC-065</t>
        </is>
      </c>
      <c r="B48" s="5" t="inlineStr">
        <is>
          <t>SWEBOK</t>
        </is>
      </c>
      <c r="C48" s="4" t="inlineStr">
        <is>
          <t>6. アーキテクチャ意思決定(ADR)と根拠</t>
        </is>
      </c>
      <c r="D48" s="9" t="inlineStr">
        <is>
          <t>High</t>
        </is>
      </c>
      <c r="E48" s="4" t="inlineStr">
        <is>
          <t>意図的な技術的負債が記録されている</t>
        </is>
      </c>
      <c r="F48" s="4" t="inlineStr">
        <is>
          <t>期限・コスト都合で引き受けた妥協が、将来影響と返済方針(いつ・何をトリガーに解消するか)とともに記録されている。負債ゼロの場合はその旨の確認記録がある</t>
        </is>
      </c>
      <c r="G48" s="4" t="inlineStr">
        <is>
          <t>アーキテクチャ上の技術的負債は将来他者が支払うことになる経済的影響を持つため、記録しないと返済されないまま保守性・進化性を静かに侵食する。</t>
        </is>
      </c>
      <c r="H48" s="4" t="inlineStr">
        <is>
          <t>swebok-v4a.pdf ch02 Software Architecture &gt; 2.4 Architecture as Significant Decisions(architectural technical debt)</t>
        </is>
      </c>
      <c r="I48" s="4" t="inlineStr">
        <is>
          <t>CORE</t>
        </is>
      </c>
      <c r="J48" s="4" t="inlineStr">
        <is>
          <t>原則適用。案件スコープ・成果物・規制・リスク上非該当の場合はN/A根拠を記録。</t>
        </is>
      </c>
      <c r="K48" s="4" t="inlineStr">
        <is>
          <t>SRC-SWEBOK-V4A;SRC-CIS</t>
        </is>
      </c>
      <c r="L48" s="4" t="inlineStr">
        <is>
          <t>CONTINUITY-DR</t>
        </is>
      </c>
      <c r="M48" s="4" t="n"/>
      <c r="N48" s="4" t="n"/>
      <c r="O48" s="4" t="n"/>
      <c r="P48" s="4" t="n"/>
      <c r="Q48" s="4" t="n"/>
      <c r="R48" s="4" t="n"/>
      <c r="S48" s="4" t="n"/>
      <c r="T48" s="4" t="n"/>
      <c r="U48" s="4" t="n"/>
      <c r="V48" s="4" t="n"/>
      <c r="W48" s="4" t="n"/>
    </row>
    <row r="49">
      <c r="A49" s="5" t="inlineStr">
        <is>
          <t>ARC-066</t>
        </is>
      </c>
      <c r="B49" s="5" t="inlineStr">
        <is>
          <t>SWEBOK</t>
        </is>
      </c>
      <c r="C49" s="4" t="inlineStr">
        <is>
          <t>6. アーキテクチャ意思決定(ADR)と根拠</t>
        </is>
      </c>
      <c r="D49" s="10" t="inlineStr">
        <is>
          <t>Medium</t>
        </is>
      </c>
      <c r="E49" s="4" t="inlineStr">
        <is>
          <t>廃止・置換されたADRが追跡できる</t>
        </is>
      </c>
      <c r="F49" s="4" t="inlineStr">
        <is>
          <t>置換されたADRが削除されず「置換」ステータスで残り、後継ADRへの参照を持つ</t>
        </is>
      </c>
      <c r="G49" s="4" t="inlineStr">
        <is>
          <t>置換された決定を消してしまうと決定のネットワーク(派生関係)の履歴が失われ、なぜ現在の構造に至ったかを追跡できなくなる。</t>
        </is>
      </c>
      <c r="H49" s="4" t="inlineStr">
        <is>
          <t>swebok-v4a.pdf ch02 Software Architecture &gt; 2.4 Architecture as Significant Decisions(決定のネットワーク、棄却決定の保存)</t>
        </is>
      </c>
      <c r="I49" s="4" t="inlineStr">
        <is>
          <t>CORE</t>
        </is>
      </c>
      <c r="J49" s="4" t="inlineStr">
        <is>
          <t>原則適用。案件スコープ・成果物・規制・リスク上非該当の場合はN/A根拠を記録。</t>
        </is>
      </c>
      <c r="K49" s="4" t="inlineStr">
        <is>
          <t>SRC-SWEBOK-V4A;SRC-CIS</t>
        </is>
      </c>
      <c r="L49" s="4" t="inlineStr">
        <is>
          <t>CONTINUITY-DR</t>
        </is>
      </c>
      <c r="M49" s="4" t="n"/>
      <c r="N49" s="4" t="n"/>
      <c r="O49" s="4" t="n"/>
      <c r="P49" s="4" t="n"/>
      <c r="Q49" s="4" t="n"/>
      <c r="R49" s="4" t="n"/>
      <c r="S49" s="4" t="n"/>
      <c r="T49" s="4" t="n"/>
      <c r="U49" s="4" t="n"/>
      <c r="V49" s="4" t="n"/>
      <c r="W49" s="4" t="n"/>
    </row>
    <row r="50">
      <c r="A50" s="5" t="inlineStr">
        <is>
          <t>ARC-067</t>
        </is>
      </c>
      <c r="B50" s="5" t="inlineStr">
        <is>
          <t>SWEBOK</t>
        </is>
      </c>
      <c r="C50" s="4" t="inlineStr">
        <is>
          <t>6. アーキテクチャ意思決定(ADR)と根拠</t>
        </is>
      </c>
      <c r="D50" s="10" t="inlineStr">
        <is>
          <t>Medium</t>
        </is>
      </c>
      <c r="E50" s="4" t="inlineStr">
        <is>
          <t>決定の影響(正負両面)が記載されている</t>
        </is>
      </c>
      <c r="F50" s="4" t="inlineStr">
        <is>
          <t>各ADRに、決定によって生じる正の影響と負の影響・新たな制約が記載されている</t>
        </is>
      </c>
      <c r="G50" s="4" t="inlineStr">
        <is>
          <t>決定は後続の開発プロセスとシステムに深い影響を及ぼすため、負の影響・新たな制約を明示しないと、副作用が想定外の障害として下流工程を直撃する。</t>
        </is>
      </c>
      <c r="H50" s="4" t="inlineStr">
        <is>
          <t>swebok-v4a.pdf ch02 Software Architecture &gt; 2.4 Architecture as Significant Decisions(決定の帰結)</t>
        </is>
      </c>
      <c r="I50" s="4" t="inlineStr">
        <is>
          <t>CORE</t>
        </is>
      </c>
      <c r="J50" s="4" t="inlineStr">
        <is>
          <t>原則適用。案件スコープ・成果物・規制・リスク上非該当の場合はN/A根拠を記録。</t>
        </is>
      </c>
      <c r="K50" s="4" t="inlineStr">
        <is>
          <t>SRC-SWEBOK-V4A;SRC-CIS</t>
        </is>
      </c>
      <c r="L50" s="4" t="inlineStr">
        <is>
          <t>CONTINUITY-DR</t>
        </is>
      </c>
      <c r="M50" s="4" t="n"/>
      <c r="N50" s="4" t="n"/>
      <c r="O50" s="4" t="n"/>
      <c r="P50" s="4" t="n"/>
      <c r="Q50" s="4" t="n"/>
      <c r="R50" s="4" t="n"/>
      <c r="S50" s="4" t="n"/>
      <c r="T50" s="4" t="n"/>
      <c r="U50" s="4" t="n"/>
      <c r="V50" s="4" t="n"/>
      <c r="W50" s="4" t="n"/>
    </row>
    <row r="51">
      <c r="A51" s="5" t="inlineStr">
        <is>
          <t>ARC-070</t>
        </is>
      </c>
      <c r="B51" s="5" t="inlineStr">
        <is>
          <t>SWEBOK</t>
        </is>
      </c>
      <c r="C51" s="4" t="inlineStr">
        <is>
          <t>7. 品質特性シナリオと品質属性</t>
        </is>
      </c>
      <c r="D51" s="8" t="inlineStr">
        <is>
          <t>Critical</t>
        </is>
      </c>
      <c r="E51" s="4" t="inlineStr">
        <is>
          <t>優先度の高い品質属性がシナリオ化されている</t>
        </is>
      </c>
      <c r="F51" s="4" t="inlineStr">
        <is>
          <t>優先度「高」の品質属性それぞれについて、品質特性シナリオが少なくとも1つ作成されている</t>
        </is>
      </c>
      <c r="G51" s="4" t="inlineStr">
        <is>
          <t>高優先の品質属性をシナリオ化しないと「高可用」「高性能」が合意なき標語のまま残り、評価もテストも不可能な要求として実装者に丸投げされる。</t>
        </is>
      </c>
      <c r="H51" s="4" t="inlineStr">
        <is>
          <t>swebok-v4a.pdf ch02 Software Architecture &gt; 4.1 "Goodness" in Architecture(ATAM: ユーティリティツリーと品質シナリオ)</t>
        </is>
      </c>
      <c r="I51" s="4" t="inlineStr">
        <is>
          <t>CORE</t>
        </is>
      </c>
      <c r="J51" s="4" t="inlineStr">
        <is>
          <t>原則適用。案件スコープ・成果物・規制・リスク上非該当の場合はN/A根拠を記録。</t>
        </is>
      </c>
      <c r="K51" s="4" t="inlineStr">
        <is>
          <t>SRC-SWEBOK-V4A</t>
        </is>
      </c>
      <c r="L51" s="4" t="inlineStr"/>
      <c r="M51" s="4" t="n"/>
      <c r="N51" s="4" t="n"/>
      <c r="O51" s="4" t="n"/>
      <c r="P51" s="4" t="n"/>
      <c r="Q51" s="4" t="n"/>
      <c r="R51" s="4" t="n"/>
      <c r="S51" s="4" t="n"/>
      <c r="T51" s="4" t="n"/>
      <c r="U51" s="4" t="n"/>
      <c r="V51" s="4" t="n"/>
      <c r="W51" s="4" t="n"/>
    </row>
    <row r="52">
      <c r="A52" s="5" t="inlineStr">
        <is>
          <t>ARC-071</t>
        </is>
      </c>
      <c r="B52" s="5" t="inlineStr">
        <is>
          <t>SWEBOK</t>
        </is>
      </c>
      <c r="C52" s="4" t="inlineStr">
        <is>
          <t>7. 品質特性シナリオと品質属性</t>
        </is>
      </c>
      <c r="D52" s="8" t="inlineStr">
        <is>
          <t>Critical</t>
        </is>
      </c>
      <c r="E52" s="4" t="inlineStr">
        <is>
          <t>シナリオに定量的な応答測定がある</t>
        </is>
      </c>
      <c r="F52" s="4" t="inlineStr">
        <is>
          <t>各シナリオの応答測定が数値または客観判定可能な条件(例: p99 500ms以下、RTO 1時間以内)で書かれている。「高速」「十分」等の定性表現のみのシナリオがない</t>
        </is>
      </c>
      <c r="G52" s="4" t="inlineStr">
        <is>
          <t>応答測定が定量的でないシナリオは充足判定ができず、リリース判定時に「十分速いか」を巡る水掛け論と判断先送りを生む。</t>
        </is>
      </c>
      <c r="H52" s="4" t="inlineStr">
        <is>
          <t>swebok-v4a.pdf ch02 Software Architecture &gt; 4.1(品質シナリオによる評価)+ 実務補完(品質特性シナリオの応答測定、Bass et al.)</t>
        </is>
      </c>
      <c r="I52" s="4" t="inlineStr">
        <is>
          <t>CORE</t>
        </is>
      </c>
      <c r="J52" s="4" t="inlineStr">
        <is>
          <t>原則適用。案件スコープ・成果物・規制・リスク上非該当の場合はN/A根拠を記録。</t>
        </is>
      </c>
      <c r="K52" s="4" t="inlineStr">
        <is>
          <t>SRC-SWEBOK-V4A;SRC-PRACTICE</t>
        </is>
      </c>
      <c r="L52" s="4" t="inlineStr"/>
      <c r="M52" s="4" t="n"/>
      <c r="N52" s="4" t="n"/>
      <c r="O52" s="4" t="n"/>
      <c r="P52" s="4" t="n"/>
      <c r="Q52" s="4" t="n"/>
      <c r="R52" s="4" t="n"/>
      <c r="S52" s="4" t="n"/>
      <c r="T52" s="4" t="n"/>
      <c r="U52" s="4" t="n"/>
      <c r="V52" s="4" t="n"/>
      <c r="W52" s="4" t="n"/>
    </row>
    <row r="53">
      <c r="A53" s="5" t="inlineStr">
        <is>
          <t>ARC-072</t>
        </is>
      </c>
      <c r="B53" s="5" t="inlineStr">
        <is>
          <t>SWEBOK</t>
        </is>
      </c>
      <c r="C53" s="4" t="inlineStr">
        <is>
          <t>7. 品質特性シナリオと品質属性</t>
        </is>
      </c>
      <c r="D53" s="9" t="inlineStr">
        <is>
          <t>High</t>
        </is>
      </c>
      <c r="E53" s="4" t="inlineStr">
        <is>
          <t>シナリオが6要素を備えている</t>
        </is>
      </c>
      <c r="F53" s="4" t="inlineStr">
        <is>
          <t>各シナリオに刺激源・刺激・環境・対象・応答・応答測定が揃っている(表形式または同等の構造)</t>
        </is>
      </c>
      <c r="G53" s="4" t="inlineStr">
        <is>
          <t>6要素が欠けたシナリオは刺激や環境が曖昧で解釈が割れ、設計者とテスト担当が異なる条件を想定して検証の齟齬が生じる。</t>
        </is>
      </c>
      <c r="H53" s="4" t="inlineStr">
        <is>
          <t>実務補完(品質特性シナリオの6要素、Bass et al.)</t>
        </is>
      </c>
      <c r="I53" s="4" t="inlineStr">
        <is>
          <t>CORE</t>
        </is>
      </c>
      <c r="J53" s="4" t="inlineStr">
        <is>
          <t>原則適用。案件スコープ・成果物・規制・リスク上非該当の場合はN/A根拠を記録。</t>
        </is>
      </c>
      <c r="K53" s="4" t="inlineStr">
        <is>
          <t>SRC-PRACTICE</t>
        </is>
      </c>
      <c r="L53" s="4" t="inlineStr"/>
      <c r="M53" s="4" t="n"/>
      <c r="N53" s="4" t="n"/>
      <c r="O53" s="4" t="n"/>
      <c r="P53" s="4" t="n"/>
      <c r="Q53" s="4" t="n"/>
      <c r="R53" s="4" t="n"/>
      <c r="S53" s="4" t="n"/>
      <c r="T53" s="4" t="n"/>
      <c r="U53" s="4" t="n"/>
      <c r="V53" s="4" t="n"/>
      <c r="W53" s="4" t="n"/>
    </row>
    <row r="54">
      <c r="A54" s="5" t="inlineStr">
        <is>
          <t>ARC-073</t>
        </is>
      </c>
      <c r="B54" s="5" t="inlineStr">
        <is>
          <t>SWEBOK</t>
        </is>
      </c>
      <c r="C54" s="4" t="inlineStr">
        <is>
          <t>7. 品質特性シナリオと品質属性</t>
        </is>
      </c>
      <c r="D54" s="9" t="inlineStr">
        <is>
          <t>High</t>
        </is>
      </c>
      <c r="E54" s="4" t="inlineStr">
        <is>
          <t>環境条件が通常時以外も扱われている</t>
        </is>
      </c>
      <c r="F54" s="4" t="inlineStr">
        <is>
          <t>品質シナリオの中に、ピーク時・障害時・部分縮退時など通常時以外の環境を扱うものが含まれている</t>
        </is>
      </c>
      <c r="G54" s="4" t="inlineStr">
        <is>
          <t>通常時のみのシナリオでは障害時・ピーク時の振る舞いが設計されず、平常時は健全でも高負荷や部分障害で連鎖的に崩壊するシステムになる。</t>
        </is>
      </c>
      <c r="H54" s="4" t="inlineStr">
        <is>
          <t>実務補完(品質特性シナリオの環境要素)+ 4.1(ライフタイムを通じた頑健性)</t>
        </is>
      </c>
      <c r="I54" s="4" t="inlineStr">
        <is>
          <t>CORE</t>
        </is>
      </c>
      <c r="J54" s="4" t="inlineStr">
        <is>
          <t>原則適用。案件スコープ・成果物・規制・リスク上非該当の場合はN/A根拠を記録。</t>
        </is>
      </c>
      <c r="K54" s="4" t="inlineStr">
        <is>
          <t>SRC-PRACTICE</t>
        </is>
      </c>
      <c r="L54" s="4" t="inlineStr"/>
      <c r="M54" s="4" t="n"/>
      <c r="N54" s="4" t="n"/>
      <c r="O54" s="4" t="n"/>
      <c r="P54" s="4" t="n"/>
      <c r="Q54" s="4" t="n"/>
      <c r="R54" s="4" t="n"/>
      <c r="S54" s="4" t="n"/>
      <c r="T54" s="4" t="n"/>
      <c r="U54" s="4" t="n"/>
      <c r="V54" s="4" t="n"/>
      <c r="W54" s="4" t="n"/>
    </row>
    <row r="55">
      <c r="A55" s="5" t="inlineStr">
        <is>
          <t>ARC-074</t>
        </is>
      </c>
      <c r="B55" s="5" t="inlineStr">
        <is>
          <t>SWEBOK</t>
        </is>
      </c>
      <c r="C55" s="4" t="inlineStr">
        <is>
          <t>7. 品質特性シナリオと品質属性</t>
        </is>
      </c>
      <c r="D55" s="9" t="inlineStr">
        <is>
          <t>High</t>
        </is>
      </c>
      <c r="E55" s="4" t="inlineStr">
        <is>
          <t>シナリオに優先度が付与されている</t>
        </is>
      </c>
      <c r="F55" s="4" t="inlineStr">
        <is>
          <t>各シナリオにビジネス価値と実現難易度(または同等の2軸)に基づく優先度があり、ユーティリティツリー等で整理されている</t>
        </is>
      </c>
      <c r="G55" s="4" t="inlineStr">
        <is>
          <t>シナリオに優先度がないと限られた設計・評価リソースの配分基準がなく、ビジネス価値の低いシナリオに労力を費やし重要リスクを見逃す。</t>
        </is>
      </c>
      <c r="H55" s="4" t="inlineStr">
        <is>
          <t>swebok-v4a.pdf ch02 Software Architecture &gt; 4.1 "Goodness" in Architecture(ATAMのユーティリティツリー)</t>
        </is>
      </c>
      <c r="I55" s="4" t="inlineStr">
        <is>
          <t>CORE</t>
        </is>
      </c>
      <c r="J55" s="4" t="inlineStr">
        <is>
          <t>原則適用。案件スコープ・成果物・規制・リスク上非該当の場合はN/A根拠を記録。</t>
        </is>
      </c>
      <c r="K55" s="4" t="inlineStr">
        <is>
          <t>SRC-SWEBOK-V4A</t>
        </is>
      </c>
      <c r="L55" s="4" t="inlineStr"/>
      <c r="M55" s="4" t="n"/>
      <c r="N55" s="4" t="n"/>
      <c r="O55" s="4" t="n"/>
      <c r="P55" s="4" t="n"/>
      <c r="Q55" s="4" t="n"/>
      <c r="R55" s="4" t="n"/>
      <c r="S55" s="4" t="n"/>
      <c r="T55" s="4" t="n"/>
      <c r="U55" s="4" t="n"/>
      <c r="V55" s="4" t="n"/>
      <c r="W55" s="4" t="n"/>
    </row>
    <row r="56">
      <c r="A56" s="5" t="inlineStr">
        <is>
          <t>ARC-075</t>
        </is>
      </c>
      <c r="B56" s="5" t="inlineStr">
        <is>
          <t>SWEBOK</t>
        </is>
      </c>
      <c r="C56" s="4" t="inlineStr">
        <is>
          <t>7. 品質特性シナリオと品質属性</t>
        </is>
      </c>
      <c r="D56" s="9" t="inlineStr">
        <is>
          <t>High</t>
        </is>
      </c>
      <c r="E56" s="4" t="inlineStr">
        <is>
          <t>性能・スケーラビリティの根拠がある</t>
        </is>
      </c>
      <c r="F56" s="4" t="inlineStr">
        <is>
          <t>性能要求に対し、想定負荷(スループット・同時利用者数・データ量)と処理方式・スケール方式の対応が数値ベースで説明されている</t>
        </is>
      </c>
      <c r="G56" s="4" t="inlineStr">
        <is>
          <t>スケーリング・性能・資源消費の分析はアーキテクチャ設計の典型的関心事であり、数値根拠なしでは容量不足が本番負荷で初めて露呈する。</t>
        </is>
      </c>
      <c r="H56" s="4" t="inlineStr">
        <is>
          <t>swebok-v4a.pdf ch02 Software Architecture &gt; 3.2 Architectural Design(scaling/performance/resource consumptionの分析)</t>
        </is>
      </c>
      <c r="I56" s="4" t="inlineStr">
        <is>
          <t>CORE</t>
        </is>
      </c>
      <c r="J56" s="4" t="inlineStr">
        <is>
          <t>原則適用。案件スコープ・成果物・規制・リスク上非該当の場合はN/A根拠を記録。</t>
        </is>
      </c>
      <c r="K56" s="4" t="inlineStr">
        <is>
          <t>SRC-SWEBOK-V4A</t>
        </is>
      </c>
      <c r="L56" s="4" t="inlineStr"/>
      <c r="M56" s="4" t="n"/>
      <c r="N56" s="4" t="n"/>
      <c r="O56" s="4" t="n"/>
      <c r="P56" s="4" t="n"/>
      <c r="Q56" s="4" t="n"/>
      <c r="R56" s="4" t="n"/>
      <c r="S56" s="4" t="n"/>
      <c r="T56" s="4" t="n"/>
      <c r="U56" s="4" t="n"/>
      <c r="V56" s="4" t="n"/>
      <c r="W56" s="4" t="n"/>
    </row>
    <row r="57">
      <c r="A57" s="5" t="inlineStr">
        <is>
          <t>ARC-076</t>
        </is>
      </c>
      <c r="B57" s="5" t="inlineStr">
        <is>
          <t>SWEBOK</t>
        </is>
      </c>
      <c r="C57" s="4" t="inlineStr">
        <is>
          <t>7. 品質特性シナリオと品質属性</t>
        </is>
      </c>
      <c r="D57" s="8" t="inlineStr">
        <is>
          <t>Critical</t>
        </is>
      </c>
      <c r="E57" s="4" t="inlineStr">
        <is>
          <t>可用性・障害時の振る舞いが設計されている</t>
        </is>
      </c>
      <c r="F57" s="4" t="inlineStr">
        <is>
          <t>単一障害点の有無が分析され、可用性目標(SLO/RTO/RPO等)と冗長化・フェイルオーバー・復旧の方式が対応付けられている(可用性が関心事であるシステムの場合)</t>
        </is>
      </c>
      <c r="G57" s="4" t="inlineStr">
        <is>
          <t>単一障害点と復旧方式を設計段階で分析しないと、可用性目標が構造で担保されず、障害発生時に復旧手順がその場しのぎになる。</t>
        </is>
      </c>
      <c r="H57" s="4" t="inlineStr">
        <is>
          <t>swebok-v4a.pdf ch02 Software Architecture &gt; 3.2 Architectural Design(信頼性特性の分析)+ 2.1(availabilityビューポイント)</t>
        </is>
      </c>
      <c r="I57" s="4" t="inlineStr">
        <is>
          <t>CORE</t>
        </is>
      </c>
      <c r="J57" s="4" t="inlineStr">
        <is>
          <t>原則適用。案件スコープ・成果物・規制・リスク上非該当の場合はN/A根拠を記録。</t>
        </is>
      </c>
      <c r="K57" s="4" t="inlineStr">
        <is>
          <t>SRC-SWEBOK-V4A</t>
        </is>
      </c>
      <c r="L57" s="4" t="inlineStr">
        <is>
          <t>RELIABILITY-HA</t>
        </is>
      </c>
      <c r="M57" s="4" t="n"/>
      <c r="N57" s="4" t="n"/>
      <c r="O57" s="4" t="n"/>
      <c r="P57" s="4" t="n"/>
      <c r="Q57" s="4" t="n"/>
      <c r="R57" s="4" t="n"/>
      <c r="S57" s="4" t="n"/>
      <c r="T57" s="4" t="n"/>
      <c r="U57" s="4" t="n"/>
      <c r="V57" s="4" t="n"/>
      <c r="W57" s="4" t="n"/>
    </row>
    <row r="58">
      <c r="A58" s="5" t="inlineStr">
        <is>
          <t>ARC-077</t>
        </is>
      </c>
      <c r="B58" s="5" t="inlineStr">
        <is>
          <t>SWEBOK</t>
        </is>
      </c>
      <c r="C58" s="4" t="inlineStr">
        <is>
          <t>7. 品質特性シナリオと品質属性</t>
        </is>
      </c>
      <c r="D58" s="8" t="inlineStr">
        <is>
          <t>Critical</t>
        </is>
      </c>
      <c r="E58" s="4" t="inlineStr">
        <is>
          <t>セキュリティの主要対策が構造に反映されている</t>
        </is>
      </c>
      <c r="F58" s="4" t="inlineStr">
        <is>
          <t>認証・認可・データ保護(保存時/転送時)・信頼境界がビューまたはADRで特定できる(セキュリティが関心事であるシステムの場合)</t>
        </is>
      </c>
      <c r="G58" s="4" t="inlineStr">
        <is>
          <t>セキュリティはシステム全体で扱うべき支配的関心事であり、構造に反映されていないと後付けの対策となり、信頼境界の欠陥が侵害事故に直結する。</t>
        </is>
      </c>
      <c r="H58" s="4" t="inlineStr">
        <is>
          <t>swebok-v4a.pdf ch02 Software Architecture &gt; 3.2 Architectural Design(safety/securityへのシステム全体アプローチ)</t>
        </is>
      </c>
      <c r="I58" s="4" t="inlineStr">
        <is>
          <t>CORE</t>
        </is>
      </c>
      <c r="J58" s="4" t="inlineStr">
        <is>
          <t>原則適用。案件スコープ・成果物・規制・リスク上非該当の場合はN/A根拠を記録。</t>
        </is>
      </c>
      <c r="K58" s="4" t="inlineStr">
        <is>
          <t>SRC-SWEBOK-V4A</t>
        </is>
      </c>
      <c r="L58" s="4" t="inlineStr"/>
      <c r="M58" s="4" t="n"/>
      <c r="N58" s="4" t="n"/>
      <c r="O58" s="4" t="n"/>
      <c r="P58" s="4" t="n"/>
      <c r="Q58" s="4" t="n"/>
      <c r="R58" s="4" t="n"/>
      <c r="S58" s="4" t="n"/>
      <c r="T58" s="4" t="n"/>
      <c r="U58" s="4" t="n"/>
      <c r="V58" s="4" t="n"/>
      <c r="W58" s="4" t="n"/>
    </row>
    <row r="59">
      <c r="A59" s="5" t="inlineStr">
        <is>
          <t>ARC-078</t>
        </is>
      </c>
      <c r="B59" s="5" t="inlineStr">
        <is>
          <t>SWEBOK</t>
        </is>
      </c>
      <c r="C59" s="4" t="inlineStr">
        <is>
          <t>7. 品質特性シナリオと品質属性</t>
        </is>
      </c>
      <c r="D59" s="10" t="inlineStr">
        <is>
          <t>Medium</t>
        </is>
      </c>
      <c r="E59" s="4" t="inlineStr">
        <is>
          <t>保守性・進化性が検討されている</t>
        </is>
      </c>
      <c r="F59" s="4" t="inlineStr">
        <is>
          <t>将来の変更シナリオ(機能追加・技術更改等)が少なくとも1つ検討され、変更コストの見積もりまたは影響範囲の説明がある</t>
        </is>
      </c>
      <c r="G59" s="4" t="inlineStr">
        <is>
          <t>将来の変更シナリオを検討しないと今日の決定の負債性に気づけず、進化性を欠いた構造が数年後の機能追加コストを跳ね上げる。</t>
        </is>
      </c>
      <c r="H59" s="4" t="inlineStr">
        <is>
          <t>swebok-v4a.pdf ch02 Software Architecture &gt; 4.1 "Goodness" in Architecture(進化への頑健性)/ 2.4(技術的負債)</t>
        </is>
      </c>
      <c r="I59" s="4" t="inlineStr">
        <is>
          <t>CORE</t>
        </is>
      </c>
      <c r="J59" s="4" t="inlineStr">
        <is>
          <t>原則適用。案件スコープ・成果物・規制・リスク上非該当の場合はN/A根拠を記録。</t>
        </is>
      </c>
      <c r="K59" s="4" t="inlineStr">
        <is>
          <t>SRC-SWEBOK-V4A</t>
        </is>
      </c>
      <c r="L59" s="4" t="inlineStr"/>
      <c r="M59" s="4" t="n"/>
      <c r="N59" s="4" t="n"/>
      <c r="O59" s="4" t="n"/>
      <c r="P59" s="4" t="n"/>
      <c r="Q59" s="4" t="n"/>
      <c r="R59" s="4" t="n"/>
      <c r="S59" s="4" t="n"/>
      <c r="T59" s="4" t="n"/>
      <c r="U59" s="4" t="n"/>
      <c r="V59" s="4" t="n"/>
      <c r="W59" s="4" t="n"/>
    </row>
    <row r="60">
      <c r="A60" s="5" t="inlineStr">
        <is>
          <t>ARC-079</t>
        </is>
      </c>
      <c r="B60" s="5" t="inlineStr">
        <is>
          <t>SWEBOK</t>
        </is>
      </c>
      <c r="C60" s="4" t="inlineStr">
        <is>
          <t>7. 品質特性シナリオと品質属性</t>
        </is>
      </c>
      <c r="D60" s="10" t="inlineStr">
        <is>
          <t>Medium</t>
        </is>
      </c>
      <c r="E60" s="4" t="inlineStr">
        <is>
          <t>観測可能性が設計されている</t>
        </is>
      </c>
      <c r="F60" s="4" t="inlineStr">
        <is>
          <t>ログ・メトリクス・トレース等の監視手段と、品質シナリオの応答測定を実運用で計測する方法が記述されている</t>
        </is>
      </c>
      <c r="G60" s="4" t="inlineStr">
        <is>
          <t>品質シナリオの応答測定を実運用で計測する手段がないと、目標達成の検証が永遠にできず、劣化の兆候にも気づけない。</t>
        </is>
      </c>
      <c r="H60" s="4" t="inlineStr">
        <is>
          <t>実務補完(オブザーバビリティ)+ 4.4 Architecture Metrics(継続的開発でのメトリクス)</t>
        </is>
      </c>
      <c r="I60" s="4" t="inlineStr">
        <is>
          <t>CORE</t>
        </is>
      </c>
      <c r="J60" s="4" t="inlineStr">
        <is>
          <t>原則適用。案件スコープ・成果物・規制・リスク上非該当の場合はN/A根拠を記録。</t>
        </is>
      </c>
      <c r="K60" s="4" t="inlineStr">
        <is>
          <t>SRC-PRACTICE</t>
        </is>
      </c>
      <c r="L60" s="4" t="inlineStr"/>
      <c r="M60" s="4" t="n"/>
      <c r="N60" s="4" t="n"/>
      <c r="O60" s="4" t="n"/>
      <c r="P60" s="4" t="n"/>
      <c r="Q60" s="4" t="n"/>
      <c r="R60" s="4" t="n"/>
      <c r="S60" s="4" t="n"/>
      <c r="T60" s="4" t="n"/>
      <c r="U60" s="4" t="n"/>
      <c r="V60" s="4" t="n"/>
      <c r="W60" s="4" t="n"/>
    </row>
    <row r="61">
      <c r="A61" s="5" t="inlineStr">
        <is>
          <t>ARC-080</t>
        </is>
      </c>
      <c r="B61" s="5" t="inlineStr">
        <is>
          <t>SWEBOK</t>
        </is>
      </c>
      <c r="C61" s="4" t="inlineStr">
        <is>
          <t>8. アーキテクチャ評価</t>
        </is>
      </c>
      <c r="D61" s="8" t="inlineStr">
        <is>
          <t>Critical</t>
        </is>
      </c>
      <c r="E61" s="4" t="inlineStr">
        <is>
          <t>アーキテクチャ評価が実施されている</t>
        </is>
      </c>
      <c r="F61" s="4" t="inlineStr">
        <is>
          <t>シナリオベース評価(ATAM/SAAM/QAW等)、構造化レビュー、アクティブレビューのいずれかの実施記録(日付・参加者・手法)がある</t>
        </is>
      </c>
      <c r="G61" s="4" t="inlineStr">
        <is>
          <t>評価をマイルストーンで実施しないと欠陥あるアーキテクチャのまま実装が進み、構造レベルの欠陥は実装後の修正コストが桁違いに大きくなる。</t>
        </is>
      </c>
      <c r="H61" s="4" t="inlineStr">
        <is>
          <t>swebok-v4a.pdf ch02 Software Architecture &gt; 4. Software Architecture Evaluation / 4.3 Architecture Reviews</t>
        </is>
      </c>
      <c r="I61" s="4" t="inlineStr">
        <is>
          <t>CORE</t>
        </is>
      </c>
      <c r="J61" s="4" t="inlineStr">
        <is>
          <t>原則適用。案件スコープ・成果物・規制・リスク上非該当の場合はN/A根拠を記録。</t>
        </is>
      </c>
      <c r="K61" s="4" t="inlineStr">
        <is>
          <t>SRC-SWEBOK-V4A</t>
        </is>
      </c>
      <c r="L61" s="4" t="inlineStr"/>
      <c r="M61" s="4" t="n"/>
      <c r="N61" s="4" t="n"/>
      <c r="O61" s="4" t="n"/>
      <c r="P61" s="4" t="n"/>
      <c r="Q61" s="4" t="n"/>
      <c r="R61" s="4" t="n"/>
      <c r="S61" s="4" t="n"/>
      <c r="T61" s="4" t="n"/>
      <c r="U61" s="4" t="n"/>
      <c r="V61" s="4" t="n"/>
      <c r="W61" s="4" t="n"/>
    </row>
    <row r="62">
      <c r="A62" s="5" t="inlineStr">
        <is>
          <t>ARC-081</t>
        </is>
      </c>
      <c r="B62" s="5" t="inlineStr">
        <is>
          <t>SWEBOK</t>
        </is>
      </c>
      <c r="C62" s="4" t="inlineStr">
        <is>
          <t>8. アーキテクチャ評価</t>
        </is>
      </c>
      <c r="D62" s="8" t="inlineStr">
        <is>
          <t>Critical</t>
        </is>
      </c>
      <c r="E62" s="4" t="inlineStr">
        <is>
          <t>評価結果がASR/シナリオ単位で記録されている</t>
        </is>
      </c>
      <c r="F62" s="4" t="inlineStr">
        <is>
          <t>優先度「高」のASR・品質シナリオごとに評価結果(充足/リスクあり/未充足)が記録されている</t>
        </is>
      </c>
      <c r="G62" s="4" t="inlineStr">
        <is>
          <t>評価は選択した解がASRを満たすかの検証であり、ASR単位の結果がないと「何となく良さそう」で終わり、リワークが必要な箇所を特定できない。</t>
        </is>
      </c>
      <c r="H62" s="4" t="inlineStr">
        <is>
          <t>swebok-v4a.pdf ch02 Software Architecture &gt; 3.2.3 Architecture Evaluation(ASR充足の検証とリワーク箇所の特定)</t>
        </is>
      </c>
      <c r="I62" s="4" t="inlineStr">
        <is>
          <t>CORE</t>
        </is>
      </c>
      <c r="J62" s="4" t="inlineStr">
        <is>
          <t>原則適用。案件スコープ・成果物・規制・リスク上非該当の場合はN/A根拠を記録。</t>
        </is>
      </c>
      <c r="K62" s="4" t="inlineStr">
        <is>
          <t>SRC-SWEBOK-V4A</t>
        </is>
      </c>
      <c r="L62" s="4" t="inlineStr"/>
      <c r="M62" s="4" t="n"/>
      <c r="N62" s="4" t="n"/>
      <c r="O62" s="4" t="n"/>
      <c r="P62" s="4" t="n"/>
      <c r="Q62" s="4" t="n"/>
      <c r="R62" s="4" t="n"/>
      <c r="S62" s="4" t="n"/>
      <c r="T62" s="4" t="n"/>
      <c r="U62" s="4" t="n"/>
      <c r="V62" s="4" t="n"/>
      <c r="W62" s="4" t="n"/>
    </row>
    <row r="63">
      <c r="A63" s="5" t="inlineStr">
        <is>
          <t>ARC-082</t>
        </is>
      </c>
      <c r="B63" s="5" t="inlineStr">
        <is>
          <t>SWEBOK</t>
        </is>
      </c>
      <c r="C63" s="4" t="inlineStr">
        <is>
          <t>8. アーキテクチャ評価</t>
        </is>
      </c>
      <c r="D63" s="9" t="inlineStr">
        <is>
          <t>High</t>
        </is>
      </c>
      <c r="E63" s="4" t="inlineStr">
        <is>
          <t>リスク・感度点・トレードオフ点が識別されている</t>
        </is>
      </c>
      <c r="F63" s="4" t="inlineStr">
        <is>
          <t>評価から得られたリスク、感度点、トレードオフ点が一覧化され、リスクには対応方針(回避/軽減/受容)が付与されている</t>
        </is>
      </c>
      <c r="G63" s="4" t="inlineStr">
        <is>
          <t>競合する品質要求間のトレードオフ分析が評価の鍵であり、リスク・感度点・トレードオフ点を残さないと、危険な決定がどれか関係者に伝わらない。</t>
        </is>
      </c>
      <c r="H63" s="4" t="inlineStr">
        <is>
          <t>swebok-v4a.pdf ch02 Software Architecture &gt; 4.1 "Goodness" in Architecture(ATAM)</t>
        </is>
      </c>
      <c r="I63" s="4" t="inlineStr">
        <is>
          <t>CORE</t>
        </is>
      </c>
      <c r="J63" s="4" t="inlineStr">
        <is>
          <t>原則適用。案件スコープ・成果物・規制・リスク上非該当の場合はN/A根拠を記録。</t>
        </is>
      </c>
      <c r="K63" s="4" t="inlineStr">
        <is>
          <t>SRC-SWEBOK-V4A</t>
        </is>
      </c>
      <c r="L63" s="4" t="inlineStr"/>
      <c r="M63" s="4" t="n"/>
      <c r="N63" s="4" t="n"/>
      <c r="O63" s="4" t="n"/>
      <c r="P63" s="4" t="n"/>
      <c r="Q63" s="4" t="n"/>
      <c r="R63" s="4" t="n"/>
      <c r="S63" s="4" t="n"/>
      <c r="T63" s="4" t="n"/>
      <c r="U63" s="4" t="n"/>
      <c r="V63" s="4" t="n"/>
      <c r="W63" s="4" t="n"/>
    </row>
    <row r="64">
      <c r="A64" s="5" t="inlineStr">
        <is>
          <t>ARC-083</t>
        </is>
      </c>
      <c r="B64" s="5" t="inlineStr">
        <is>
          <t>SWEBOK</t>
        </is>
      </c>
      <c r="C64" s="4" t="inlineStr">
        <is>
          <t>8. アーキテクチャ評価</t>
        </is>
      </c>
      <c r="D64" s="9" t="inlineStr">
        <is>
          <t>High</t>
        </is>
      </c>
      <c r="E64" s="4" t="inlineStr">
        <is>
          <t>複数の候補が比較検討された記録がある</t>
        </is>
      </c>
      <c r="F64" s="4" t="inlineStr">
        <is>
          <t>全体アーキテクチャまたは主要決定について、2案以上の候補の比較(評価基準付き)が確認できる</t>
        </is>
      </c>
      <c r="G64" s="4" t="inlineStr">
        <is>
          <t>アーキテクチャは代替案の分析・評価の基盤であり、単一案しか検討しない設計は最初の思い付きの追認となり、より良い解を体系的に逃す。</t>
        </is>
      </c>
      <c r="H64" s="4" t="inlineStr">
        <is>
          <t>swebok-v4a.pdf ch02 Software Architecture &gt; 1.3 Uses of Architecture(代替案の分析・評価)/ 3.2.2 Architecture Synthesis(候補解の開発)</t>
        </is>
      </c>
      <c r="I64" s="4" t="inlineStr">
        <is>
          <t>CORE</t>
        </is>
      </c>
      <c r="J64" s="4" t="inlineStr">
        <is>
          <t>原則適用。案件スコープ・成果物・規制・リスク上非該当の場合はN/A根拠を記録。</t>
        </is>
      </c>
      <c r="K64" s="4" t="inlineStr">
        <is>
          <t>SRC-SWEBOK-V4A</t>
        </is>
      </c>
      <c r="L64" s="4" t="inlineStr"/>
      <c r="M64" s="4" t="n"/>
      <c r="N64" s="4" t="n"/>
      <c r="O64" s="4" t="n"/>
      <c r="P64" s="4" t="n"/>
      <c r="Q64" s="4" t="n"/>
      <c r="R64" s="4" t="n"/>
      <c r="S64" s="4" t="n"/>
      <c r="T64" s="4" t="n"/>
      <c r="U64" s="4" t="n"/>
      <c r="V64" s="4" t="n"/>
      <c r="W64" s="4" t="n"/>
    </row>
    <row r="65">
      <c r="A65" s="5" t="inlineStr">
        <is>
          <t>ARC-084</t>
        </is>
      </c>
      <c r="B65" s="5" t="inlineStr">
        <is>
          <t>SWEBOK</t>
        </is>
      </c>
      <c r="C65" s="4" t="inlineStr">
        <is>
          <t>8. アーキテクチャ評価</t>
        </is>
      </c>
      <c r="D65" s="9" t="inlineStr">
        <is>
          <t>High</t>
        </is>
      </c>
      <c r="E65" s="4" t="inlineStr">
        <is>
          <t>評価者に作成者以外が含まれている</t>
        </is>
      </c>
      <c r="F65" s="4" t="inlineStr">
        <is>
          <t>評価・レビューの参加者に、アーキテクチャ作成者以外のレビューア(可能なら運用・セキュリティ等の別観点)が含まれている</t>
        </is>
      </c>
      <c r="G65" s="4" t="inlineStr">
        <is>
          <t>評価は典型的には第三者による査定として行われるものであり、作成者のみの自己評価では思い込みによる盲点(暗黙の前提)を検出できない。</t>
        </is>
      </c>
      <c r="H65" s="4" t="inlineStr">
        <is>
          <t>swebok-v4a.pdf ch02 Software Architecture &gt; 4.1 "Goodness" in Architecture(第三者による評価)/ 4.3 Architecture Reviews</t>
        </is>
      </c>
      <c r="I65" s="4" t="inlineStr">
        <is>
          <t>CORE</t>
        </is>
      </c>
      <c r="J65" s="4" t="inlineStr">
        <is>
          <t>原則適用。案件スコープ・成果物・規制・リスク上非該当の場合はN/A根拠を記録。</t>
        </is>
      </c>
      <c r="K65" s="4" t="inlineStr">
        <is>
          <t>SRC-SWEBOK-V4A</t>
        </is>
      </c>
      <c r="L65" s="4" t="inlineStr"/>
      <c r="M65" s="4" t="n"/>
      <c r="N65" s="4" t="n"/>
      <c r="O65" s="4" t="n"/>
      <c r="P65" s="4" t="n"/>
      <c r="Q65" s="4" t="n"/>
      <c r="R65" s="4" t="n"/>
      <c r="S65" s="4" t="n"/>
      <c r="T65" s="4" t="n"/>
      <c r="U65" s="4" t="n"/>
      <c r="V65" s="4" t="n"/>
      <c r="W65" s="4" t="n"/>
    </row>
    <row r="66">
      <c r="A66" s="5" t="inlineStr">
        <is>
          <t>ARC-085</t>
        </is>
      </c>
      <c r="B66" s="5" t="inlineStr">
        <is>
          <t>SWEBOK</t>
        </is>
      </c>
      <c r="C66" s="4" t="inlineStr">
        <is>
          <t>8. アーキテクチャ評価</t>
        </is>
      </c>
      <c r="D66" s="10" t="inlineStr">
        <is>
          <t>Medium</t>
        </is>
      </c>
      <c r="E66" s="4" t="inlineStr">
        <is>
          <t>ユースケースによる完全性・一貫性確認が行われている</t>
        </is>
      </c>
      <c r="F66" s="4" t="inlineStr">
        <is>
          <t>主要ユースケースをアーキテクチャ上でウォークスルーし、要素・インタフェースの欠落がないことを確認した記録がある</t>
        </is>
      </c>
      <c r="G66" s="4" t="inlineStr">
        <is>
          <t>ユースケースの各ステップと構成要素の突き合わせは完全性・一貫性の実証的な確認手段であり、怠るとインタフェースや要素の欠落が実装で発覚する。</t>
        </is>
      </c>
      <c r="H66" s="4" t="inlineStr">
        <is>
          <t>swebok-v4a.pdf ch02 Software Architecture &gt; 4.2 Reasoning about Architectures(ユースケースによる完全性・一貫性の確認)</t>
        </is>
      </c>
      <c r="I66" s="4" t="inlineStr">
        <is>
          <t>CORE</t>
        </is>
      </c>
      <c r="J66" s="4" t="inlineStr">
        <is>
          <t>原則適用。案件スコープ・成果物・規制・リスク上非該当の場合はN/A根拠を記録。</t>
        </is>
      </c>
      <c r="K66" s="4" t="inlineStr">
        <is>
          <t>SRC-SWEBOK-V4A</t>
        </is>
      </c>
      <c r="L66" s="4" t="inlineStr"/>
      <c r="M66" s="4" t="n"/>
      <c r="N66" s="4" t="n"/>
      <c r="O66" s="4" t="n"/>
      <c r="P66" s="4" t="n"/>
      <c r="Q66" s="4" t="n"/>
      <c r="R66" s="4" t="n"/>
      <c r="S66" s="4" t="n"/>
      <c r="T66" s="4" t="n"/>
      <c r="U66" s="4" t="n"/>
      <c r="V66" s="4" t="n"/>
      <c r="W66" s="4" t="n"/>
    </row>
    <row r="67">
      <c r="A67" s="5" t="inlineStr">
        <is>
          <t>ARC-086</t>
        </is>
      </c>
      <c r="B67" s="5" t="inlineStr">
        <is>
          <t>SWEBOK</t>
        </is>
      </c>
      <c r="C67" s="4" t="inlineStr">
        <is>
          <t>8. アーキテクチャ評価</t>
        </is>
      </c>
      <c r="D67" s="10" t="inlineStr">
        <is>
          <t>Medium</t>
        </is>
      </c>
      <c r="E67" s="4" t="inlineStr">
        <is>
          <t>評価指摘のフォローアップが管理されている</t>
        </is>
      </c>
      <c r="F67" s="4" t="inlineStr">
        <is>
          <t>評価で挙がった指摘・課題が課題管理(チケット等)に登録され、対応状況が追跡できる</t>
        </is>
      </c>
      <c r="G67" s="4" t="inlineStr">
        <is>
          <t>レビューの目的はリスクの識別であり、指摘を追跡管理しないと発見済みのリスクが放置され、評価の実施自体が形骸化する。</t>
        </is>
      </c>
      <c r="H67" s="4" t="inlineStr">
        <is>
          <t>swebok-v4a.pdf ch02 Software Architecture &gt; 4.3 Architecture Reviews + 実務補完(指摘のトラッキング)</t>
        </is>
      </c>
      <c r="I67" s="4" t="inlineStr">
        <is>
          <t>CORE</t>
        </is>
      </c>
      <c r="J67" s="4" t="inlineStr">
        <is>
          <t>原則適用。案件スコープ・成果物・規制・リスク上非該当の場合はN/A根拠を記録。</t>
        </is>
      </c>
      <c r="K67" s="4" t="inlineStr">
        <is>
          <t>SRC-SWEBOK-V4A;SRC-PRACTICE</t>
        </is>
      </c>
      <c r="L67" s="4" t="inlineStr"/>
      <c r="M67" s="4" t="n"/>
      <c r="N67" s="4" t="n"/>
      <c r="O67" s="4" t="n"/>
      <c r="P67" s="4" t="n"/>
      <c r="Q67" s="4" t="n"/>
      <c r="R67" s="4" t="n"/>
      <c r="S67" s="4" t="n"/>
      <c r="T67" s="4" t="n"/>
      <c r="U67" s="4" t="n"/>
      <c r="V67" s="4" t="n"/>
      <c r="W67" s="4" t="n"/>
    </row>
    <row r="68">
      <c r="A68" s="5" t="inlineStr">
        <is>
          <t>ARC-087</t>
        </is>
      </c>
      <c r="B68" s="5" t="inlineStr">
        <is>
          <t>SWEBOK</t>
        </is>
      </c>
      <c r="C68" s="4" t="inlineStr">
        <is>
          <t>8. アーキテクチャ評価</t>
        </is>
      </c>
      <c r="D68" s="11" t="inlineStr">
        <is>
          <t>Low</t>
        </is>
      </c>
      <c r="E68" s="4" t="inlineStr">
        <is>
          <t>実現可能性がプロトタイプ等で裏付けられている</t>
        </is>
      </c>
      <c r="F68" s="4" t="inlineStr">
        <is>
          <t>技術的に不確実な箇所について、PoC・技術スパイク・ベンチマークによる裏付け、または未実施の場合はリスクとしての記録がある</t>
        </is>
      </c>
      <c r="G68" s="4" t="inlineStr">
        <is>
          <t>技術的に不確実な箇所を検証なしに採用すると、実現不能性がプロジェクト後半に発覚し、実現可能性・費用対効果という評価基準を満たせない。</t>
        </is>
      </c>
      <c r="H68" s="4" t="inlineStr">
        <is>
          <t>swebok-v4a.pdf ch02 Software Architecture &gt; 4.1 "Goodness" in Architecture(実現可能性・費用対効果)+ 実務補完(PoC/技術スパイク)</t>
        </is>
      </c>
      <c r="I68" s="4" t="inlineStr">
        <is>
          <t>CORE</t>
        </is>
      </c>
      <c r="J68" s="4" t="inlineStr">
        <is>
          <t>原則適用。案件スコープ・成果物・規制・リスク上非該当の場合はN/A根拠を記録。</t>
        </is>
      </c>
      <c r="K68" s="4" t="inlineStr">
        <is>
          <t>SRC-SWEBOK-V4A;SRC-PRACTICE</t>
        </is>
      </c>
      <c r="L68" s="4" t="inlineStr"/>
      <c r="M68" s="4" t="n"/>
      <c r="N68" s="4" t="n"/>
      <c r="O68" s="4" t="n"/>
      <c r="P68" s="4" t="n"/>
      <c r="Q68" s="4" t="n"/>
      <c r="R68" s="4" t="n"/>
      <c r="S68" s="4" t="n"/>
      <c r="T68" s="4" t="n"/>
      <c r="U68" s="4" t="n"/>
      <c r="V68" s="4" t="n"/>
      <c r="W68" s="4" t="n"/>
    </row>
    <row r="69">
      <c r="A69" s="5" t="inlineStr">
        <is>
          <t>ARC-090</t>
        </is>
      </c>
      <c r="B69" s="5" t="inlineStr">
        <is>
          <t>SWEBOK</t>
        </is>
      </c>
      <c r="C69" s="4" t="inlineStr">
        <is>
          <t>9. 技術選定</t>
        </is>
      </c>
      <c r="D69" s="8" t="inlineStr">
        <is>
          <t>Critical</t>
        </is>
      </c>
      <c r="E69" s="4" t="inlineStr">
        <is>
          <t>主要技術の選定理由が文書化されている</t>
        </is>
      </c>
      <c r="F69" s="4" t="inlineStr">
        <is>
          <t>言語・フレームワーク・データストア・クラウドサービス等の主要技術それぞれに選定理由(技術選定書またはADR)が存在する</t>
        </is>
      </c>
      <c r="G69" s="4" t="inlineStr">
        <is>
          <t>主要技術の選定はアーキテクチャに深い影響を与える重要決定であり、理由が残っていないと更改時に採用意図が分からず、安易な置き換えや不合理な固執を招く。</t>
        </is>
      </c>
      <c r="H69" s="4" t="inlineStr">
        <is>
          <t>swebok-v4a.pdf ch02 Software Architecture &gt; 2.4 Architecture as Significant Decisions(技術選定を含む重要決定の文書化)</t>
        </is>
      </c>
      <c r="I69" s="4" t="inlineStr">
        <is>
          <t>CORE</t>
        </is>
      </c>
      <c r="J69" s="4" t="inlineStr">
        <is>
          <t>原則適用。案件スコープ・成果物・規制・リスク上非該当の場合はN/A根拠を記録。</t>
        </is>
      </c>
      <c r="K69" s="4" t="inlineStr">
        <is>
          <t>SRC-SWEBOK-V4A;SRC-CIS</t>
        </is>
      </c>
      <c r="L69" s="4" t="inlineStr"/>
      <c r="M69" s="4" t="n"/>
      <c r="N69" s="4" t="n"/>
      <c r="O69" s="4" t="n"/>
      <c r="P69" s="4" t="n"/>
      <c r="Q69" s="4" t="n"/>
      <c r="R69" s="4" t="n"/>
      <c r="S69" s="4" t="n"/>
      <c r="T69" s="4" t="n"/>
      <c r="U69" s="4" t="n"/>
      <c r="V69" s="4" t="n"/>
      <c r="W69" s="4" t="n"/>
    </row>
    <row r="70">
      <c r="A70" s="5" t="inlineStr">
        <is>
          <t>ARC-091</t>
        </is>
      </c>
      <c r="B70" s="5" t="inlineStr">
        <is>
          <t>SWEBOK</t>
        </is>
      </c>
      <c r="C70" s="4" t="inlineStr">
        <is>
          <t>9. 技術選定</t>
        </is>
      </c>
      <c r="D70" s="9" t="inlineStr">
        <is>
          <t>High</t>
        </is>
      </c>
      <c r="E70" s="4" t="inlineStr">
        <is>
          <t>評価基準が事前に定義され複数候補が比較されている</t>
        </is>
      </c>
      <c r="F70" s="4" t="inlineStr">
        <is>
          <t>技術選定書に評価基準(機能適合性・性能・コスト・ライセンス・サポート・チームスキル等)と、候補間の比較マトリクスがある</t>
        </is>
      </c>
      <c r="G70" s="4" t="inlineStr">
        <is>
          <t>基準を後付けにすると結論ありきの比較(基準の恣意的操作)が可能になり、選定の公正さと説明責任が失われる。</t>
        </is>
      </c>
      <c r="H70" s="4" t="inlineStr">
        <is>
          <t>swebok-v4a.pdf ch02 Software Architecture &gt; 2.4(代替案・選定基準を含むrationale)+ 実務補完(技術選定プロセス)</t>
        </is>
      </c>
      <c r="I70" s="4" t="inlineStr">
        <is>
          <t>CORE</t>
        </is>
      </c>
      <c r="J70" s="4" t="inlineStr">
        <is>
          <t>原則適用。案件スコープ・成果物・規制・リスク上非該当の場合はN/A根拠を記録。</t>
        </is>
      </c>
      <c r="K70" s="4" t="inlineStr">
        <is>
          <t>SRC-SWEBOK-V4A;SRC-PRACTICE</t>
        </is>
      </c>
      <c r="L70" s="4" t="inlineStr"/>
      <c r="M70" s="4" t="n"/>
      <c r="N70" s="4" t="n"/>
      <c r="O70" s="4" t="n"/>
      <c r="P70" s="4" t="n"/>
      <c r="Q70" s="4" t="n"/>
      <c r="R70" s="4" t="n"/>
      <c r="S70" s="4" t="n"/>
      <c r="T70" s="4" t="n"/>
      <c r="U70" s="4" t="n"/>
      <c r="V70" s="4" t="n"/>
      <c r="W70" s="4" t="n"/>
    </row>
    <row r="71">
      <c r="A71" s="5" t="inlineStr">
        <is>
          <t>ARC-092</t>
        </is>
      </c>
      <c r="B71" s="5" t="inlineStr">
        <is>
          <t>SWEBOK</t>
        </is>
      </c>
      <c r="C71" s="4" t="inlineStr">
        <is>
          <t>9. 技術選定</t>
        </is>
      </c>
      <c r="D71" s="9" t="inlineStr">
        <is>
          <t>High</t>
        </is>
      </c>
      <c r="E71" s="4" t="inlineStr">
        <is>
          <t>選定基準にASR・制約との対応がある</t>
        </is>
      </c>
      <c r="F71" s="4" t="inlineStr">
        <is>
          <t>評価基準がASR・品質属性・制約から導出されており、恣意的な基準のみで選定されていない</t>
        </is>
      </c>
      <c r="G71" s="4" t="inlineStr">
        <is>
          <t>評価基準がASR・制約から導出されていないと、システムの品質要求と無関係な好みで技術が選ばれ、選定した技術がASRを満たせないリスクを見逃す。</t>
        </is>
      </c>
      <c r="H71" s="4" t="inlineStr">
        <is>
          <t>swebok-v4a.pdf ch02 Software Architecture &gt; 3.2.1 Architecture Analysis(ASR)+ 2.4(要求・制約が決定に影響)</t>
        </is>
      </c>
      <c r="I71" s="4" t="inlineStr">
        <is>
          <t>CORE</t>
        </is>
      </c>
      <c r="J71" s="4" t="inlineStr">
        <is>
          <t>原則適用。案件スコープ・成果物・規制・リスク上非該当の場合はN/A根拠を記録。</t>
        </is>
      </c>
      <c r="K71" s="4" t="inlineStr">
        <is>
          <t>SRC-SWEBOK-V4A</t>
        </is>
      </c>
      <c r="L71" s="4" t="inlineStr"/>
      <c r="M71" s="4" t="n"/>
      <c r="N71" s="4" t="n"/>
      <c r="O71" s="4" t="n"/>
      <c r="P71" s="4" t="n"/>
      <c r="Q71" s="4" t="n"/>
      <c r="R71" s="4" t="n"/>
      <c r="S71" s="4" t="n"/>
      <c r="T71" s="4" t="n"/>
      <c r="U71" s="4" t="n"/>
      <c r="V71" s="4" t="n"/>
      <c r="W71" s="4" t="n"/>
    </row>
    <row r="72">
      <c r="A72" s="5" t="inlineStr">
        <is>
          <t>ARC-093</t>
        </is>
      </c>
      <c r="B72" s="5" t="inlineStr">
        <is>
          <t>SWEBOK</t>
        </is>
      </c>
      <c r="C72" s="4" t="inlineStr">
        <is>
          <t>9. 技術選定</t>
        </is>
      </c>
      <c r="D72" s="10" t="inlineStr">
        <is>
          <t>Medium</t>
        </is>
      </c>
      <c r="E72" s="4" t="inlineStr">
        <is>
          <t>ライセンス・コストが確認されている</t>
        </is>
      </c>
      <c r="F72" s="4" t="inlineStr">
        <is>
          <t>採用技術のライセンス条件(商用利用可否・コピーレフト等)と、ランニングコストの見積もりが記録されている</t>
        </is>
      </c>
      <c r="G72" s="4" t="inlineStr">
        <is>
          <t>ライセンス条件の見落としはソース公開義務や商用利用不可という法的問題に、コスト未見積もりは運用予算の破綻に直結する。</t>
        </is>
      </c>
      <c r="H72" s="4" t="inlineStr">
        <is>
          <t>実務補完(OSSライセンス・TCO評価)</t>
        </is>
      </c>
      <c r="I72" s="4" t="inlineStr">
        <is>
          <t>CORE</t>
        </is>
      </c>
      <c r="J72" s="4" t="inlineStr">
        <is>
          <t>原則適用。案件スコープ・成果物・規制・リスク上非該当の場合はN/A根拠を記録。</t>
        </is>
      </c>
      <c r="K72" s="4" t="inlineStr">
        <is>
          <t>SRC-PRACTICE</t>
        </is>
      </c>
      <c r="L72" s="4" t="inlineStr">
        <is>
          <t>COST</t>
        </is>
      </c>
      <c r="M72" s="4" t="n"/>
      <c r="N72" s="4" t="n"/>
      <c r="O72" s="4" t="n"/>
      <c r="P72" s="4" t="n"/>
      <c r="Q72" s="4" t="n"/>
      <c r="R72" s="4" t="n"/>
      <c r="S72" s="4" t="n"/>
      <c r="T72" s="4" t="n"/>
      <c r="U72" s="4" t="n"/>
      <c r="V72" s="4" t="n"/>
      <c r="W72" s="4" t="n"/>
    </row>
    <row r="73">
      <c r="A73" s="5" t="inlineStr">
        <is>
          <t>ARC-094</t>
        </is>
      </c>
      <c r="B73" s="5" t="inlineStr">
        <is>
          <t>SWEBOK</t>
        </is>
      </c>
      <c r="C73" s="4" t="inlineStr">
        <is>
          <t>9. 技術選定</t>
        </is>
      </c>
      <c r="D73" s="10" t="inlineStr">
        <is>
          <t>Medium</t>
        </is>
      </c>
      <c r="E73" s="4" t="inlineStr">
        <is>
          <t>技術の継続性リスクが評価されている</t>
        </is>
      </c>
      <c r="F73" s="4" t="inlineStr">
        <is>
          <t>採用技術のEOL・メンテナンス状況・コミュニティ/ベンダーサポートが確認され、撤退・移行の困難さ(ロックイン)が言及されている</t>
        </is>
      </c>
      <c r="G73" s="4" t="inlineStr">
        <is>
          <t>EOLやベンダーロックインを評価しないと、採用技術の突然のサポート終了で計画外の大規模移行を強いられ、進化性が外部要因で失われる。</t>
        </is>
      </c>
      <c r="H73" s="4" t="inlineStr">
        <is>
          <t>実務補完(技術ライフサイクル・ロックイン評価)+ 4.1(ライフタイムを通じた頑健性)</t>
        </is>
      </c>
      <c r="I73" s="4" t="inlineStr">
        <is>
          <t>CORE</t>
        </is>
      </c>
      <c r="J73" s="4" t="inlineStr">
        <is>
          <t>原則適用。案件スコープ・成果物・規制・リスク上非該当の場合はN/A根拠を記録。</t>
        </is>
      </c>
      <c r="K73" s="4" t="inlineStr">
        <is>
          <t>SRC-PRACTICE</t>
        </is>
      </c>
      <c r="L73" s="4" t="inlineStr"/>
      <c r="M73" s="4" t="n"/>
      <c r="N73" s="4" t="n"/>
      <c r="O73" s="4" t="n"/>
      <c r="P73" s="4" t="n"/>
      <c r="Q73" s="4" t="n"/>
      <c r="R73" s="4" t="n"/>
      <c r="S73" s="4" t="n"/>
      <c r="T73" s="4" t="n"/>
      <c r="U73" s="4" t="n"/>
      <c r="V73" s="4" t="n"/>
      <c r="W73" s="4" t="n"/>
    </row>
    <row r="74">
      <c r="A74" s="5" t="inlineStr">
        <is>
          <t>ARC-095</t>
        </is>
      </c>
      <c r="B74" s="5" t="inlineStr">
        <is>
          <t>SWEBOK</t>
        </is>
      </c>
      <c r="C74" s="4" t="inlineStr">
        <is>
          <t>9. 技術選定</t>
        </is>
      </c>
      <c r="D74" s="11" t="inlineStr">
        <is>
          <t>Low</t>
        </is>
      </c>
      <c r="E74" s="4" t="inlineStr">
        <is>
          <t>検証結果が選定根拠に含まれている</t>
        </is>
      </c>
      <c r="F74" s="4" t="inlineStr">
        <is>
          <t>比較の根拠に一次情報(公式ドキュメント、実測ベンチマーク、PoC結果)が含まれ、伝聞のみで決定されていない</t>
        </is>
      </c>
      <c r="G74" s="4" t="inlineStr">
        <is>
          <t>伝聞や評判のみに基づく選定は自環境での適合性を保証せず、想定と異なる性能・制約が導入後に発覚して撤退コストを支払うことになる。</t>
        </is>
      </c>
      <c r="H74" s="4" t="inlineStr">
        <is>
          <t>実務補完(一次情報・実測による裏付け)</t>
        </is>
      </c>
      <c r="I74" s="4" t="inlineStr">
        <is>
          <t>CORE</t>
        </is>
      </c>
      <c r="J74" s="4" t="inlineStr">
        <is>
          <t>原則適用。案件スコープ・成果物・規制・リスク上非該当の場合はN/A根拠を記録。</t>
        </is>
      </c>
      <c r="K74" s="4" t="inlineStr">
        <is>
          <t>SRC-PRACTICE</t>
        </is>
      </c>
      <c r="L74" s="4" t="inlineStr"/>
      <c r="M74" s="4" t="n"/>
      <c r="N74" s="4" t="n"/>
      <c r="O74" s="4" t="n"/>
      <c r="P74" s="4" t="n"/>
      <c r="Q74" s="4" t="n"/>
      <c r="R74" s="4" t="n"/>
      <c r="S74" s="4" t="n"/>
      <c r="T74" s="4" t="n"/>
      <c r="U74" s="4" t="n"/>
      <c r="V74" s="4" t="n"/>
      <c r="W74" s="4" t="n"/>
    </row>
    <row r="75">
      <c r="A75" s="5" t="inlineStr">
        <is>
          <t>ARC-100</t>
        </is>
      </c>
      <c r="B75" s="5" t="inlineStr">
        <is>
          <t>SWEBOK</t>
        </is>
      </c>
      <c r="C75" s="4" t="inlineStr">
        <is>
          <t>10. 記述品質・管理・実装統制</t>
        </is>
      </c>
      <c r="D75" s="9" t="inlineStr">
        <is>
          <t>High</t>
        </is>
      </c>
      <c r="E75" s="4" t="inlineStr">
        <is>
          <t>ADが版管理されている</t>
        </is>
      </c>
      <c r="F75" s="4" t="inlineStr">
        <is>
          <t>ADにバージョン・変更履歴があり、構成管理(リポジトリ等)下に置かれている</t>
        </is>
      </c>
      <c r="G75" s="4" t="inlineStr">
        <is>
          <t>ADはシステムの進化や人の入れ替わりの中で共有理解を支える作業成果物であり、版管理がないとどれが現行かが分からず、古い記述に基づく判断ミスを生む。</t>
        </is>
      </c>
      <c r="H75" s="4" t="inlineStr">
        <is>
          <t>swebok-v4a.pdf ch02 Software Architecture &gt; 2. Software Architecture Description(作業成果物としてのAD)+ 実務補完(構成管理)</t>
        </is>
      </c>
      <c r="I75" s="4" t="inlineStr">
        <is>
          <t>CORE</t>
        </is>
      </c>
      <c r="J75" s="4" t="inlineStr">
        <is>
          <t>原則適用。案件スコープ・成果物・規制・リスク上非該当の場合はN/A根拠を記録。</t>
        </is>
      </c>
      <c r="K75" s="4" t="inlineStr">
        <is>
          <t>SRC-SWEBOK-V4A;SRC-PRACTICE</t>
        </is>
      </c>
      <c r="L75" s="4" t="inlineStr"/>
      <c r="M75" s="4" t="n"/>
      <c r="N75" s="4" t="n"/>
      <c r="O75" s="4" t="n"/>
      <c r="P75" s="4" t="n"/>
      <c r="Q75" s="4" t="n"/>
      <c r="R75" s="4" t="n"/>
      <c r="S75" s="4" t="n"/>
      <c r="T75" s="4" t="n"/>
      <c r="U75" s="4" t="n"/>
      <c r="V75" s="4" t="n"/>
      <c r="W75" s="4" t="n"/>
    </row>
    <row r="76">
      <c r="A76" s="5" t="inlineStr">
        <is>
          <t>ARC-101</t>
        </is>
      </c>
      <c r="B76" s="5" t="inlineStr">
        <is>
          <t>SWEBOK</t>
        </is>
      </c>
      <c r="C76" s="4" t="inlineStr">
        <is>
          <t>10. 記述品質・管理・実装統制</t>
        </is>
      </c>
      <c r="D76" s="9" t="inlineStr">
        <is>
          <t>High</t>
        </is>
      </c>
      <c r="E76" s="4" t="inlineStr">
        <is>
          <t>ステークホルダーの承認記録がある</t>
        </is>
      </c>
      <c r="F76" s="4" t="inlineStr">
        <is>
          <t>ADについて、主要ステークホルダーによるレビュー・承認の記録(日付・承認者)がある</t>
        </is>
      </c>
      <c r="G76" s="4" t="inlineStr">
        <is>
          <t>ADは関心事を持つステークホルダーに向けた文書であり、承認記録がないと合意なき設計として後から覆され、実装済み部分の手戻りが発生する。</t>
        </is>
      </c>
      <c r="H76" s="4" t="inlineStr">
        <is>
          <t>swebok-v4a.pdf ch02 Software Architecture &gt; 2. Software Architecture Description(ステークホルダーへの対応)+ 実務補完(承認プロセス)</t>
        </is>
      </c>
      <c r="I76" s="4" t="inlineStr">
        <is>
          <t>CORE</t>
        </is>
      </c>
      <c r="J76" s="4" t="inlineStr">
        <is>
          <t>原則適用。案件スコープ・成果物・規制・リスク上非該当の場合はN/A根拠を記録。</t>
        </is>
      </c>
      <c r="K76" s="4" t="inlineStr">
        <is>
          <t>SRC-SWEBOK-V4A;SRC-PRACTICE</t>
        </is>
      </c>
      <c r="L76" s="4" t="inlineStr"/>
      <c r="M76" s="4" t="n"/>
      <c r="N76" s="4" t="n"/>
      <c r="O76" s="4" t="n"/>
      <c r="P76" s="4" t="n"/>
      <c r="Q76" s="4" t="n"/>
      <c r="R76" s="4" t="n"/>
      <c r="S76" s="4" t="n"/>
      <c r="T76" s="4" t="n"/>
      <c r="U76" s="4" t="n"/>
      <c r="V76" s="4" t="n"/>
      <c r="W76" s="4" t="n"/>
    </row>
    <row r="77">
      <c r="A77" s="5" t="inlineStr">
        <is>
          <t>ARC-102</t>
        </is>
      </c>
      <c r="B77" s="5" t="inlineStr">
        <is>
          <t>SWEBOK</t>
        </is>
      </c>
      <c r="C77" s="4" t="inlineStr">
        <is>
          <t>10. 記述品質・管理・実装統制</t>
        </is>
      </c>
      <c r="D77" s="9" t="inlineStr">
        <is>
          <t>High</t>
        </is>
      </c>
      <c r="E77" s="4" t="inlineStr">
        <is>
          <t>用語が定義され一貫している</t>
        </is>
      </c>
      <c r="F77" s="4" t="inlineStr">
        <is>
          <t>用語集があり、同一概念に複数の名称を使っていない。SWEBOK/JIS等の定訳がある用語は定訳を使用している</t>
        </is>
      </c>
      <c r="G77" s="4" t="inlineStr">
        <is>
          <t>ビューポイントの語彙は関係者の共有された表現手段であり、同一概念に複数名称が混在すると別物と誤認され、設計議論と実装の齟齬を生む。</t>
        </is>
      </c>
      <c r="H77" s="4" t="inlineStr">
        <is>
          <t>swebok-v4a.pdf ch02 Software Architecture &gt; 2.1 Architecture Views and Viewpoints(共有語彙としてのビューポイント言語)</t>
        </is>
      </c>
      <c r="I77" s="4" t="inlineStr">
        <is>
          <t>CORE</t>
        </is>
      </c>
      <c r="J77" s="4" t="inlineStr">
        <is>
          <t>原則適用。案件スコープ・成果物・規制・リスク上非該当の場合はN/A根拠を記録。</t>
        </is>
      </c>
      <c r="K77" s="4" t="inlineStr">
        <is>
          <t>SRC-SWEBOK-V4A</t>
        </is>
      </c>
      <c r="L77" s="4" t="inlineStr"/>
      <c r="M77" s="4" t="n"/>
      <c r="N77" s="4" t="n"/>
      <c r="O77" s="4" t="n"/>
      <c r="P77" s="4" t="n"/>
      <c r="Q77" s="4" t="n"/>
      <c r="R77" s="4" t="n"/>
      <c r="S77" s="4" t="n"/>
      <c r="T77" s="4" t="n"/>
      <c r="U77" s="4" t="n"/>
      <c r="V77" s="4" t="n"/>
      <c r="W77" s="4" t="n"/>
    </row>
    <row r="78">
      <c r="A78" s="5" t="inlineStr">
        <is>
          <t>ARC-103</t>
        </is>
      </c>
      <c r="B78" s="5" t="inlineStr">
        <is>
          <t>SWEBOK</t>
        </is>
      </c>
      <c r="C78" s="4" t="inlineStr">
        <is>
          <t>10. 記述品質・管理・実装統制</t>
        </is>
      </c>
      <c r="D78" s="9" t="inlineStr">
        <is>
          <t>High</t>
        </is>
      </c>
      <c r="E78" s="4" t="inlineStr">
        <is>
          <t>実装統制の仕組みが定義されている</t>
        </is>
      </c>
      <c r="F78" s="4" t="inlineStr">
        <is>
          <t>実装がADに準拠していることを確認する方法(依存関係チェック、適合性テスト、レビュー観点等)が文書化されている</t>
        </is>
      </c>
      <c r="G78" s="4" t="inlineStr">
        <is>
          <t>実装がアーキテクチャに準拠していることの監督・認証(architecture implementation)を欠くと、ADと実装が乖離し、設計上の品質保証が実体を失う。</t>
        </is>
      </c>
      <c r="H78" s="4" t="inlineStr">
        <is>
          <t>swebok-v4a.pdf ch02 Software Architecture &gt; 3.4 Architecting in the Large(architecture implementation: 準拠の認証)</t>
        </is>
      </c>
      <c r="I78" s="4" t="inlineStr">
        <is>
          <t>CORE</t>
        </is>
      </c>
      <c r="J78" s="4" t="inlineStr">
        <is>
          <t>原則適用。案件スコープ・成果物・規制・リスク上非該当の場合はN/A根拠を記録。</t>
        </is>
      </c>
      <c r="K78" s="4" t="inlineStr">
        <is>
          <t>SRC-SWEBOK-V4A</t>
        </is>
      </c>
      <c r="L78" s="4" t="inlineStr"/>
      <c r="M78" s="4" t="n"/>
      <c r="N78" s="4" t="n"/>
      <c r="O78" s="4" t="n"/>
      <c r="P78" s="4" t="n"/>
      <c r="Q78" s="4" t="n"/>
      <c r="R78" s="4" t="n"/>
      <c r="S78" s="4" t="n"/>
      <c r="T78" s="4" t="n"/>
      <c r="U78" s="4" t="n"/>
      <c r="V78" s="4" t="n"/>
      <c r="W78" s="4" t="n"/>
    </row>
    <row r="79">
      <c r="A79" s="5" t="inlineStr">
        <is>
          <t>ARC-104</t>
        </is>
      </c>
      <c r="B79" s="5" t="inlineStr">
        <is>
          <t>SWEBOK</t>
        </is>
      </c>
      <c r="C79" s="4" t="inlineStr">
        <is>
          <t>10. 記述品質・管理・実装統制</t>
        </is>
      </c>
      <c r="D79" s="10" t="inlineStr">
        <is>
          <t>Medium</t>
        </is>
      </c>
      <c r="E79" s="4" t="inlineStr">
        <is>
          <t>アーキテクチャメトリクスが定義されている</t>
        </is>
      </c>
      <c r="F79" s="4" t="inlineStr">
        <is>
          <t>構造メトリクス(循環依存、結合度・凝集度、準拠度等)またはプロセスメトリクス(リードタイム、デプロイ頻度、MTTR、変更失敗率等)のうち、計測するものと計測方法が定義されている</t>
        </is>
      </c>
      <c r="G79" s="4" t="inlineStr">
        <is>
          <t>依存・結合度などの構造メトリクスやDevOps系プロセスメトリクスを定義しないと、アーキテクチャの劣化を定量的に検知できず、気づいたときには修復困難になっている。</t>
        </is>
      </c>
      <c r="H79" s="4" t="inlineStr">
        <is>
          <t>swebok-v4a.pdf ch02 Software Architecture &gt; 4.4 Architecture Metrics</t>
        </is>
      </c>
      <c r="I79" s="4" t="inlineStr">
        <is>
          <t>CORE</t>
        </is>
      </c>
      <c r="J79" s="4" t="inlineStr">
        <is>
          <t>原則適用。案件スコープ・成果物・規制・リスク上非該当の場合はN/A根拠を記録。</t>
        </is>
      </c>
      <c r="K79" s="4" t="inlineStr">
        <is>
          <t>SRC-SWEBOK-V4A</t>
        </is>
      </c>
      <c r="L79" s="4" t="inlineStr">
        <is>
          <t>OPS-OBSERVABILITY</t>
        </is>
      </c>
      <c r="M79" s="4" t="n"/>
      <c r="N79" s="4" t="n"/>
      <c r="O79" s="4" t="n"/>
      <c r="P79" s="4" t="n"/>
      <c r="Q79" s="4" t="n"/>
      <c r="R79" s="4" t="n"/>
      <c r="S79" s="4" t="n"/>
      <c r="T79" s="4" t="n"/>
      <c r="U79" s="4" t="n"/>
      <c r="V79" s="4" t="n"/>
      <c r="W79" s="4" t="n"/>
    </row>
    <row r="80">
      <c r="A80" s="5" t="inlineStr">
        <is>
          <t>ARC-105</t>
        </is>
      </c>
      <c r="B80" s="5" t="inlineStr">
        <is>
          <t>SWEBOK</t>
        </is>
      </c>
      <c r="C80" s="4" t="inlineStr">
        <is>
          <t>10. 記述品質・管理・実装統制</t>
        </is>
      </c>
      <c r="D80" s="10" t="inlineStr">
        <is>
          <t>Medium</t>
        </is>
      </c>
      <c r="E80" s="4" t="inlineStr">
        <is>
          <t>ADの更新・見直しプロセスがある</t>
        </is>
      </c>
      <c r="F80" s="4" t="inlineStr">
        <is>
          <t>ADを更新するトリガー(重要決定の追加、乖離の検知、定期見直し)と更新責任者が定められている</t>
        </is>
      </c>
      <c r="G80" s="4" t="inlineStr">
        <is>
          <t>実装後のアーキテクチャの管理・拡張(architecture maintenance)の仕組みがないと、ADが初回リリース時点で凍結され、以降の変更が無統制に積み重なる。</t>
        </is>
      </c>
      <c r="H80" s="4" t="inlineStr">
        <is>
          <t>swebok-v4a.pdf ch02 Software Architecture &gt; 3.4 Architecting in the Large(architecture maintenance)</t>
        </is>
      </c>
      <c r="I80" s="4" t="inlineStr">
        <is>
          <t>CORE</t>
        </is>
      </c>
      <c r="J80" s="4" t="inlineStr">
        <is>
          <t>原則適用。案件スコープ・成果物・規制・リスク上非該当の場合はN/A根拠を記録。</t>
        </is>
      </c>
      <c r="K80" s="4" t="inlineStr">
        <is>
          <t>SRC-SWEBOK-V4A</t>
        </is>
      </c>
      <c r="L80" s="4" t="inlineStr"/>
      <c r="M80" s="4" t="n"/>
      <c r="N80" s="4" t="n"/>
      <c r="O80" s="4" t="n"/>
      <c r="P80" s="4" t="n"/>
      <c r="Q80" s="4" t="n"/>
      <c r="R80" s="4" t="n"/>
      <c r="S80" s="4" t="n"/>
      <c r="T80" s="4" t="n"/>
      <c r="U80" s="4" t="n"/>
      <c r="V80" s="4" t="n"/>
      <c r="W80" s="4" t="n"/>
    </row>
    <row r="81">
      <c r="A81" s="5" t="inlineStr">
        <is>
          <t>ARC-106</t>
        </is>
      </c>
      <c r="B81" s="5" t="inlineStr">
        <is>
          <t>SWEBOK</t>
        </is>
      </c>
      <c r="C81" s="4" t="inlineStr">
        <is>
          <t>10. 記述品質・管理・実装統制</t>
        </is>
      </c>
      <c r="D81" s="10" t="inlineStr">
        <is>
          <t>Medium</t>
        </is>
      </c>
      <c r="E81" s="4" t="inlineStr">
        <is>
          <t>文書が自己完結的に読める</t>
        </is>
      </c>
      <c r="F81" s="4" t="inlineStr">
        <is>
          <t>対象読者が前提知識・参照文書を辿れる(参照文書一覧がある)、略語が初出で展開されている、リンク切れ・参照先欠落がない</t>
        </is>
      </c>
      <c r="G81" s="4" t="inlineStr">
        <is>
          <t>参照を辿れない・略語が展開されない文書は新規参画者の理解を阻害し、ADの主目的である共有理解の形成が果たせない。</t>
        </is>
      </c>
      <c r="H81" s="4" t="inlineStr">
        <is>
          <t>実務補完(ドキュメント品質)+ 1.3 Uses of Architecture(共有理解の形成)</t>
        </is>
      </c>
      <c r="I81" s="4" t="inlineStr">
        <is>
          <t>CORE</t>
        </is>
      </c>
      <c r="J81" s="4" t="inlineStr">
        <is>
          <t>原則適用。案件スコープ・成果物・規制・リスク上非該当の場合はN/A根拠を記録。</t>
        </is>
      </c>
      <c r="K81" s="4" t="inlineStr">
        <is>
          <t>SRC-PRACTICE</t>
        </is>
      </c>
      <c r="L81" s="4" t="inlineStr"/>
      <c r="M81" s="4" t="n"/>
      <c r="N81" s="4" t="n"/>
      <c r="O81" s="4" t="n"/>
      <c r="P81" s="4" t="n"/>
      <c r="Q81" s="4" t="n"/>
      <c r="R81" s="4" t="n"/>
      <c r="S81" s="4" t="n"/>
      <c r="T81" s="4" t="n"/>
      <c r="U81" s="4" t="n"/>
      <c r="V81" s="4" t="n"/>
      <c r="W81" s="4" t="n"/>
    </row>
    <row r="82">
      <c r="A82" s="5" t="inlineStr">
        <is>
          <t>ARC-107</t>
        </is>
      </c>
      <c r="B82" s="5" t="inlineStr">
        <is>
          <t>SWEBOK</t>
        </is>
      </c>
      <c r="C82" s="4" t="inlineStr">
        <is>
          <t>10. 記述品質・管理・実装統制</t>
        </is>
      </c>
      <c r="D82" s="11" t="inlineStr">
        <is>
          <t>Low</t>
        </is>
      </c>
      <c r="E82" s="4" t="inlineStr">
        <is>
          <t>表・図のマークダウン/フォーマットが正しい</t>
        </is>
      </c>
      <c r="F82" s="4" t="inlineStr">
        <is>
          <t>表が崩れていない、見出し階層が正しい、図が参照どおりに存在する</t>
        </is>
      </c>
      <c r="G82" s="4" t="inlineStr">
        <is>
          <t>表崩れや参照切れは内容以前に文書の信頼性を損ない、読者が細部の正確さ全体を疑って文書自体が使われなくなる。</t>
        </is>
      </c>
      <c r="H82" s="4" t="inlineStr">
        <is>
          <t>実務補完(ドキュメント品質)</t>
        </is>
      </c>
      <c r="I82" s="4" t="inlineStr">
        <is>
          <t>CORE</t>
        </is>
      </c>
      <c r="J82" s="4" t="inlineStr">
        <is>
          <t>原則適用。案件スコープ・成果物・規制・リスク上非該当の場合はN/A根拠を記録。</t>
        </is>
      </c>
      <c r="K82" s="4" t="inlineStr">
        <is>
          <t>SRC-PRACTICE</t>
        </is>
      </c>
      <c r="L82" s="4" t="inlineStr"/>
      <c r="M82" s="4" t="n"/>
      <c r="N82" s="4" t="n"/>
      <c r="O82" s="4" t="n"/>
      <c r="P82" s="4" t="n"/>
      <c r="Q82" s="4" t="n"/>
      <c r="R82" s="4" t="n"/>
      <c r="S82" s="4" t="n"/>
      <c r="T82" s="4" t="n"/>
      <c r="U82" s="4" t="n"/>
      <c r="V82" s="4" t="n"/>
      <c r="W82" s="4" t="n"/>
    </row>
    <row r="83">
      <c r="A83" s="5" t="inlineStr">
        <is>
          <t>ARC-902</t>
        </is>
      </c>
      <c r="B83" s="5" t="inlineStr">
        <is>
          <t>追加承認</t>
        </is>
      </c>
      <c r="C83" s="4" t="inlineStr">
        <is>
          <t>10. 記述品質・管理・実装統制</t>
        </is>
      </c>
      <c r="D83" s="11" t="inlineStr">
        <is>
          <t>Low</t>
        </is>
      </c>
      <c r="E83" s="4" t="inlineStr">
        <is>
          <t>アーキテクチャ知識が組織で共有・再利用できる形で管理されている</t>
        </is>
      </c>
      <c r="F83" s="4" t="inlineStr">
        <is>
          <t>ADR・教訓・ビューポイント定義・技術評価結果などのアーキテクチャ資産の保管場所と共有方法(リポジトリ、ナレッジベース等)が定められ、他プロジェクトから参照可能である。または本プロジェクト内で完結する理由が記載されている</t>
        </is>
      </c>
      <c r="G83" s="4" t="inlineStr">
        <is>
          <t>決定や教訓がプロジェクト内に閉じると、組織内の別チームが同じ技術評価や失敗を繰り返し、アーキテクチャ検討のコストが毎回ゼロから発生する。</t>
        </is>
      </c>
      <c r="H83" s="4" t="inlineStr">
        <is>
          <t>swebok-v4a.pdf ch02 Software Architecture &gt; 3.4 Architecting in the Large — アーキテクチャ知識管理(architecture knowledge management)</t>
        </is>
      </c>
      <c r="I83" s="4" t="inlineStr">
        <is>
          <t>CORE</t>
        </is>
      </c>
      <c r="J83" s="4" t="inlineStr">
        <is>
          <t>原則適用。案件スコープ・成果物・規制・リスク上非該当の場合はN/A根拠を記録。</t>
        </is>
      </c>
      <c r="K83" s="4" t="inlineStr">
        <is>
          <t>SRC-SWEBOK-V4A</t>
        </is>
      </c>
      <c r="L83" s="4" t="inlineStr"/>
      <c r="M83" s="4" t="n"/>
      <c r="N83" s="4" t="n"/>
      <c r="O83" s="4" t="n"/>
      <c r="P83" s="4" t="n"/>
      <c r="Q83" s="4" t="n"/>
      <c r="R83" s="4" t="n"/>
      <c r="S83" s="4" t="n"/>
      <c r="T83" s="4" t="n"/>
      <c r="U83" s="4" t="n"/>
      <c r="V83" s="4" t="n"/>
      <c r="W83" s="4" t="n"/>
    </row>
  </sheetData>
  <autoFilter ref="A1:W83"/>
  <conditionalFormatting sqref="O2:O2000">
    <cfRule type="cellIs" priority="1" operator="equal" dxfId="0">
      <formula>"Fail"</formula>
    </cfRule>
    <cfRule type="cellIs" priority="2" operator="equal" dxfId="1">
      <formula>"Pass"</formula>
    </cfRule>
    <cfRule type="cellIs" priority="4" operator="equal" dxfId="0">
      <formula>"Fail"</formula>
    </cfRule>
    <cfRule type="cellIs" priority="5" operator="equal" dxfId="1">
      <formula>"Pass"</formula>
    </cfRule>
    <cfRule type="cellIs" priority="7" operator="equal" dxfId="0">
      <formula>"Fail"</formula>
    </cfRule>
    <cfRule type="cellIs" priority="8" operator="equal" dxfId="1">
      <formula>"Pass"</formula>
    </cfRule>
    <cfRule type="cellIs" priority="10" operator="equal" dxfId="0">
      <formula>"Fail"</formula>
    </cfRule>
    <cfRule type="cellIs" priority="11" operator="equal" dxfId="1">
      <formula>"Pass"</formula>
    </cfRule>
    <cfRule type="cellIs" priority="13" operator="equal" dxfId="0">
      <formula>"Fail"</formula>
    </cfRule>
    <cfRule type="cellIs" priority="14" operator="equal" dxfId="1">
      <formula>"Pass"</formula>
    </cfRule>
  </conditionalFormatting>
  <conditionalFormatting sqref="N2:N2000">
    <cfRule type="cellIs" priority="3" operator="equal" dxfId="2">
      <formula>"N/A"</formula>
    </cfRule>
    <cfRule type="cellIs" priority="6" operator="equal" dxfId="2">
      <formula>"N/A"</formula>
    </cfRule>
    <cfRule type="cellIs" priority="9" operator="equal" dxfId="2">
      <formula>"N/A"</formula>
    </cfRule>
    <cfRule type="cellIs" priority="12" operator="equal" dxfId="2">
      <formula>"N/A"</formula>
    </cfRule>
    <cfRule type="cellIs" priority="15" operator="equal" dxfId="2">
      <formula>"N/A"</formula>
    </cfRule>
  </conditionalFormatting>
  <dataValidations count="20">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s>
  <pageMargins left="0.75" right="0.75" top="1" bottom="1" header="0.5" footer="0.5"/>
  <pageSetup orientation="landscape" fitToWidth="1"/>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W98"/>
  <sheetViews>
    <sheetView workbookViewId="0">
      <pane xSplit="4" ySplit="1" topLeftCell="E2"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4" customWidth="1" min="1" max="1"/>
    <col width="14" customWidth="1" min="2" max="2"/>
    <col width="28" customWidth="1" min="3" max="3"/>
    <col width="12" customWidth="1" min="4" max="4"/>
    <col width="46" customWidth="1" min="5" max="5"/>
    <col width="52" customWidth="1" min="6" max="6"/>
    <col width="48" customWidth="1" min="7" max="7"/>
    <col width="46" customWidth="1" min="8" max="8"/>
    <col width="18" customWidth="1" min="9" max="9"/>
    <col width="38" customWidth="1" min="10" max="10"/>
    <col width="28" customWidth="1" min="11" max="11"/>
    <col width="25" customWidth="1" min="12" max="12"/>
    <col width="13" customWidth="1" min="13" max="13"/>
    <col width="12" customWidth="1" min="14" max="14"/>
    <col width="12" customWidth="1" min="15" max="15"/>
    <col width="38" customWidth="1" min="16" max="16"/>
    <col width="24" customWidth="1" min="17" max="17"/>
    <col width="30" customWidth="1" min="18" max="18"/>
    <col width="23" customWidth="1" min="19" max="19"/>
    <col width="15" customWidth="1" min="20" max="20"/>
    <col width="18" customWidth="1" min="21" max="21"/>
    <col width="15" customWidth="1" min="22" max="22"/>
    <col width="15" customWidth="1" min="23" max="23"/>
  </cols>
  <sheetData>
    <row r="1">
      <c r="A1" s="3" t="inlineStr">
        <is>
          <t>ID</t>
        </is>
      </c>
      <c r="B1" s="3" t="inlineStr">
        <is>
          <t>区分</t>
        </is>
      </c>
      <c r="C1" s="3" t="inlineStr">
        <is>
          <t>カテゴリ</t>
        </is>
      </c>
      <c r="D1" s="3" t="inlineStr">
        <is>
          <t>基準重要度</t>
        </is>
      </c>
      <c r="E1" s="3" t="inlineStr">
        <is>
          <t>チェック項目</t>
        </is>
      </c>
      <c r="F1" s="3" t="inlineStr">
        <is>
          <t>合格基準</t>
        </is>
      </c>
      <c r="G1" s="3" t="inlineStr">
        <is>
          <t>意図(なぜ確認するか)</t>
        </is>
      </c>
      <c r="H1" s="3" t="inlineStr">
        <is>
          <t>対象ドキュメント(参照箇所)</t>
        </is>
      </c>
      <c r="I1" s="21" t="inlineStr">
        <is>
          <t>適用プロファイル</t>
        </is>
      </c>
      <c r="J1" s="21" t="inlineStr">
        <is>
          <t>適用条件</t>
        </is>
      </c>
      <c r="K1" s="21" t="inlineStr">
        <is>
          <t>出典ID</t>
        </is>
      </c>
      <c r="L1" s="21" t="inlineStr">
        <is>
          <t>重複統制グループ</t>
        </is>
      </c>
      <c r="M1" s="21" t="inlineStr">
        <is>
          <t>案件重要度</t>
        </is>
      </c>
      <c r="N1" s="21" t="inlineStr">
        <is>
          <t>適用判定</t>
        </is>
      </c>
      <c r="O1" s="21" t="inlineStr">
        <is>
          <t>判定</t>
        </is>
      </c>
      <c r="P1" s="21" t="inlineStr">
        <is>
          <t>証跡・参照箇所</t>
        </is>
      </c>
      <c r="Q1" s="21" t="inlineStr">
        <is>
          <t>指摘・Issue ID</t>
        </is>
      </c>
      <c r="R1" s="21" t="inlineStr">
        <is>
          <t>対応方針</t>
        </is>
      </c>
      <c r="S1" s="21" t="inlineStr">
        <is>
          <t>例外・リスク受容承認者</t>
        </is>
      </c>
      <c r="T1" s="21" t="inlineStr">
        <is>
          <t>是正期限</t>
        </is>
      </c>
      <c r="U1" s="21" t="inlineStr">
        <is>
          <t>レビュアー</t>
        </is>
      </c>
      <c r="V1" s="21" t="inlineStr">
        <is>
          <t>レビュー日</t>
        </is>
      </c>
      <c r="W1" s="21" t="inlineStr">
        <is>
          <t>再確認結果</t>
        </is>
      </c>
    </row>
    <row r="2">
      <c r="A2" s="5" t="inlineStr">
        <is>
          <t>DES-001</t>
        </is>
      </c>
      <c r="B2" s="5" t="inlineStr">
        <is>
          <t>SWEBOK</t>
        </is>
      </c>
      <c r="C2" s="4" t="inlineStr">
        <is>
          <t>1. 全般・トレーサビリティ</t>
        </is>
      </c>
      <c r="D2" s="8" t="inlineStr">
        <is>
          <t>Critical</t>
        </is>
      </c>
      <c r="E2" s="4" t="inlineStr">
        <is>
          <t>要求から設計へのトレーサビリティが確保されている</t>
        </is>
      </c>
      <c r="F2" s="4" t="inlineStr">
        <is>
          <t>要求ID と設計項目の対応表が存在し、対象範囲の全機能要求が少なくとも1つの設計項目に対応付いている</t>
        </is>
      </c>
      <c r="G2" s="4" t="inlineStr">
        <is>
          <t>要求に対応しない設計(実装漏れ)や、要求のない勝手な作り込みを防ぐ。対応表がないと、テスト工程で要求の実現有無を検証できず大規模な手戻りになる。</t>
        </is>
      </c>
      <c r="H2" s="4" t="inlineStr">
        <is>
          <t>swebok-v4a.pdf ch03 Software Design &gt; 1.2 Context of Software Design(要求との関係)/ 1.4 Completeness(要求に対する設計の完全性)</t>
        </is>
      </c>
      <c r="I2" s="4" t="inlineStr">
        <is>
          <t>CORE</t>
        </is>
      </c>
      <c r="J2" s="4" t="inlineStr">
        <is>
          <t>原則適用。案件スコープ・成果物・規制・リスク上非該当の場合はN/A根拠を記録。</t>
        </is>
      </c>
      <c r="K2" s="4" t="inlineStr">
        <is>
          <t>SRC-SWEBOK-V4A</t>
        </is>
      </c>
      <c r="L2" s="4" t="inlineStr"/>
      <c r="M2" s="4" t="n"/>
      <c r="N2" s="4" t="n"/>
      <c r="O2" s="4" t="n"/>
      <c r="P2" s="4" t="n"/>
      <c r="Q2" s="4" t="n"/>
      <c r="R2" s="4" t="n"/>
      <c r="S2" s="4" t="n"/>
      <c r="T2" s="4" t="n"/>
      <c r="U2" s="4" t="n"/>
      <c r="V2" s="4" t="n"/>
      <c r="W2" s="4" t="n"/>
    </row>
    <row r="3">
      <c r="A3" s="5" t="inlineStr">
        <is>
          <t>DES-002</t>
        </is>
      </c>
      <c r="B3" s="5" t="inlineStr">
        <is>
          <t>SWEBOK</t>
        </is>
      </c>
      <c r="C3" s="4" t="inlineStr">
        <is>
          <t>1. 全般・トレーサビリティ</t>
        </is>
      </c>
      <c r="D3" s="8" t="inlineStr">
        <is>
          <t>Critical</t>
        </is>
      </c>
      <c r="E3" s="4" t="inlineStr">
        <is>
          <t>アーキテクチャ設計との整合が取れている</t>
        </is>
      </c>
      <c r="F3" s="4" t="inlineStr">
        <is>
          <t>アーキテクチャ設計書に記載されたレイヤ構造・技術選定・通信方式・横断的関心事の戦略に反する設計記述がない</t>
        </is>
      </c>
      <c r="G3" s="4" t="inlineStr">
        <is>
          <t>アーキテクチャが定めた制約(構成要素・API・スタイル・原則)に反する詳細設計は、統合時に構造の破綻や作り直しを招く。上位設計との矛盾を実装前に検出する。</t>
        </is>
      </c>
      <c r="H3" s="4" t="inlineStr">
        <is>
          <t>swebok-v4a.pdf ch03 Software Design &gt; 1.2 Context of Software Design(アーキテクチャとの関係)/ 2.2 Detailed Design(上位設計の制約下で進める)</t>
        </is>
      </c>
      <c r="I3" s="4" t="inlineStr">
        <is>
          <t>CORE</t>
        </is>
      </c>
      <c r="J3" s="4" t="inlineStr">
        <is>
          <t>原則適用。案件スコープ・成果物・規制・リスク上非該当の場合はN/A根拠を記録。</t>
        </is>
      </c>
      <c r="K3" s="4" t="inlineStr">
        <is>
          <t>SRC-SWEBOK-V4A</t>
        </is>
      </c>
      <c r="L3" s="4" t="inlineStr"/>
      <c r="M3" s="4" t="n"/>
      <c r="N3" s="4" t="n"/>
      <c r="O3" s="4" t="n"/>
      <c r="P3" s="4" t="n"/>
      <c r="Q3" s="4" t="n"/>
      <c r="R3" s="4" t="n"/>
      <c r="S3" s="4" t="n"/>
      <c r="T3" s="4" t="n"/>
      <c r="U3" s="4" t="n"/>
      <c r="V3" s="4" t="n"/>
      <c r="W3" s="4" t="n"/>
    </row>
    <row r="4">
      <c r="A4" s="5" t="inlineStr">
        <is>
          <t>DES-003</t>
        </is>
      </c>
      <c r="B4" s="5" t="inlineStr">
        <is>
          <t>SWEBOK</t>
        </is>
      </c>
      <c r="C4" s="4" t="inlineStr">
        <is>
          <t>1. 全般・トレーサビリティ</t>
        </is>
      </c>
      <c r="D4" s="9" t="inlineStr">
        <is>
          <t>High</t>
        </is>
      </c>
      <c r="E4" s="4" t="inlineStr">
        <is>
          <t>非機能要求が設計に反映されている</t>
        </is>
      </c>
      <c r="F4" s="4" t="inlineStr">
        <is>
          <t>性能・可用性・セキュリティ等の非機能要求それぞれについて、対応する設計方針の記載箇所を指し示せる</t>
        </is>
      </c>
      <c r="G4" s="4" t="inlineStr">
        <is>
          <t>性能・セキュリティ等の品質懸念は全設計アプローチが扱うべき基本課題であり、後付け対応はほぼ不可能。設計時点で対応方針を持たないと本番で品質要求未達が露見する。</t>
        </is>
      </c>
      <c r="H4" s="4" t="inlineStr">
        <is>
          <t>swebok-v4a.pdf ch03 Software Design &gt; 1.3 Key Issues in Software Design / 3. Software Design Qualities</t>
        </is>
      </c>
      <c r="I4" s="4" t="inlineStr">
        <is>
          <t>CORE</t>
        </is>
      </c>
      <c r="J4" s="4" t="inlineStr">
        <is>
          <t>原則適用。案件スコープ・成果物・規制・リスク上非該当の場合はN/A根拠を記録。</t>
        </is>
      </c>
      <c r="K4" s="4" t="inlineStr">
        <is>
          <t>SRC-SWEBOK-V4A</t>
        </is>
      </c>
      <c r="L4" s="4" t="inlineStr"/>
      <c r="M4" s="4" t="n"/>
      <c r="N4" s="4" t="n"/>
      <c r="O4" s="4" t="n"/>
      <c r="P4" s="4" t="n"/>
      <c r="Q4" s="4" t="n"/>
      <c r="R4" s="4" t="n"/>
      <c r="S4" s="4" t="n"/>
      <c r="T4" s="4" t="n"/>
      <c r="U4" s="4" t="n"/>
      <c r="V4" s="4" t="n"/>
      <c r="W4" s="4" t="n"/>
    </row>
    <row r="5">
      <c r="A5" s="5" t="inlineStr">
        <is>
          <t>DES-004</t>
        </is>
      </c>
      <c r="B5" s="5" t="inlineStr">
        <is>
          <t>SWEBOK</t>
        </is>
      </c>
      <c r="C5" s="4" t="inlineStr">
        <is>
          <t>1. 全般・トレーサビリティ</t>
        </is>
      </c>
      <c r="D5" s="9" t="inlineStr">
        <is>
          <t>High</t>
        </is>
      </c>
      <c r="E5" s="4" t="inlineStr">
        <is>
          <t>設計書の対象範囲と対象外が明記されている</t>
        </is>
      </c>
      <c r="F5" s="4" t="inlineStr">
        <is>
          <t>「目的」「対象読者」「対象範囲」「対象外」の節が存在し、対象外項目には理由が書かれている</t>
        </is>
      </c>
      <c r="G5" s="4" t="inlineStr">
        <is>
          <t>範囲が曖昧だと「書かれていない部分」が設計漏れなのか対象外なのか判別できず、レビューの網羅性が保証できない。読者と用途を意識した設計記述の前提となる。</t>
        </is>
      </c>
      <c r="H5" s="4" t="inlineStr">
        <is>
          <t>swebok-v4a.pdf ch03 Software Design &gt; 4. Recording Software Designs(読者・主題・用途に応じた設計仕様の決定)</t>
        </is>
      </c>
      <c r="I5" s="4" t="inlineStr">
        <is>
          <t>CORE</t>
        </is>
      </c>
      <c r="J5" s="4" t="inlineStr">
        <is>
          <t>原則適用。案件スコープ・成果物・規制・リスク上非該当の場合はN/A根拠を記録。</t>
        </is>
      </c>
      <c r="K5" s="4" t="inlineStr">
        <is>
          <t>SRC-SWEBOK-V4A</t>
        </is>
      </c>
      <c r="L5" s="4" t="inlineStr"/>
      <c r="M5" s="4" t="n"/>
      <c r="N5" s="4" t="n"/>
      <c r="O5" s="4" t="n"/>
      <c r="P5" s="4" t="n"/>
      <c r="Q5" s="4" t="n"/>
      <c r="R5" s="4" t="n"/>
      <c r="S5" s="4" t="n"/>
      <c r="T5" s="4" t="n"/>
      <c r="U5" s="4" t="n"/>
      <c r="V5" s="4" t="n"/>
      <c r="W5" s="4" t="n"/>
    </row>
    <row r="6">
      <c r="A6" s="5" t="inlineStr">
        <is>
          <t>DES-005</t>
        </is>
      </c>
      <c r="B6" s="5" t="inlineStr">
        <is>
          <t>SWEBOK</t>
        </is>
      </c>
      <c r="C6" s="4" t="inlineStr">
        <is>
          <t>1. 全般・トレーサビリティ</t>
        </is>
      </c>
      <c r="D6" s="9" t="inlineStr">
        <is>
          <t>High</t>
        </is>
      </c>
      <c r="E6" s="4" t="inlineStr">
        <is>
          <t>用語が統一されている</t>
        </is>
      </c>
      <c r="F6" s="4" t="inlineStr">
        <is>
          <t>同一概念に複数の名称が使われていない(用語定義または用語集があり、本文がそれに従っている)</t>
        </is>
      </c>
      <c r="G6" s="4" t="inlineStr">
        <is>
          <t>設計は問題と解を表現する語彙を作る言語的活動であり、同一概念に複数名称があると実装者間で解釈が割れ、命名の不整合がそのままコードの不整合になる。</t>
        </is>
      </c>
      <c r="H6" s="4" t="inlineStr">
        <is>
          <t>swebok-v4a.pdf ch03 Software Design &gt; 1.1 Design Thinking(語彙の創出)/ 1.4 Uniformity</t>
        </is>
      </c>
      <c r="I6" s="4" t="inlineStr">
        <is>
          <t>CORE</t>
        </is>
      </c>
      <c r="J6" s="4" t="inlineStr">
        <is>
          <t>原則適用。案件スコープ・成果物・規制・リスク上非該当の場合はN/A根拠を記録。</t>
        </is>
      </c>
      <c r="K6" s="4" t="inlineStr">
        <is>
          <t>SRC-SWEBOK-V4A</t>
        </is>
      </c>
      <c r="L6" s="4" t="inlineStr"/>
      <c r="M6" s="4" t="n"/>
      <c r="N6" s="4" t="n"/>
      <c r="O6" s="4" t="n"/>
      <c r="P6" s="4" t="n"/>
      <c r="Q6" s="4" t="n"/>
      <c r="R6" s="4" t="n"/>
      <c r="S6" s="4" t="n"/>
      <c r="T6" s="4" t="n"/>
      <c r="U6" s="4" t="n"/>
      <c r="V6" s="4" t="n"/>
      <c r="W6" s="4" t="n"/>
    </row>
    <row r="7">
      <c r="A7" s="5" t="inlineStr">
        <is>
          <t>DES-006</t>
        </is>
      </c>
      <c r="B7" s="5" t="inlineStr">
        <is>
          <t>SWEBOK</t>
        </is>
      </c>
      <c r="C7" s="4" t="inlineStr">
        <is>
          <t>1. 全般・トレーサビリティ</t>
        </is>
      </c>
      <c r="D7" s="10" t="inlineStr">
        <is>
          <t>Medium</t>
        </is>
      </c>
      <c r="E7" s="4" t="inlineStr">
        <is>
          <t>参照文書が特定可能である</t>
        </is>
      </c>
      <c r="F7" s="4" t="inlineStr">
        <is>
          <t>参照する要求仕様書・アーキテクチャ設計書等が文書名+版数で列挙されている</t>
        </is>
      </c>
      <c r="G7" s="4" t="inlineStr">
        <is>
          <t>参照文書の版が特定できないと、古い要求仕様を前提に設計・実装してしまう事故が起きる。設計変更時の影響追跡の起点にもなる。</t>
        </is>
      </c>
      <c r="H7" s="4" t="inlineStr">
        <is>
          <t>実務補完(IEEE 1016 SDD 実務・構成管理)</t>
        </is>
      </c>
      <c r="I7" s="4" t="inlineStr">
        <is>
          <t>CORE</t>
        </is>
      </c>
      <c r="J7" s="4" t="inlineStr">
        <is>
          <t>原則適用。案件スコープ・成果物・規制・リスク上非該当の場合はN/A根拠を記録。</t>
        </is>
      </c>
      <c r="K7" s="4" t="inlineStr">
        <is>
          <t>SRC-IEEE-GENERAL;SRC-PRACTICE</t>
        </is>
      </c>
      <c r="L7" s="4" t="inlineStr"/>
      <c r="M7" s="4" t="n"/>
      <c r="N7" s="4" t="n"/>
      <c r="O7" s="4" t="n"/>
      <c r="P7" s="4" t="n"/>
      <c r="Q7" s="4" t="n"/>
      <c r="R7" s="4" t="n"/>
      <c r="S7" s="4" t="n"/>
      <c r="T7" s="4" t="n"/>
      <c r="U7" s="4" t="n"/>
      <c r="V7" s="4" t="n"/>
      <c r="W7" s="4" t="n"/>
    </row>
    <row r="8">
      <c r="A8" s="5" t="inlineStr">
        <is>
          <t>DES-007</t>
        </is>
      </c>
      <c r="B8" s="5" t="inlineStr">
        <is>
          <t>SWEBOK</t>
        </is>
      </c>
      <c r="C8" s="4" t="inlineStr">
        <is>
          <t>1. 全般・トレーサビリティ</t>
        </is>
      </c>
      <c r="D8" s="10" t="inlineStr">
        <is>
          <t>Medium</t>
        </is>
      </c>
      <c r="E8" s="4" t="inlineStr">
        <is>
          <t>実装可能な粒度まで詳細化されている</t>
        </is>
      </c>
      <c r="F8" s="4" t="inlineStr">
        <is>
          <t>実装者の裁量として残る事項がアルゴリズムの局所的な実装詳細に限られる(モジュール責務・インタフェース・データ構造に未決定事項がない)</t>
        </is>
      </c>
      <c r="G8" s="4" t="inlineStr">
        <is>
          <t>詳細設計は「プログラマが構築工程でコーディングできる十分な詳細さ」が完了条件。粒度不足は実装者ごとの独自判断を生み、結合時の不整合と手戻りを招く。</t>
        </is>
      </c>
      <c r="H8" s="4" t="inlineStr">
        <is>
          <t>swebok-v4a.pdf ch03 Software Design &gt; 2.2 Detailed Design(構築を可能にする詳細度)</t>
        </is>
      </c>
      <c r="I8" s="4" t="inlineStr">
        <is>
          <t>CORE</t>
        </is>
      </c>
      <c r="J8" s="4" t="inlineStr">
        <is>
          <t>原則適用。案件スコープ・成果物・規制・リスク上非該当の場合はN/A根拠を記録。</t>
        </is>
      </c>
      <c r="K8" s="4" t="inlineStr">
        <is>
          <t>SRC-SWEBOK-V4A</t>
        </is>
      </c>
      <c r="L8" s="4" t="inlineStr"/>
      <c r="M8" s="4" t="n"/>
      <c r="N8" s="4" t="n"/>
      <c r="O8" s="4" t="n"/>
      <c r="P8" s="4" t="n"/>
      <c r="Q8" s="4" t="n"/>
      <c r="R8" s="4" t="n"/>
      <c r="S8" s="4" t="n"/>
      <c r="T8" s="4" t="n"/>
      <c r="U8" s="4" t="n"/>
      <c r="V8" s="4" t="n"/>
      <c r="W8" s="4" t="n"/>
    </row>
    <row r="9">
      <c r="A9" s="5" t="inlineStr">
        <is>
          <t>DES-008</t>
        </is>
      </c>
      <c r="B9" s="5" t="inlineStr">
        <is>
          <t>SWEBOK</t>
        </is>
      </c>
      <c r="C9" s="4" t="inlineStr">
        <is>
          <t>1. 全般・トレーサビリティ</t>
        </is>
      </c>
      <c r="D9" s="11" t="inlineStr">
        <is>
          <t>Low</t>
        </is>
      </c>
      <c r="E9" s="4" t="inlineStr">
        <is>
          <t>版管理情報がある</t>
        </is>
      </c>
      <c r="F9" s="4" t="inlineStr">
        <is>
          <t>版数・改訂日・改訂内容の履歴が記載されている</t>
        </is>
      </c>
      <c r="G9" s="4" t="inlineStr">
        <is>
          <t>版管理がないと、どの版をレビュー・承認したのか、実装がどの版に基づくのかが追えず、変更の見落としによる実装差異が発生する。</t>
        </is>
      </c>
      <c r="H9" s="4" t="inlineStr">
        <is>
          <t>実務補完(構成管理実務)</t>
        </is>
      </c>
      <c r="I9" s="4" t="inlineStr">
        <is>
          <t>CORE</t>
        </is>
      </c>
      <c r="J9" s="4" t="inlineStr">
        <is>
          <t>原則適用。案件スコープ・成果物・規制・リスク上非該当の場合はN/A根拠を記録。</t>
        </is>
      </c>
      <c r="K9" s="4" t="inlineStr">
        <is>
          <t>SRC-PRACTICE</t>
        </is>
      </c>
      <c r="L9" s="4" t="inlineStr"/>
      <c r="M9" s="4" t="n"/>
      <c r="N9" s="4" t="n"/>
      <c r="O9" s="4" t="n"/>
      <c r="P9" s="4" t="n"/>
      <c r="Q9" s="4" t="n"/>
      <c r="R9" s="4" t="n"/>
      <c r="S9" s="4" t="n"/>
      <c r="T9" s="4" t="n"/>
      <c r="U9" s="4" t="n"/>
      <c r="V9" s="4" t="n"/>
      <c r="W9" s="4" t="n"/>
    </row>
    <row r="10">
      <c r="A10" s="5" t="inlineStr">
        <is>
          <t>DES-010</t>
        </is>
      </c>
      <c r="B10" s="5" t="inlineStr">
        <is>
          <t>SWEBOK</t>
        </is>
      </c>
      <c r="C10" s="4" t="inlineStr">
        <is>
          <t>2. モジュール構造・設計原則</t>
        </is>
      </c>
      <c r="D10" s="8" t="inlineStr">
        <is>
          <t>Critical</t>
        </is>
      </c>
      <c r="E10" s="4" t="inlineStr">
        <is>
          <t>モジュール一覧と責務が定義されている</t>
        </is>
      </c>
      <c r="F10" s="4" t="inlineStr">
        <is>
          <t>対象コンポーネント内の全モジュールについて、名称と1〜2文の責務記述が存在する</t>
        </is>
      </c>
      <c r="G10" s="4" t="inlineStr">
        <is>
          <t>モジュール化は大きなソフトウェアを理解・保守可能にする基本原則。責務が未定義のモジュールは責務の重複・漏れを生み、どこに何を実装すべきか実装者が判断できない。</t>
        </is>
      </c>
      <c r="H10" s="4" t="inlineStr">
        <is>
          <t>swebok-v4a.pdf ch03 Software Design &gt; 1.4 Modularization / 2.2 Detailed Design(モジュールへの設計責務の割当て)</t>
        </is>
      </c>
      <c r="I10" s="4" t="inlineStr">
        <is>
          <t>CORE</t>
        </is>
      </c>
      <c r="J10" s="4" t="inlineStr">
        <is>
          <t>原則適用。案件スコープ・成果物・規制・リスク上非該当の場合はN/A根拠を記録。</t>
        </is>
      </c>
      <c r="K10" s="4" t="inlineStr">
        <is>
          <t>SRC-SWEBOK-V4A</t>
        </is>
      </c>
      <c r="L10" s="4" t="inlineStr"/>
      <c r="M10" s="4" t="n"/>
      <c r="N10" s="4" t="n"/>
      <c r="O10" s="4" t="n"/>
      <c r="P10" s="4" t="n"/>
      <c r="Q10" s="4" t="n"/>
      <c r="R10" s="4" t="n"/>
      <c r="S10" s="4" t="n"/>
      <c r="T10" s="4" t="n"/>
      <c r="U10" s="4" t="n"/>
      <c r="V10" s="4" t="n"/>
      <c r="W10" s="4" t="n"/>
    </row>
    <row r="11">
      <c r="A11" s="5" t="inlineStr">
        <is>
          <t>DES-011</t>
        </is>
      </c>
      <c r="B11" s="5" t="inlineStr">
        <is>
          <t>SWEBOK</t>
        </is>
      </c>
      <c r="C11" s="4" t="inlineStr">
        <is>
          <t>2. モジュール構造・設計原則</t>
        </is>
      </c>
      <c r="D11" s="8" t="inlineStr">
        <is>
          <t>Critical</t>
        </is>
      </c>
      <c r="E11" s="4" t="inlineStr">
        <is>
          <t>モジュール間に循環依存がない</t>
        </is>
      </c>
      <c r="F11" s="4" t="inlineStr">
        <is>
          <t>依存関係図において循環(A→B→A 等)が存在しない。存在する場合は解消策が明記されている</t>
        </is>
      </c>
      <c r="G11" s="4" t="inlineStr">
        <is>
          <t>循環依存は疎結合の原則に反し、単体テスト不能・ビルド順序の破綻・修正影響の波及拡大を招く。設計段階でしか安価に解消できない。</t>
        </is>
      </c>
      <c r="H11" s="4" t="inlineStr">
        <is>
          <t>swebok-v4a.pdf ch03 Software Design &gt; 1.4 Coupling(疎結合の原則)</t>
        </is>
      </c>
      <c r="I11" s="4" t="inlineStr">
        <is>
          <t>CORE</t>
        </is>
      </c>
      <c r="J11" s="4" t="inlineStr">
        <is>
          <t>原則適用。案件スコープ・成果物・規制・リスク上非該当の場合はN/A根拠を記録。</t>
        </is>
      </c>
      <c r="K11" s="4" t="inlineStr">
        <is>
          <t>SRC-SWEBOK-V4A</t>
        </is>
      </c>
      <c r="L11" s="4" t="inlineStr"/>
      <c r="M11" s="4" t="n"/>
      <c r="N11" s="4" t="n"/>
      <c r="O11" s="4" t="n"/>
      <c r="P11" s="4" t="n"/>
      <c r="Q11" s="4" t="n"/>
      <c r="R11" s="4" t="n"/>
      <c r="S11" s="4" t="n"/>
      <c r="T11" s="4" t="n"/>
      <c r="U11" s="4" t="n"/>
      <c r="V11" s="4" t="n"/>
      <c r="W11" s="4" t="n"/>
    </row>
    <row r="12">
      <c r="A12" s="5" t="inlineStr">
        <is>
          <t>DES-012</t>
        </is>
      </c>
      <c r="B12" s="5" t="inlineStr">
        <is>
          <t>SWEBOK</t>
        </is>
      </c>
      <c r="C12" s="4" t="inlineStr">
        <is>
          <t>2. モジュール構造・設計原則</t>
        </is>
      </c>
      <c r="D12" s="9" t="inlineStr">
        <is>
          <t>High</t>
        </is>
      </c>
      <c r="E12" s="4" t="inlineStr">
        <is>
          <t>単一責任の原則に適合している</t>
        </is>
      </c>
      <c r="F12" s="4" t="inlineStr">
        <is>
          <t>各モジュールの責務記述が単一の関心事で表現でき、「〜と〜と〜を行う」のような複数責務の羅列になっていない</t>
        </is>
      </c>
      <c r="G12" s="4" t="inlineStr">
        <is>
          <t>複数責務を抱えるモジュールは変更理由が複数になり、無関係な修正が相互に影響して劣化が加速する。Parnas の単一責任と高凝集の原則の実地検証。</t>
        </is>
      </c>
      <c r="H12" s="4" t="inlineStr">
        <is>
          <t>swebok-v4a.pdf ch03 Software Design &gt; 1.4 Modularization(Parnasの単一責任)・Cohesion / 5.4 Object-Oriented Design(SOLID)</t>
        </is>
      </c>
      <c r="I12" s="4" t="inlineStr">
        <is>
          <t>CORE</t>
        </is>
      </c>
      <c r="J12" s="4" t="inlineStr">
        <is>
          <t>原則適用。案件スコープ・成果物・規制・リスク上非該当の場合はN/A根拠を記録。</t>
        </is>
      </c>
      <c r="K12" s="4" t="inlineStr">
        <is>
          <t>SRC-SWEBOK-V4A</t>
        </is>
      </c>
      <c r="L12" s="4" t="inlineStr"/>
      <c r="M12" s="4" t="n"/>
      <c r="N12" s="4" t="n"/>
      <c r="O12" s="4" t="n"/>
      <c r="P12" s="4" t="n"/>
      <c r="Q12" s="4" t="n"/>
      <c r="R12" s="4" t="n"/>
      <c r="S12" s="4" t="n"/>
      <c r="T12" s="4" t="n"/>
      <c r="U12" s="4" t="n"/>
      <c r="V12" s="4" t="n"/>
      <c r="W12" s="4" t="n"/>
    </row>
    <row r="13">
      <c r="A13" s="5" t="inlineStr">
        <is>
          <t>DES-013</t>
        </is>
      </c>
      <c r="B13" s="5" t="inlineStr">
        <is>
          <t>SWEBOK</t>
        </is>
      </c>
      <c r="C13" s="4" t="inlineStr">
        <is>
          <t>2. モジュール構造・設計原則</t>
        </is>
      </c>
      <c r="D13" s="9" t="inlineStr">
        <is>
          <t>High</t>
        </is>
      </c>
      <c r="E13" s="4" t="inlineStr">
        <is>
          <t>カプセル化(情報隠蔽)が守られている</t>
        </is>
      </c>
      <c r="F13" s="4" t="inlineStr">
        <is>
          <t>各モジュールの公開インタフェースと内部(非公開)要素が区別して記述され、内部データ構造への外部からの直接アクセスがない</t>
        </is>
      </c>
      <c r="G13" s="4" t="inlineStr">
        <is>
          <t>内部構造が外部から直接触られると、内部変更が広範囲の呼び出し元を壊す。情報隠蔽により利用者がインタフェースの本質だけに集中でき、変更の影響が局所化される。</t>
        </is>
      </c>
      <c r="H13" s="4" t="inlineStr">
        <is>
          <t>swebok-v4a.pdf ch03 Software Design &gt; 1.4 Encapsulation (information hiding)</t>
        </is>
      </c>
      <c r="I13" s="4" t="inlineStr">
        <is>
          <t>CORE</t>
        </is>
      </c>
      <c r="J13" s="4" t="inlineStr">
        <is>
          <t>原則適用。案件スコープ・成果物・規制・リスク上非該当の場合はN/A根拠を記録。</t>
        </is>
      </c>
      <c r="K13" s="4" t="inlineStr">
        <is>
          <t>SRC-SWEBOK-V4A</t>
        </is>
      </c>
      <c r="L13" s="4" t="inlineStr"/>
      <c r="M13" s="4" t="n"/>
      <c r="N13" s="4" t="n"/>
      <c r="O13" s="4" t="n"/>
      <c r="P13" s="4" t="n"/>
      <c r="Q13" s="4" t="n"/>
      <c r="R13" s="4" t="n"/>
      <c r="S13" s="4" t="n"/>
      <c r="T13" s="4" t="n"/>
      <c r="U13" s="4" t="n"/>
      <c r="V13" s="4" t="n"/>
      <c r="W13" s="4" t="n"/>
    </row>
    <row r="14">
      <c r="A14" s="5" t="inlineStr">
        <is>
          <t>DES-014</t>
        </is>
      </c>
      <c r="B14" s="5" t="inlineStr">
        <is>
          <t>SWEBOK</t>
        </is>
      </c>
      <c r="C14" s="4" t="inlineStr">
        <is>
          <t>2. モジュール構造・設計原則</t>
        </is>
      </c>
      <c r="D14" s="9" t="inlineStr">
        <is>
          <t>High</t>
        </is>
      </c>
      <c r="E14" s="4" t="inlineStr">
        <is>
          <t>インタフェースと実装が分離されている</t>
        </is>
      </c>
      <c r="F14" s="4" t="inlineStr">
        <is>
          <t>モジュール間の依存が公開インタフェース(抽象)に対して定義され、他モジュールの実装詳細への依存が記述されていない</t>
        </is>
      </c>
      <c r="G14" s="4" t="inlineStr">
        <is>
          <t>実装詳細への依存は、実装の差し替え・改善を不可能にし、モック化できずテスト容易性も損なう。公開インタフェースへの依存に限定することで変更耐性を確保する。</t>
        </is>
      </c>
      <c r="H14" s="4" t="inlineStr">
        <is>
          <t>swebok-v4a.pdf ch03 Software Design &gt; 1.4 Separation of interface and implementation</t>
        </is>
      </c>
      <c r="I14" s="4" t="inlineStr">
        <is>
          <t>CORE</t>
        </is>
      </c>
      <c r="J14" s="4" t="inlineStr">
        <is>
          <t>原則適用。案件スコープ・成果物・規制・リスク上非該当の場合はN/A根拠を記録。</t>
        </is>
      </c>
      <c r="K14" s="4" t="inlineStr">
        <is>
          <t>SRC-SWEBOK-V4A</t>
        </is>
      </c>
      <c r="L14" s="4" t="inlineStr"/>
      <c r="M14" s="4" t="n"/>
      <c r="N14" s="4" t="n"/>
      <c r="O14" s="4" t="n"/>
      <c r="P14" s="4" t="n"/>
      <c r="Q14" s="4" t="n"/>
      <c r="R14" s="4" t="n"/>
      <c r="S14" s="4" t="n"/>
      <c r="T14" s="4" t="n"/>
      <c r="U14" s="4" t="n"/>
      <c r="V14" s="4" t="n"/>
      <c r="W14" s="4" t="n"/>
    </row>
    <row r="15">
      <c r="A15" s="5" t="inlineStr">
        <is>
          <t>DES-015</t>
        </is>
      </c>
      <c r="B15" s="5" t="inlineStr">
        <is>
          <t>SWEBOK</t>
        </is>
      </c>
      <c r="C15" s="4" t="inlineStr">
        <is>
          <t>2. モジュール構造・設計原則</t>
        </is>
      </c>
      <c r="D15" s="9" t="inlineStr">
        <is>
          <t>High</t>
        </is>
      </c>
      <c r="E15" s="4" t="inlineStr">
        <is>
          <t>依存の方向がレイヤ規約に従っている</t>
        </is>
      </c>
      <c r="F15" s="4" t="inlineStr">
        <is>
          <t>上位層→下位層など、アーキテクチャで定めた依存方向規約への違反がない</t>
        </is>
      </c>
      <c r="G15" s="4" t="inlineStr">
        <is>
          <t>レイヤ規約違反(下位層から上位層への逆依存等)はアーキテクチャの前提を静かに壊し、後から発見されると大規模な構造修正になる。</t>
        </is>
      </c>
      <c r="H15" s="4" t="inlineStr">
        <is>
          <t>swebok-v4a.pdf ch03 Software Design &gt; 1.2 Context of Software Design(アーキテクチャ原則の遵守・強制)</t>
        </is>
      </c>
      <c r="I15" s="4" t="inlineStr">
        <is>
          <t>CORE</t>
        </is>
      </c>
      <c r="J15" s="4" t="inlineStr">
        <is>
          <t>原則適用。案件スコープ・成果物・規制・リスク上非該当の場合はN/A根拠を記録。</t>
        </is>
      </c>
      <c r="K15" s="4" t="inlineStr">
        <is>
          <t>SRC-SWEBOK-V4A</t>
        </is>
      </c>
      <c r="L15" s="4" t="inlineStr"/>
      <c r="M15" s="4" t="n"/>
      <c r="N15" s="4" t="n"/>
      <c r="O15" s="4" t="n"/>
      <c r="P15" s="4" t="n"/>
      <c r="Q15" s="4" t="n"/>
      <c r="R15" s="4" t="n"/>
      <c r="S15" s="4" t="n"/>
      <c r="T15" s="4" t="n"/>
      <c r="U15" s="4" t="n"/>
      <c r="V15" s="4" t="n"/>
      <c r="W15" s="4" t="n"/>
    </row>
    <row r="16">
      <c r="A16" s="5" t="inlineStr">
        <is>
          <t>DES-016</t>
        </is>
      </c>
      <c r="B16" s="5" t="inlineStr">
        <is>
          <t>SWEBOK</t>
        </is>
      </c>
      <c r="C16" s="4" t="inlineStr">
        <is>
          <t>2. モジュール構造・設計原則</t>
        </is>
      </c>
      <c r="D16" s="10" t="inlineStr">
        <is>
          <t>Medium</t>
        </is>
      </c>
      <c r="E16" s="4" t="inlineStr">
        <is>
          <t>横断的関心事の実現方式が統一されている</t>
        </is>
      </c>
      <c r="F16" s="4" t="inlineStr">
        <is>
          <t>ログ・認証・トランザクション等の横断的関心事について、共通機構(共通モジュール、ミドルウェア、AOP 等)が指定され、モジュールごとの個別実装になっていない</t>
        </is>
      </c>
      <c r="G16" s="4" t="inlineStr">
        <is>
          <t>ログ・認証等の横断的関心事(アスペクト)は機能分割の単位に収まらないため、方式を統一しないとモジュールごとにバラバラな実装が増殖し、一括変更が不可能になる。</t>
        </is>
      </c>
      <c r="H16" s="4" t="inlineStr">
        <is>
          <t>swebok-v4a.pdf ch03 Software Design &gt; 1.3 Key Issues in Software Design(アスペクト)/ 5.8 Aspect-Oriented Design</t>
        </is>
      </c>
      <c r="I16" s="4" t="inlineStr">
        <is>
          <t>CORE</t>
        </is>
      </c>
      <c r="J16" s="4" t="inlineStr">
        <is>
          <t>原則適用。案件スコープ・成果物・規制・リスク上非該当の場合はN/A根拠を記録。</t>
        </is>
      </c>
      <c r="K16" s="4" t="inlineStr">
        <is>
          <t>SRC-SWEBOK-V4A</t>
        </is>
      </c>
      <c r="L16" s="4" t="inlineStr"/>
      <c r="M16" s="4" t="n"/>
      <c r="N16" s="4" t="n"/>
      <c r="O16" s="4" t="n"/>
      <c r="P16" s="4" t="n"/>
      <c r="Q16" s="4" t="n"/>
      <c r="R16" s="4" t="n"/>
      <c r="S16" s="4" t="n"/>
      <c r="T16" s="4" t="n"/>
      <c r="U16" s="4" t="n"/>
      <c r="V16" s="4" t="n"/>
      <c r="W16" s="4" t="n"/>
    </row>
    <row r="17">
      <c r="A17" s="5" t="inlineStr">
        <is>
          <t>DES-017</t>
        </is>
      </c>
      <c r="B17" s="5" t="inlineStr">
        <is>
          <t>SWEBOK</t>
        </is>
      </c>
      <c r="C17" s="4" t="inlineStr">
        <is>
          <t>2. モジュール構造・設計原則</t>
        </is>
      </c>
      <c r="D17" s="10" t="inlineStr">
        <is>
          <t>Medium</t>
        </is>
      </c>
      <c r="E17" s="4" t="inlineStr">
        <is>
          <t>命名規約が定義され遵守されている</t>
        </is>
      </c>
      <c r="F17" s="4" t="inlineStr">
        <is>
          <t>モジュール・クラス・API・テーブルの命名規約が記載され、設計書内の名称がそれに従っている</t>
        </is>
      </c>
      <c r="G17" s="4" t="inlineStr">
        <is>
          <t>命名の一貫性(Uniformity)がないと、同種のものが別物に見え理解コストが増大し、実装時に規約のない命名が量産されて保守性が落ちる。</t>
        </is>
      </c>
      <c r="H17" s="4" t="inlineStr">
        <is>
          <t>swebok-v4a.pdf ch03 Software Design &gt; 1.4 Uniformity(命名規則・記法の一貫性)</t>
        </is>
      </c>
      <c r="I17" s="4" t="inlineStr">
        <is>
          <t>CORE</t>
        </is>
      </c>
      <c r="J17" s="4" t="inlineStr">
        <is>
          <t>原則適用。案件スコープ・成果物・規制・リスク上非該当の場合はN/A根拠を記録。</t>
        </is>
      </c>
      <c r="K17" s="4" t="inlineStr">
        <is>
          <t>SRC-SWEBOK-V4A</t>
        </is>
      </c>
      <c r="L17" s="4" t="inlineStr"/>
      <c r="M17" s="4" t="n"/>
      <c r="N17" s="4" t="n"/>
      <c r="O17" s="4" t="n"/>
      <c r="P17" s="4" t="n"/>
      <c r="Q17" s="4" t="n"/>
      <c r="R17" s="4" t="n"/>
      <c r="S17" s="4" t="n"/>
      <c r="T17" s="4" t="n"/>
      <c r="U17" s="4" t="n"/>
      <c r="V17" s="4" t="n"/>
      <c r="W17" s="4" t="n"/>
    </row>
    <row r="18">
      <c r="A18" s="5" t="inlineStr">
        <is>
          <t>DES-018</t>
        </is>
      </c>
      <c r="B18" s="5" t="inlineStr">
        <is>
          <t>SWEBOK</t>
        </is>
      </c>
      <c r="C18" s="4" t="inlineStr">
        <is>
          <t>2. モジュール構造・設計原則</t>
        </is>
      </c>
      <c r="D18" s="10" t="inlineStr">
        <is>
          <t>Medium</t>
        </is>
      </c>
      <c r="E18" s="4" t="inlineStr">
        <is>
          <t>主要アルゴリズムとデータ構造が特定されている</t>
        </is>
      </c>
      <c r="F18" s="4" t="inlineStr">
        <is>
          <t>性能・正確性に影響する処理(検索、集計、マッチング等)について、採用アルゴリズム/データ構造と選定理由が記載されている</t>
        </is>
      </c>
      <c r="G18" s="4" t="inlineStr">
        <is>
          <t>詳細設計の中核はアルゴリズムとデータ表現の選択と正当化。性能に効く処理の方式を実装者任せにすると、性能要件未達が結合テスト以降に発覚する。</t>
        </is>
      </c>
      <c r="H18" s="4" t="inlineStr">
        <is>
          <t>swebok-v4a.pdf ch03 Software Design &gt; 2.2 Detailed Design(アルゴリズム・データ構造の選択と正当化)</t>
        </is>
      </c>
      <c r="I18" s="4" t="inlineStr">
        <is>
          <t>CORE</t>
        </is>
      </c>
      <c r="J18" s="4" t="inlineStr">
        <is>
          <t>原則適用。案件スコープ・成果物・規制・リスク上非該当の場合はN/A根拠を記録。</t>
        </is>
      </c>
      <c r="K18" s="4" t="inlineStr">
        <is>
          <t>SRC-SWEBOK-V4A</t>
        </is>
      </c>
      <c r="L18" s="4" t="inlineStr"/>
      <c r="M18" s="4" t="n"/>
      <c r="N18" s="4" t="n"/>
      <c r="O18" s="4" t="n"/>
      <c r="P18" s="4" t="n"/>
      <c r="Q18" s="4" t="n"/>
      <c r="R18" s="4" t="n"/>
      <c r="S18" s="4" t="n"/>
      <c r="T18" s="4" t="n"/>
      <c r="U18" s="4" t="n"/>
      <c r="V18" s="4" t="n"/>
      <c r="W18" s="4" t="n"/>
    </row>
    <row r="19">
      <c r="A19" s="5" t="inlineStr">
        <is>
          <t>DES-019</t>
        </is>
      </c>
      <c r="B19" s="5" t="inlineStr">
        <is>
          <t>SWEBOK</t>
        </is>
      </c>
      <c r="C19" s="4" t="inlineStr">
        <is>
          <t>2. モジュール構造・設計原則</t>
        </is>
      </c>
      <c r="D19" s="11" t="inlineStr">
        <is>
          <t>Low</t>
        </is>
      </c>
      <c r="E19" s="4" t="inlineStr">
        <is>
          <t>デザインパターンの適用が明示されている</t>
        </is>
      </c>
      <c r="F19" s="4" t="inlineStr">
        <is>
          <t>パターン(factory, adapter, observer, strategy 等)を適用した箇所で、パターン名が明記されている</t>
        </is>
      </c>
      <c r="G19" s="4" t="inlineStr">
        <is>
          <t>パターン名は設計判断を短く正確に伝える共通語彙。明示しておくと意図が伝わり、実装者がパターンを崩す事故やレビューでの誤解を防げる。</t>
        </is>
      </c>
      <c r="H19" s="4" t="inlineStr">
        <is>
          <t>swebok-v4a.pdf ch03 Software Design &gt; 4.4 Design Patterns and Styles</t>
        </is>
      </c>
      <c r="I19" s="4" t="inlineStr">
        <is>
          <t>CORE</t>
        </is>
      </c>
      <c r="J19" s="4" t="inlineStr">
        <is>
          <t>原則適用。案件スコープ・成果物・規制・リスク上非該当の場合はN/A根拠を記録。</t>
        </is>
      </c>
      <c r="K19" s="4" t="inlineStr">
        <is>
          <t>SRC-SWEBOK-V4A</t>
        </is>
      </c>
      <c r="L19" s="4" t="inlineStr"/>
      <c r="M19" s="4" t="n"/>
      <c r="N19" s="4" t="n"/>
      <c r="O19" s="4" t="n"/>
      <c r="P19" s="4" t="n"/>
      <c r="Q19" s="4" t="n"/>
      <c r="R19" s="4" t="n"/>
      <c r="S19" s="4" t="n"/>
      <c r="T19" s="4" t="n"/>
      <c r="U19" s="4" t="n"/>
      <c r="V19" s="4" t="n"/>
      <c r="W19" s="4" t="n"/>
    </row>
    <row r="20">
      <c r="A20" s="5" t="inlineStr">
        <is>
          <t>DES-901</t>
        </is>
      </c>
      <c r="B20" s="5" t="inlineStr">
        <is>
          <t>追加承認</t>
        </is>
      </c>
      <c r="C20" s="4" t="inlineStr">
        <is>
          <t>2. モジュール構造・設計原則</t>
        </is>
      </c>
      <c r="D20" s="10" t="inlineStr">
        <is>
          <t>Medium</t>
        </is>
      </c>
      <c r="E20" s="4" t="inlineStr">
        <is>
          <t>既製コンポーネント・ライブラリ・フレームワークの利用が検討されている</t>
        </is>
      </c>
      <c r="F20" s="4" t="inlineStr">
        <is>
          <t>主要な機能ブロックについて、自作/既製(OSS・商用・社内共通部品)の別と、既製品を採用または不採用とした理由が記載されている</t>
        </is>
      </c>
      <c r="G20" s="4" t="inlineStr">
        <is>
          <t>再利用可能な既製部品の検討漏れによる車輪の再発明と、逆に無根拠なライブラリ採用によるライセンス・保守リスクの両方を防ぐ。</t>
        </is>
      </c>
      <c r="H20" s="4" t="inlineStr">
        <is>
          <t>swebok-v4a.pdf ch03 Software Design &gt; 2.2 Detailed Design / 5.6 Component-Based Design — 既製コンポーネント・アプリケーションフレームワークの活用機会の検討</t>
        </is>
      </c>
      <c r="I20" s="4" t="inlineStr">
        <is>
          <t>CORE</t>
        </is>
      </c>
      <c r="J20" s="4" t="inlineStr">
        <is>
          <t>原則適用。案件スコープ・成果物・規制・リスク上非該当の場合はN/A根拠を記録。</t>
        </is>
      </c>
      <c r="K20" s="4" t="inlineStr">
        <is>
          <t>SRC-SWEBOK-V4A</t>
        </is>
      </c>
      <c r="L20" s="4" t="inlineStr"/>
      <c r="M20" s="4" t="n"/>
      <c r="N20" s="4" t="n"/>
      <c r="O20" s="4" t="n"/>
      <c r="P20" s="4" t="n"/>
      <c r="Q20" s="4" t="n"/>
      <c r="R20" s="4" t="n"/>
      <c r="S20" s="4" t="n"/>
      <c r="T20" s="4" t="n"/>
      <c r="U20" s="4" t="n"/>
      <c r="V20" s="4" t="n"/>
      <c r="W20" s="4" t="n"/>
    </row>
    <row r="21">
      <c r="A21" s="5" t="inlineStr">
        <is>
          <t>DES-020</t>
        </is>
      </c>
      <c r="B21" s="5" t="inlineStr">
        <is>
          <t>SWEBOK</t>
        </is>
      </c>
      <c r="C21" s="4" t="inlineStr">
        <is>
          <t>3. インターフェース仕様(API仕様)</t>
        </is>
      </c>
      <c r="D21" s="8" t="inlineStr">
        <is>
          <t>Critical</t>
        </is>
      </c>
      <c r="E21" s="4" t="inlineStr">
        <is>
          <t>全エンドポイントの入出力が型レベルで定義されている</t>
        </is>
      </c>
      <c r="F21" s="4" t="inlineStr">
        <is>
          <t>各API について、リクエスト/レスポンスの全フィールドに型・必須/任意・制約(桁、範囲、形式)が定義されている</t>
        </is>
      </c>
      <c r="G21" s="4" t="inlineStr">
        <is>
          <t>型・制約が未定義のAPIは、クライアント側とサーバ側で解釈が食い違い、結合テストで大量の不整合が噴出する。インタフェース定義は部品間契約の根幹。</t>
        </is>
      </c>
      <c r="H21" s="4" t="inlineStr">
        <is>
          <t>swebok-v4a.pdf ch03 Software Design &gt; 2.1 High-Level Design(データ形式・プロトコルの仕様化)/ 4.2 Structural Design Descriptions(IDL)</t>
        </is>
      </c>
      <c r="I21" s="4" t="inlineStr">
        <is>
          <t>CORE</t>
        </is>
      </c>
      <c r="J21" s="4" t="inlineStr">
        <is>
          <t>原則適用。案件スコープ・成果物・規制・リスク上非該当の場合はN/A根拠を記録。</t>
        </is>
      </c>
      <c r="K21" s="4" t="inlineStr">
        <is>
          <t>SRC-SWEBOK-V4A</t>
        </is>
      </c>
      <c r="L21" s="4" t="inlineStr"/>
      <c r="M21" s="4" t="n"/>
      <c r="N21" s="4" t="n"/>
      <c r="O21" s="4" t="n"/>
      <c r="P21" s="4" t="n"/>
      <c r="Q21" s="4" t="n"/>
      <c r="R21" s="4" t="n"/>
      <c r="S21" s="4" t="n"/>
      <c r="T21" s="4" t="n"/>
      <c r="U21" s="4" t="n"/>
      <c r="V21" s="4" t="n"/>
      <c r="W21" s="4" t="n"/>
    </row>
    <row r="22">
      <c r="A22" s="5" t="inlineStr">
        <is>
          <t>DES-021</t>
        </is>
      </c>
      <c r="B22" s="5" t="inlineStr">
        <is>
          <t>SWEBOK</t>
        </is>
      </c>
      <c r="C22" s="4" t="inlineStr">
        <is>
          <t>3. インターフェース仕様(API仕様)</t>
        </is>
      </c>
      <c r="D22" s="8" t="inlineStr">
        <is>
          <t>Critical</t>
        </is>
      </c>
      <c r="E22" s="4" t="inlineStr">
        <is>
          <t>認証・認可方式が定義されている</t>
        </is>
      </c>
      <c r="F22" s="4" t="inlineStr">
        <is>
          <t>認証方式(トークン形式、取得・更新方法)と、API/リソースごとの必要権限が記述されている</t>
        </is>
      </c>
      <c r="G22" s="4" t="inlineStr">
        <is>
          <t>認証・認可が仕様化されていないAPIは、認可漏れによる不正アクセス・情報漏えいに直結する。誰が何にアクセスできるかは設計時に決めるべきセキュリティの基本。</t>
        </is>
      </c>
      <c r="H22" s="4" t="inlineStr">
        <is>
          <t>swebok-v4a.pdf ch03 Software Design &gt; 3.7 Assurance, Security, and Safety(不正な開示・変更・アクセスの防止)</t>
        </is>
      </c>
      <c r="I22" s="4" t="inlineStr">
        <is>
          <t>CORE</t>
        </is>
      </c>
      <c r="J22" s="4" t="inlineStr">
        <is>
          <t>原則適用。案件スコープ・成果物・規制・リスク上非該当の場合はN/A根拠を記録。</t>
        </is>
      </c>
      <c r="K22" s="4" t="inlineStr">
        <is>
          <t>SRC-SWEBOK-V4A</t>
        </is>
      </c>
      <c r="L22" s="4" t="inlineStr">
        <is>
          <t>SEC-IAM</t>
        </is>
      </c>
      <c r="M22" s="4" t="n"/>
      <c r="N22" s="4" t="n"/>
      <c r="O22" s="4" t="n"/>
      <c r="P22" s="4" t="n"/>
      <c r="Q22" s="4" t="n"/>
      <c r="R22" s="4" t="n"/>
      <c r="S22" s="4" t="n"/>
      <c r="T22" s="4" t="n"/>
      <c r="U22" s="4" t="n"/>
      <c r="V22" s="4" t="n"/>
      <c r="W22" s="4" t="n"/>
    </row>
    <row r="23">
      <c r="A23" s="5" t="inlineStr">
        <is>
          <t>DES-022</t>
        </is>
      </c>
      <c r="B23" s="5" t="inlineStr">
        <is>
          <t>SWEBOK</t>
        </is>
      </c>
      <c r="C23" s="4" t="inlineStr">
        <is>
          <t>3. インターフェース仕様(API仕様)</t>
        </is>
      </c>
      <c r="D23" s="8" t="inlineStr">
        <is>
          <t>Critical</t>
        </is>
      </c>
      <c r="E23" s="4" t="inlineStr">
        <is>
          <t>エラーレスポンスが仕様化されている</t>
        </is>
      </c>
      <c r="F23" s="4" t="inlineStr">
        <is>
          <t>エラーコード体系、HTTPステータスとの対応、エラーレスポンスのスキーマが定義され、各APIで発生しうるエラーが列挙されている</t>
        </is>
      </c>
      <c r="G23" s="4" t="inlineStr">
        <is>
          <t>エラー仕様がないとクライアントは異常時の挙動を実装できず、障害時に原因不明のまま処理が続行される。エラーの体系化は例外処理設計の外部仕様側の要。</t>
        </is>
      </c>
      <c r="H23" s="4" t="inlineStr">
        <is>
          <t>swebok-v4a.pdf ch03 Software Design &gt; 3.5 Errors and Exception Handling, Fault Tolerance</t>
        </is>
      </c>
      <c r="I23" s="4" t="inlineStr">
        <is>
          <t>CORE</t>
        </is>
      </c>
      <c r="J23" s="4" t="inlineStr">
        <is>
          <t>原則適用。案件スコープ・成果物・規制・リスク上非該当の場合はN/A根拠を記録。</t>
        </is>
      </c>
      <c r="K23" s="4" t="inlineStr">
        <is>
          <t>SRC-SWEBOK-V4A</t>
        </is>
      </c>
      <c r="L23" s="4" t="inlineStr"/>
      <c r="M23" s="4" t="n"/>
      <c r="N23" s="4" t="n"/>
      <c r="O23" s="4" t="n"/>
      <c r="P23" s="4" t="n"/>
      <c r="Q23" s="4" t="n"/>
      <c r="R23" s="4" t="n"/>
      <c r="S23" s="4" t="n"/>
      <c r="T23" s="4" t="n"/>
      <c r="U23" s="4" t="n"/>
      <c r="V23" s="4" t="n"/>
      <c r="W23" s="4" t="n"/>
    </row>
    <row r="24">
      <c r="A24" s="5" t="inlineStr">
        <is>
          <t>DES-023</t>
        </is>
      </c>
      <c r="B24" s="5" t="inlineStr">
        <is>
          <t>SWEBOK</t>
        </is>
      </c>
      <c r="C24" s="4" t="inlineStr">
        <is>
          <t>3. インターフェース仕様(API仕様)</t>
        </is>
      </c>
      <c r="D24" s="9" t="inlineStr">
        <is>
          <t>High</t>
        </is>
      </c>
      <c r="E24" s="4" t="inlineStr">
        <is>
          <t>呼び出し側が仕様のみで実装可能である</t>
        </is>
      </c>
      <c r="F24" s="4" t="inlineStr">
        <is>
          <t>実装コードを参照しなくても、リクエスト例・レスポンス例からクライアントを実装できる(主要APIに具体例が付いている)</t>
        </is>
      </c>
      <c r="G24" s="4" t="inlineStr">
        <is>
          <t>SWEBOKは「クライアント側の設計者がコードを読まずにサービスを正しく利用できる詳細度」を求める。仕様だけで実装できないAPIは、問い合わせと実装の相互参照でチーム間の待ちが発生する。</t>
        </is>
      </c>
      <c r="H24" s="4" t="inlineStr">
        <is>
          <t>swebok-v4a.pdf ch03 Software Design &gt; 2. Software Design Processes(high-level design stage:コードを読まずに利用可能な定義)</t>
        </is>
      </c>
      <c r="I24" s="4" t="inlineStr">
        <is>
          <t>CORE</t>
        </is>
      </c>
      <c r="J24" s="4" t="inlineStr">
        <is>
          <t>原則適用。案件スコープ・成果物・規制・リスク上非該当の場合はN/A根拠を記録。</t>
        </is>
      </c>
      <c r="K24" s="4" t="inlineStr">
        <is>
          <t>SRC-SWEBOK-V4A</t>
        </is>
      </c>
      <c r="L24" s="4" t="inlineStr"/>
      <c r="M24" s="4" t="n"/>
      <c r="N24" s="4" t="n"/>
      <c r="O24" s="4" t="n"/>
      <c r="P24" s="4" t="n"/>
      <c r="Q24" s="4" t="n"/>
      <c r="R24" s="4" t="n"/>
      <c r="S24" s="4" t="n"/>
      <c r="T24" s="4" t="n"/>
      <c r="U24" s="4" t="n"/>
      <c r="V24" s="4" t="n"/>
      <c r="W24" s="4" t="n"/>
    </row>
    <row r="25">
      <c r="A25" s="5" t="inlineStr">
        <is>
          <t>DES-024</t>
        </is>
      </c>
      <c r="B25" s="5" t="inlineStr">
        <is>
          <t>SWEBOK</t>
        </is>
      </c>
      <c r="C25" s="4" t="inlineStr">
        <is>
          <t>3. インターフェース仕様(API仕様)</t>
        </is>
      </c>
      <c r="D25" s="9" t="inlineStr">
        <is>
          <t>High</t>
        </is>
      </c>
      <c r="E25" s="4" t="inlineStr">
        <is>
          <t>冪等性・リトライ方針が定義されている</t>
        </is>
      </c>
      <c r="F25" s="4" t="inlineStr">
        <is>
          <t>更新系APIごとに冪等性の有無が明記され、非冪等なAPIには二重実行対策(冪等キー等)またはリトライ禁止の記述がある</t>
        </is>
      </c>
      <c r="G25" s="4" t="inlineStr">
        <is>
          <t>ネットワーク越しの呼び出しは失敗と再送が前提。冪等性が未定義だとリトライで二重決済・二重登録などの業務事故が起きる。</t>
        </is>
      </c>
      <c r="H25" s="4" t="inlineStr">
        <is>
          <t>swebok-v4a.pdf ch03 Software Design &gt; 3.4 Distribution of Components(信頼性)/ 実務補完(分散システム設計実務)</t>
        </is>
      </c>
      <c r="I25" s="4" t="inlineStr">
        <is>
          <t>CORE</t>
        </is>
      </c>
      <c r="J25" s="4" t="inlineStr">
        <is>
          <t>原則適用。案件スコープ・成果物・規制・リスク上非該当の場合はN/A根拠を記録。</t>
        </is>
      </c>
      <c r="K25" s="4" t="inlineStr">
        <is>
          <t>SRC-SWEBOK-V4A;SRC-PRACTICE</t>
        </is>
      </c>
      <c r="L25" s="4" t="inlineStr"/>
      <c r="M25" s="4" t="n"/>
      <c r="N25" s="4" t="n"/>
      <c r="O25" s="4" t="n"/>
      <c r="P25" s="4" t="n"/>
      <c r="Q25" s="4" t="n"/>
      <c r="R25" s="4" t="n"/>
      <c r="S25" s="4" t="n"/>
      <c r="T25" s="4" t="n"/>
      <c r="U25" s="4" t="n"/>
      <c r="V25" s="4" t="n"/>
      <c r="W25" s="4" t="n"/>
    </row>
    <row r="26">
      <c r="A26" s="5" t="inlineStr">
        <is>
          <t>DES-025</t>
        </is>
      </c>
      <c r="B26" s="5" t="inlineStr">
        <is>
          <t>SWEBOK</t>
        </is>
      </c>
      <c r="C26" s="4" t="inlineStr">
        <is>
          <t>3. インターフェース仕様(API仕様)</t>
        </is>
      </c>
      <c r="D26" s="9" t="inlineStr">
        <is>
          <t>High</t>
        </is>
      </c>
      <c r="E26" s="4" t="inlineStr">
        <is>
          <t>バリデーション仕様が記述されている</t>
        </is>
      </c>
      <c r="F26" s="4" t="inlineStr">
        <is>
          <t>入力チェックの内容(形式・範囲・相関チェック)と、違反時のエラーコードが項目ごとに定義されている</t>
        </is>
      </c>
      <c r="G26" s="4" t="inlineStr">
        <is>
          <t>入力検証の仕様が曖昧だと、チェック漏れがインジェクション等の脆弱性やデータ汚染につながり、また画面側とAPI側で検証基準が食い違う。</t>
        </is>
      </c>
      <c r="H26" s="4" t="inlineStr">
        <is>
          <t>swebok-v4a.pdf ch03 Software Design &gt; 3.7 Assurance, Security, and Safety / 実務補完(入力検証実務)</t>
        </is>
      </c>
      <c r="I26" s="4" t="inlineStr">
        <is>
          <t>CORE</t>
        </is>
      </c>
      <c r="J26" s="4" t="inlineStr">
        <is>
          <t>原則適用。案件スコープ・成果物・規制・リスク上非該当の場合はN/A根拠を記録。</t>
        </is>
      </c>
      <c r="K26" s="4" t="inlineStr">
        <is>
          <t>SRC-SWEBOK-V4A;SRC-PRACTICE</t>
        </is>
      </c>
      <c r="L26" s="4" t="inlineStr"/>
      <c r="M26" s="4" t="n"/>
      <c r="N26" s="4" t="n"/>
      <c r="O26" s="4" t="n"/>
      <c r="P26" s="4" t="n"/>
      <c r="Q26" s="4" t="n"/>
      <c r="R26" s="4" t="n"/>
      <c r="S26" s="4" t="n"/>
      <c r="T26" s="4" t="n"/>
      <c r="U26" s="4" t="n"/>
      <c r="V26" s="4" t="n"/>
      <c r="W26" s="4" t="n"/>
    </row>
    <row r="27">
      <c r="A27" s="5" t="inlineStr">
        <is>
          <t>DES-026</t>
        </is>
      </c>
      <c r="B27" s="5" t="inlineStr">
        <is>
          <t>SWEBOK</t>
        </is>
      </c>
      <c r="C27" s="4" t="inlineStr">
        <is>
          <t>3. インターフェース仕様(API仕様)</t>
        </is>
      </c>
      <c r="D27" s="9" t="inlineStr">
        <is>
          <t>High</t>
        </is>
      </c>
      <c r="E27" s="4" t="inlineStr">
        <is>
          <t>互換性・バージョニング方針がある</t>
        </is>
      </c>
      <c r="F27" s="4" t="inlineStr">
        <is>
          <t>APIバージョンの付与方法と、後方互換性を壊す変更/壊さない変更の扱いが定義されている</t>
        </is>
      </c>
      <c r="G27" s="4" t="inlineStr">
        <is>
          <t>バージョニング方針がないと、API変更のたびに既存クライアントが黙って壊れる。互換性の線引きを事前に決めることが変更容易性の前提になる。</t>
        </is>
      </c>
      <c r="H27" s="4" t="inlineStr">
        <is>
          <t>実務補完(API管理実務)/ 3.8 Variability(変種の管理)</t>
        </is>
      </c>
      <c r="I27" s="4" t="inlineStr">
        <is>
          <t>CORE</t>
        </is>
      </c>
      <c r="J27" s="4" t="inlineStr">
        <is>
          <t>原則適用。案件スコープ・成果物・規制・リスク上非該当の場合はN/A根拠を記録。</t>
        </is>
      </c>
      <c r="K27" s="4" t="inlineStr">
        <is>
          <t>SRC-PRACTICE</t>
        </is>
      </c>
      <c r="L27" s="4" t="inlineStr"/>
      <c r="M27" s="4" t="n"/>
      <c r="N27" s="4" t="n"/>
      <c r="O27" s="4" t="n"/>
      <c r="P27" s="4" t="n"/>
      <c r="Q27" s="4" t="n"/>
      <c r="R27" s="4" t="n"/>
      <c r="S27" s="4" t="n"/>
      <c r="T27" s="4" t="n"/>
      <c r="U27" s="4" t="n"/>
      <c r="V27" s="4" t="n"/>
      <c r="W27" s="4" t="n"/>
    </row>
    <row r="28">
      <c r="A28" s="5" t="inlineStr">
        <is>
          <t>DES-027</t>
        </is>
      </c>
      <c r="B28" s="5" t="inlineStr">
        <is>
          <t>SWEBOK</t>
        </is>
      </c>
      <c r="C28" s="4" t="inlineStr">
        <is>
          <t>3. インターフェース仕様(API仕様)</t>
        </is>
      </c>
      <c r="D28" s="10" t="inlineStr">
        <is>
          <t>Medium</t>
        </is>
      </c>
      <c r="E28" s="4" t="inlineStr">
        <is>
          <t>共通規約が定義されている</t>
        </is>
      </c>
      <c r="F28" s="4" t="inlineStr">
        <is>
          <t>データ形式(JSON等)、文字コード、日時形式(タイムゾーン含む)、ページネーション、ソート指定の共通規約が1箇所に定義されている</t>
        </is>
      </c>
      <c r="G28" s="4" t="inlineStr">
        <is>
          <t>日時形式・ページネーション等がAPIごとにバラバラだと、クライアント実装の分岐が増えタイムゾーン起因等の不具合が量産される。共通問題には共通解を与える一貫性の原則。</t>
        </is>
      </c>
      <c r="H28" s="4" t="inlineStr">
        <is>
          <t>swebok-v4a.pdf ch03 Software Design &gt; 1.4 Uniformity(共通・反復する問題への共通解)</t>
        </is>
      </c>
      <c r="I28" s="4" t="inlineStr">
        <is>
          <t>CORE</t>
        </is>
      </c>
      <c r="J28" s="4" t="inlineStr">
        <is>
          <t>原則適用。案件スコープ・成果物・規制・リスク上非該当の場合はN/A根拠を記録。</t>
        </is>
      </c>
      <c r="K28" s="4" t="inlineStr">
        <is>
          <t>SRC-SWEBOK-V4A</t>
        </is>
      </c>
      <c r="L28" s="4" t="inlineStr"/>
      <c r="M28" s="4" t="n"/>
      <c r="N28" s="4" t="n"/>
      <c r="O28" s="4" t="n"/>
      <c r="P28" s="4" t="n"/>
      <c r="Q28" s="4" t="n"/>
      <c r="R28" s="4" t="n"/>
      <c r="S28" s="4" t="n"/>
      <c r="T28" s="4" t="n"/>
      <c r="U28" s="4" t="n"/>
      <c r="V28" s="4" t="n"/>
      <c r="W28" s="4" t="n"/>
    </row>
    <row r="29">
      <c r="A29" s="5" t="inlineStr">
        <is>
          <t>DES-028</t>
        </is>
      </c>
      <c r="B29" s="5" t="inlineStr">
        <is>
          <t>SWEBOK</t>
        </is>
      </c>
      <c r="C29" s="4" t="inlineStr">
        <is>
          <t>3. インターフェース仕様(API仕様)</t>
        </is>
      </c>
      <c r="D29" s="10" t="inlineStr">
        <is>
          <t>Medium</t>
        </is>
      </c>
      <c r="E29" s="4" t="inlineStr">
        <is>
          <t>機械可読な仕様(OpenAPI 等)と本文が一致している</t>
        </is>
      </c>
      <c r="F29" s="4" t="inlineStr">
        <is>
          <t>OpenAPI 等の定義ファイルが存在する場合、設計書本文との間で エンドポイント・スキーマの不一致がない</t>
        </is>
      </c>
      <c r="G29" s="4" t="inlineStr">
        <is>
          <t>文書とモデル(OpenAPI等)が乖離すると、どちらを信じるかで実装が割れる。モデルベースの記録では情報源間の整合が担保されて初めて分析・自動化の利点が生きる。</t>
        </is>
      </c>
      <c r="H29" s="4" t="inlineStr">
        <is>
          <t>swebok-v4a.pdf ch03 Software Design &gt; 4.1 Model-Based Design(文書ベース記述の曖昧さ・分散の克服)</t>
        </is>
      </c>
      <c r="I29" s="4" t="inlineStr">
        <is>
          <t>CORE</t>
        </is>
      </c>
      <c r="J29" s="4" t="inlineStr">
        <is>
          <t>原則適用。案件スコープ・成果物・規制・リスク上非該当の場合はN/A根拠を記録。</t>
        </is>
      </c>
      <c r="K29" s="4" t="inlineStr">
        <is>
          <t>SRC-SWEBOK-V4A</t>
        </is>
      </c>
      <c r="L29" s="4" t="inlineStr"/>
      <c r="M29" s="4" t="n"/>
      <c r="N29" s="4" t="n"/>
      <c r="O29" s="4" t="n"/>
      <c r="P29" s="4" t="n"/>
      <c r="Q29" s="4" t="n"/>
      <c r="R29" s="4" t="n"/>
      <c r="S29" s="4" t="n"/>
      <c r="T29" s="4" t="n"/>
      <c r="U29" s="4" t="n"/>
      <c r="V29" s="4" t="n"/>
      <c r="W29" s="4" t="n"/>
    </row>
    <row r="30">
      <c r="A30" s="5" t="inlineStr">
        <is>
          <t>DES-029</t>
        </is>
      </c>
      <c r="B30" s="5" t="inlineStr">
        <is>
          <t>SWEBOK</t>
        </is>
      </c>
      <c r="C30" s="4" t="inlineStr">
        <is>
          <t>3. インターフェース仕様(API仕様)</t>
        </is>
      </c>
      <c r="D30" s="10" t="inlineStr">
        <is>
          <t>Medium</t>
        </is>
      </c>
      <c r="E30" s="4" t="inlineStr">
        <is>
          <t>レート制限・ペイロード上限が定義されている</t>
        </is>
      </c>
      <c r="F30" s="4" t="inlineStr">
        <is>
          <t>上限値(件数、サイズ、頻度)と超過時の応答が記述されている。不要な場合は対象外の根拠がある</t>
        </is>
      </c>
      <c r="G30" s="4" t="inlineStr">
        <is>
          <t>上限が未定義だと、大量リクエストや巨大ペイロードで資源枯渇・サービス停止が起き、超過時挙動が実装依存になってクライアントが対処できない。</t>
        </is>
      </c>
      <c r="H30" s="4" t="inlineStr">
        <is>
          <t>実務補完(API運用実務)/ 3.4 Distribution of Components(スケーラビリティ・可用性)</t>
        </is>
      </c>
      <c r="I30" s="4" t="inlineStr">
        <is>
          <t>CORE</t>
        </is>
      </c>
      <c r="J30" s="4" t="inlineStr">
        <is>
          <t>原則適用。案件スコープ・成果物・規制・リスク上非該当の場合はN/A根拠を記録。</t>
        </is>
      </c>
      <c r="K30" s="4" t="inlineStr">
        <is>
          <t>SRC-PRACTICE</t>
        </is>
      </c>
      <c r="L30" s="4" t="inlineStr"/>
      <c r="M30" s="4" t="n"/>
      <c r="N30" s="4" t="n"/>
      <c r="O30" s="4" t="n"/>
      <c r="P30" s="4" t="n"/>
      <c r="Q30" s="4" t="n"/>
      <c r="R30" s="4" t="n"/>
      <c r="S30" s="4" t="n"/>
      <c r="T30" s="4" t="n"/>
      <c r="U30" s="4" t="n"/>
      <c r="V30" s="4" t="n"/>
      <c r="W30" s="4" t="n"/>
    </row>
    <row r="31">
      <c r="A31" s="5" t="inlineStr">
        <is>
          <t>DES-030</t>
        </is>
      </c>
      <c r="B31" s="5" t="inlineStr">
        <is>
          <t>SWEBOK</t>
        </is>
      </c>
      <c r="C31" s="4" t="inlineStr">
        <is>
          <t>3. インターフェース仕様(API仕様)</t>
        </is>
      </c>
      <c r="D31" s="11" t="inlineStr">
        <is>
          <t>Low</t>
        </is>
      </c>
      <c r="E31" s="4" t="inlineStr">
        <is>
          <t>非推奨化(deprecation)の手順が定義されている</t>
        </is>
      </c>
      <c r="F31" s="4" t="inlineStr">
        <is>
          <t>API 廃止時の告知方法・猶予期間の方針が記載されている</t>
        </is>
      </c>
      <c r="G31" s="4" t="inlineStr">
        <is>
          <t>廃止手順がないと、利用中のクライアントに予告なくAPIが消えて障害になる。互換性維持と廃止のライフサイクル管理はAPI提供側の責務。</t>
        </is>
      </c>
      <c r="H31" s="4" t="inlineStr">
        <is>
          <t>実務補完(APIライフサイクル管理)</t>
        </is>
      </c>
      <c r="I31" s="4" t="inlineStr">
        <is>
          <t>CORE</t>
        </is>
      </c>
      <c r="J31" s="4" t="inlineStr">
        <is>
          <t>原則適用。案件スコープ・成果物・規制・リスク上非該当の場合はN/A根拠を記録。</t>
        </is>
      </c>
      <c r="K31" s="4" t="inlineStr">
        <is>
          <t>SRC-PRACTICE</t>
        </is>
      </c>
      <c r="L31" s="4" t="inlineStr"/>
      <c r="M31" s="4" t="n"/>
      <c r="N31" s="4" t="n"/>
      <c r="O31" s="4" t="n"/>
      <c r="P31" s="4" t="n"/>
      <c r="Q31" s="4" t="n"/>
      <c r="R31" s="4" t="n"/>
      <c r="S31" s="4" t="n"/>
      <c r="T31" s="4" t="n"/>
      <c r="U31" s="4" t="n"/>
      <c r="V31" s="4" t="n"/>
      <c r="W31" s="4" t="n"/>
    </row>
    <row r="32">
      <c r="A32" s="5" t="inlineStr">
        <is>
          <t>DES-903</t>
        </is>
      </c>
      <c r="B32" s="5" t="inlineStr">
        <is>
          <t>追加承認</t>
        </is>
      </c>
      <c r="C32" s="4" t="inlineStr">
        <is>
          <t>3. インターフェース仕様(API仕様)</t>
        </is>
      </c>
      <c r="D32" s="9" t="inlineStr">
        <is>
          <t>High</t>
        </is>
      </c>
      <c r="E32" s="4" t="inlineStr">
        <is>
          <t>外部システムとの連携仕様が定義されている</t>
        </is>
      </c>
      <c r="F32" s="4" t="inlineStr">
        <is>
          <t>連携する外部システムごとに、接続方式(プロトコル)、データ形式と変換規則、連携タイミング(リアルタイム/バッチ)、責任分界点が記載され、相手方仕様書(版数付き)への参照がある</t>
        </is>
      </c>
      <c r="G32" s="4" t="inlineStr">
        <is>
          <t>外部連携の仕様齟齬は結合テスト終盤や本番稼働後に発覚しやすく、相手方調整を伴うため修正コストが極めて高い。設計時に双方の合意事項を明文化して手戻りを防ぐ。</t>
        </is>
      </c>
      <c r="H32" s="4" t="inlineStr">
        <is>
          <t>swebok-v4a.pdf ch03 Software Design &gt; 3.6 Integration and Interoperability — 異種システム間の統合・相互運用性の設計</t>
        </is>
      </c>
      <c r="I32" s="4" t="inlineStr">
        <is>
          <t>CORE</t>
        </is>
      </c>
      <c r="J32" s="4" t="inlineStr">
        <is>
          <t>原則適用。案件スコープ・成果物・規制・リスク上非該当の場合はN/A根拠を記録。</t>
        </is>
      </c>
      <c r="K32" s="4" t="inlineStr">
        <is>
          <t>SRC-SWEBOK-V4A</t>
        </is>
      </c>
      <c r="L32" s="4" t="inlineStr"/>
      <c r="M32" s="4" t="n"/>
      <c r="N32" s="4" t="n"/>
      <c r="O32" s="4" t="n"/>
      <c r="P32" s="4" t="n"/>
      <c r="Q32" s="4" t="n"/>
      <c r="R32" s="4" t="n"/>
      <c r="S32" s="4" t="n"/>
      <c r="T32" s="4" t="n"/>
      <c r="U32" s="4" t="n"/>
      <c r="V32" s="4" t="n"/>
      <c r="W32" s="4" t="n"/>
    </row>
    <row r="33">
      <c r="A33" s="5" t="inlineStr">
        <is>
          <t>DES-031</t>
        </is>
      </c>
      <c r="B33" s="5" t="inlineStr">
        <is>
          <t>SWEBOK</t>
        </is>
      </c>
      <c r="C33" s="4" t="inlineStr">
        <is>
          <t>4. データモデル/ER図</t>
        </is>
      </c>
      <c r="D33" s="8" t="inlineStr">
        <is>
          <t>Critical</t>
        </is>
      </c>
      <c r="E33" s="4" t="inlineStr">
        <is>
          <t>全エンティティに主キーが定義されている</t>
        </is>
      </c>
      <c r="F33" s="4" t="inlineStr">
        <is>
          <t>ER図/テーブル定義の全エンティティに主キー(または一意識別子)が明示されている</t>
        </is>
      </c>
      <c r="G33" s="4" t="inlineStr">
        <is>
          <t>主キーのないエンティティは行の同一性を識別できず、更新・削除の誤対象や重複データの温床になる。データ永続化設計の最低条件。</t>
        </is>
      </c>
      <c r="H33" s="4" t="inlineStr">
        <is>
          <t>swebok-v4a.pdf ch03 Software Design &gt; 3.3 Data Persistence / 4.2 Structural Design Descriptions(ERD)</t>
        </is>
      </c>
      <c r="I33" s="4" t="inlineStr">
        <is>
          <t>CORE</t>
        </is>
      </c>
      <c r="J33" s="4" t="inlineStr">
        <is>
          <t>原則適用。案件スコープ・成果物・規制・リスク上非該当の場合はN/A根拠を記録。</t>
        </is>
      </c>
      <c r="K33" s="4" t="inlineStr">
        <is>
          <t>SRC-SWEBOK-V4A</t>
        </is>
      </c>
      <c r="L33" s="4" t="inlineStr"/>
      <c r="M33" s="4" t="n"/>
      <c r="N33" s="4" t="n"/>
      <c r="O33" s="4" t="n"/>
      <c r="P33" s="4" t="n"/>
      <c r="Q33" s="4" t="n"/>
      <c r="R33" s="4" t="n"/>
      <c r="S33" s="4" t="n"/>
      <c r="T33" s="4" t="n"/>
      <c r="U33" s="4" t="n"/>
      <c r="V33" s="4" t="n"/>
      <c r="W33" s="4" t="n"/>
    </row>
    <row r="34">
      <c r="A34" s="5" t="inlineStr">
        <is>
          <t>DES-032</t>
        </is>
      </c>
      <c r="B34" s="5" t="inlineStr">
        <is>
          <t>SWEBOK</t>
        </is>
      </c>
      <c r="C34" s="4" t="inlineStr">
        <is>
          <t>4. データモデル/ER図</t>
        </is>
      </c>
      <c r="D34" s="8" t="inlineStr">
        <is>
          <t>Critical</t>
        </is>
      </c>
      <c r="E34" s="4" t="inlineStr">
        <is>
          <t>リレーションシップと多重度が定義されている</t>
        </is>
      </c>
      <c r="F34" s="4" t="inlineStr">
        <is>
          <t>エンティティ間の関係すべてに多重度(1:1, 1:N, N:M)が記載され、N:M は交差エンティティで解決されている</t>
        </is>
      </c>
      <c r="G34" s="4" t="inlineStr">
        <is>
          <t>多重度が曖昧だと「1件か複数か」の解釈違いがテーブル構造・画面・APIの全域に波及する。N:M の未解決は物理設計に落とせない。</t>
        </is>
      </c>
      <c r="H34" s="4" t="inlineStr">
        <is>
          <t>swebok-v4a.pdf ch03 Software Design &gt; 4.2 Structural Design Descriptions(ERD:概念・論理・物理モデル)</t>
        </is>
      </c>
      <c r="I34" s="4" t="inlineStr">
        <is>
          <t>CORE</t>
        </is>
      </c>
      <c r="J34" s="4" t="inlineStr">
        <is>
          <t>原則適用。案件スコープ・成果物・規制・リスク上非該当の場合はN/A根拠を記録。</t>
        </is>
      </c>
      <c r="K34" s="4" t="inlineStr">
        <is>
          <t>SRC-SWEBOK-V4A</t>
        </is>
      </c>
      <c r="L34" s="4" t="inlineStr"/>
      <c r="M34" s="4" t="n"/>
      <c r="N34" s="4" t="n"/>
      <c r="O34" s="4" t="n"/>
      <c r="P34" s="4" t="n"/>
      <c r="Q34" s="4" t="n"/>
      <c r="R34" s="4" t="n"/>
      <c r="S34" s="4" t="n"/>
      <c r="T34" s="4" t="n"/>
      <c r="U34" s="4" t="n"/>
      <c r="V34" s="4" t="n"/>
      <c r="W34" s="4" t="n"/>
    </row>
    <row r="35">
      <c r="A35" s="5" t="inlineStr">
        <is>
          <t>DES-033</t>
        </is>
      </c>
      <c r="B35" s="5" t="inlineStr">
        <is>
          <t>SWEBOK</t>
        </is>
      </c>
      <c r="C35" s="4" t="inlineStr">
        <is>
          <t>4. データモデル/ER図</t>
        </is>
      </c>
      <c r="D35" s="8" t="inlineStr">
        <is>
          <t>Critical</t>
        </is>
      </c>
      <c r="E35" s="4" t="inlineStr">
        <is>
          <t>DDL を導出できる粒度で定義されている</t>
        </is>
      </c>
      <c r="F35" s="4" t="inlineStr">
        <is>
          <t>全カラムに型・桁・NULL可否・デフォルト値・一意制約が定義され、機械的に DDL へ変換できる</t>
        </is>
      </c>
      <c r="G35" s="4" t="inlineStr">
        <is>
          <t>型・桁・NULL可否が未定義だと実装者が推測でDDLを書き、環境間・チーム間でスキーマ差異が生まれる。詳細設計はデータの編成・実装まで規定する。</t>
        </is>
      </c>
      <c r="H35" s="4" t="inlineStr">
        <is>
          <t>swebok-v4a.pdf ch03 Software Design &gt; 2.2 Detailed Design(データの編成・パッケージング・実装)/ 3.3 Data Persistence</t>
        </is>
      </c>
      <c r="I35" s="4" t="inlineStr">
        <is>
          <t>CORE</t>
        </is>
      </c>
      <c r="J35" s="4" t="inlineStr">
        <is>
          <t>原則適用。案件スコープ・成果物・規制・リスク上非該当の場合はN/A根拠を記録。</t>
        </is>
      </c>
      <c r="K35" s="4" t="inlineStr">
        <is>
          <t>SRC-SWEBOK-V4A</t>
        </is>
      </c>
      <c r="L35" s="4" t="inlineStr"/>
      <c r="M35" s="4" t="n"/>
      <c r="N35" s="4" t="n"/>
      <c r="O35" s="4" t="n"/>
      <c r="P35" s="4" t="n"/>
      <c r="Q35" s="4" t="n"/>
      <c r="R35" s="4" t="n"/>
      <c r="S35" s="4" t="n"/>
      <c r="T35" s="4" t="n"/>
      <c r="U35" s="4" t="n"/>
      <c r="V35" s="4" t="n"/>
      <c r="W35" s="4" t="n"/>
    </row>
    <row r="36">
      <c r="A36" s="5" t="inlineStr">
        <is>
          <t>DES-034</t>
        </is>
      </c>
      <c r="B36" s="5" t="inlineStr">
        <is>
          <t>SWEBOK</t>
        </is>
      </c>
      <c r="C36" s="4" t="inlineStr">
        <is>
          <t>4. データモデル/ER図</t>
        </is>
      </c>
      <c r="D36" s="9" t="inlineStr">
        <is>
          <t>High</t>
        </is>
      </c>
      <c r="E36" s="4" t="inlineStr">
        <is>
          <t>外部キーと参照整合性の方針が定義されている</t>
        </is>
      </c>
      <c r="F36" s="4" t="inlineStr">
        <is>
          <t>外部キーが明示され、親削除時の挙動(CASCADE/RESTRICT/論理削除)が定義されている</t>
        </is>
      </c>
      <c r="G36" s="4" t="inlineStr">
        <is>
          <t>参照整合性の方針がないと、親削除で宙に浮いた子データ(孤児レコード)が生まれ、後からの発見・修復は非常に高コストになる。</t>
        </is>
      </c>
      <c r="H36" s="4" t="inlineStr">
        <is>
          <t>swebok-v4a.pdf ch03 Software Design &gt; 3.3 Data Persistence / 実務補完(RDB設計実務)</t>
        </is>
      </c>
      <c r="I36" s="4" t="inlineStr">
        <is>
          <t>CORE</t>
        </is>
      </c>
      <c r="J36" s="4" t="inlineStr">
        <is>
          <t>原則適用。案件スコープ・成果物・規制・リスク上非該当の場合はN/A根拠を記録。</t>
        </is>
      </c>
      <c r="K36" s="4" t="inlineStr">
        <is>
          <t>SRC-SWEBOK-V4A;SRC-PRACTICE</t>
        </is>
      </c>
      <c r="L36" s="4" t="inlineStr"/>
      <c r="M36" s="4" t="n"/>
      <c r="N36" s="4" t="n"/>
      <c r="O36" s="4" t="n"/>
      <c r="P36" s="4" t="n"/>
      <c r="Q36" s="4" t="n"/>
      <c r="R36" s="4" t="n"/>
      <c r="S36" s="4" t="n"/>
      <c r="T36" s="4" t="n"/>
      <c r="U36" s="4" t="n"/>
      <c r="V36" s="4" t="n"/>
      <c r="W36" s="4" t="n"/>
    </row>
    <row r="37">
      <c r="A37" s="5" t="inlineStr">
        <is>
          <t>DES-035</t>
        </is>
      </c>
      <c r="B37" s="5" t="inlineStr">
        <is>
          <t>SWEBOK</t>
        </is>
      </c>
      <c r="C37" s="4" t="inlineStr">
        <is>
          <t>4. データモデル/ER図</t>
        </is>
      </c>
      <c r="D37" s="9" t="inlineStr">
        <is>
          <t>High</t>
        </is>
      </c>
      <c r="E37" s="4" t="inlineStr">
        <is>
          <t>正規化と非正規化の根拠がある</t>
        </is>
      </c>
      <c r="F37" s="4" t="inlineStr">
        <is>
          <t>論理モデルが第3正規形を基準とし、非正規化(冗長カラム、集計テーブル)には性能等の根拠が記載されている</t>
        </is>
      </c>
      <c r="G37" s="4" t="inlineStr">
        <is>
          <t>根拠のない非正規化は更新時異常とデータ不整合を生み、逆に過剰な正規化は性能問題を生む。トレードオフの根拠記録が後日の判断変更を可能にする。</t>
        </is>
      </c>
      <c r="H37" s="4" t="inlineStr">
        <is>
          <t>実務補完(データベース設計理論)/ 4.6 Design Rationale(トレードオフの記録)</t>
        </is>
      </c>
      <c r="I37" s="4" t="inlineStr">
        <is>
          <t>CORE</t>
        </is>
      </c>
      <c r="J37" s="4" t="inlineStr">
        <is>
          <t>原則適用。案件スコープ・成果物・規制・リスク上非該当の場合はN/A根拠を記録。</t>
        </is>
      </c>
      <c r="K37" s="4" t="inlineStr">
        <is>
          <t>SRC-PRACTICE</t>
        </is>
      </c>
      <c r="L37" s="4" t="inlineStr"/>
      <c r="M37" s="4" t="n"/>
      <c r="N37" s="4" t="n"/>
      <c r="O37" s="4" t="n"/>
      <c r="P37" s="4" t="n"/>
      <c r="Q37" s="4" t="n"/>
      <c r="R37" s="4" t="n"/>
      <c r="S37" s="4" t="n"/>
      <c r="T37" s="4" t="n"/>
      <c r="U37" s="4" t="n"/>
      <c r="V37" s="4" t="n"/>
      <c r="W37" s="4" t="n"/>
    </row>
    <row r="38">
      <c r="A38" s="5" t="inlineStr">
        <is>
          <t>DES-036</t>
        </is>
      </c>
      <c r="B38" s="5" t="inlineStr">
        <is>
          <t>SWEBOK</t>
        </is>
      </c>
      <c r="C38" s="4" t="inlineStr">
        <is>
          <t>4. データモデル/ER図</t>
        </is>
      </c>
      <c r="D38" s="9" t="inlineStr">
        <is>
          <t>High</t>
        </is>
      </c>
      <c r="E38" s="4" t="inlineStr">
        <is>
          <t>インデックス設計が主要クエリと対応している</t>
        </is>
      </c>
      <c r="F38" s="4" t="inlineStr">
        <is>
          <t>主要な検索・結合条件が列挙され、それに対応するインデックスが定義されている</t>
        </is>
      </c>
      <c r="G38" s="4" t="inlineStr">
        <is>
          <t>インデックスは主要クエリと対でなければ意味がない。設計時に対応付けておかないと、データ増加後に性能劣化が顕在化し本番でのスキーマ変更を強いられる。</t>
        </is>
      </c>
      <c r="H38" s="4" t="inlineStr">
        <is>
          <t>swebok-v4a.pdf ch03 Software Design &gt; 6.2 Quality Attributes(性能)/ 実務補完(DB性能設計実務)</t>
        </is>
      </c>
      <c r="I38" s="4" t="inlineStr">
        <is>
          <t>CORE</t>
        </is>
      </c>
      <c r="J38" s="4" t="inlineStr">
        <is>
          <t>原則適用。案件スコープ・成果物・規制・リスク上非該当の場合はN/A根拠を記録。</t>
        </is>
      </c>
      <c r="K38" s="4" t="inlineStr">
        <is>
          <t>SRC-SWEBOK-V4A;SRC-PRACTICE</t>
        </is>
      </c>
      <c r="L38" s="4" t="inlineStr"/>
      <c r="M38" s="4" t="n"/>
      <c r="N38" s="4" t="n"/>
      <c r="O38" s="4" t="n"/>
      <c r="P38" s="4" t="n"/>
      <c r="Q38" s="4" t="n"/>
      <c r="R38" s="4" t="n"/>
      <c r="S38" s="4" t="n"/>
      <c r="T38" s="4" t="n"/>
      <c r="U38" s="4" t="n"/>
      <c r="V38" s="4" t="n"/>
      <c r="W38" s="4" t="n"/>
    </row>
    <row r="39">
      <c r="A39" s="5" t="inlineStr">
        <is>
          <t>DES-037</t>
        </is>
      </c>
      <c r="B39" s="5" t="inlineStr">
        <is>
          <t>SWEBOK</t>
        </is>
      </c>
      <c r="C39" s="4" t="inlineStr">
        <is>
          <t>4. データモデル/ER図</t>
        </is>
      </c>
      <c r="D39" s="9" t="inlineStr">
        <is>
          <t>High</t>
        </is>
      </c>
      <c r="E39" s="4" t="inlineStr">
        <is>
          <t>データライフサイクルが定義されている</t>
        </is>
      </c>
      <c r="F39" s="4" t="inlineStr">
        <is>
          <t>各エンティティについて作成・更新・削除の契機、保持期間、アーカイブ/物理削除の方針が記述されている</t>
        </is>
      </c>
      <c r="G39" s="4" t="inlineStr">
        <is>
          <t>データの生成から廃棄までの管理はデータ永続化設計の一部。保持期間・削除方針がないと、データが無限に増えて性能・コスト・法令(保存義務/消去義務)の問題を起こす。</t>
        </is>
      </c>
      <c r="H39" s="4" t="inlineStr">
        <is>
          <t>swebok-v4a.pdf ch03 Software Design &gt; 3.3 Data Persistence(システム全体を通じたデータの保存と管理)</t>
        </is>
      </c>
      <c r="I39" s="4" t="inlineStr">
        <is>
          <t>CORE</t>
        </is>
      </c>
      <c r="J39" s="4" t="inlineStr">
        <is>
          <t>原則適用。案件スコープ・成果物・規制・リスク上非該当の場合はN/A根拠を記録。</t>
        </is>
      </c>
      <c r="K39" s="4" t="inlineStr">
        <is>
          <t>SRC-SWEBOK-V4A</t>
        </is>
      </c>
      <c r="L39" s="4" t="inlineStr"/>
      <c r="M39" s="4" t="n"/>
      <c r="N39" s="4" t="n"/>
      <c r="O39" s="4" t="n"/>
      <c r="P39" s="4" t="n"/>
      <c r="Q39" s="4" t="n"/>
      <c r="R39" s="4" t="n"/>
      <c r="S39" s="4" t="n"/>
      <c r="T39" s="4" t="n"/>
      <c r="U39" s="4" t="n"/>
      <c r="V39" s="4" t="n"/>
      <c r="W39" s="4" t="n"/>
    </row>
    <row r="40">
      <c r="A40" s="5" t="inlineStr">
        <is>
          <t>DES-038</t>
        </is>
      </c>
      <c r="B40" s="5" t="inlineStr">
        <is>
          <t>SWEBOK</t>
        </is>
      </c>
      <c r="C40" s="4" t="inlineStr">
        <is>
          <t>4. データモデル/ER図</t>
        </is>
      </c>
      <c r="D40" s="9" t="inlineStr">
        <is>
          <t>High</t>
        </is>
      </c>
      <c r="E40" s="4" t="inlineStr">
        <is>
          <t>個人情報・機密データの保護方針が定義されている</t>
        </is>
      </c>
      <c r="F40" s="4" t="inlineStr">
        <is>
          <t>個人情報・秘密情報に該当するカラムが識別され、暗号化・マスキング・アクセス制御の方針が記載されている。該当がない場合はその旨の明記がある</t>
        </is>
      </c>
      <c r="G40" s="4" t="inlineStr">
        <is>
          <t>個人情報カラムの識別漏れは、漏えい時の被害拡大と法令違反に直結する。情報の不正開示防止はセキュリティ設計の中心課題であり、後付けの暗号化は移行が困難。</t>
        </is>
      </c>
      <c r="H40" s="4" t="inlineStr">
        <is>
          <t>swebok-v4a.pdf ch03 Software Design &gt; 3.7 Assurance, Security, and Safety(不正な開示の防止)</t>
        </is>
      </c>
      <c r="I40" s="4" t="inlineStr">
        <is>
          <t>CORE</t>
        </is>
      </c>
      <c r="J40" s="4" t="inlineStr">
        <is>
          <t>原則適用。案件スコープ・成果物・規制・リスク上非該当の場合はN/A根拠を記録。</t>
        </is>
      </c>
      <c r="K40" s="4" t="inlineStr">
        <is>
          <t>SRC-SWEBOK-V4A</t>
        </is>
      </c>
      <c r="L40" s="4" t="inlineStr">
        <is>
          <t>PRIVACY</t>
        </is>
      </c>
      <c r="M40" s="4" t="n"/>
      <c r="N40" s="4" t="n"/>
      <c r="O40" s="4" t="n"/>
      <c r="P40" s="4" t="n"/>
      <c r="Q40" s="4" t="n"/>
      <c r="R40" s="4" t="n"/>
      <c r="S40" s="4" t="n"/>
      <c r="T40" s="4" t="n"/>
      <c r="U40" s="4" t="n"/>
      <c r="V40" s="4" t="n"/>
      <c r="W40" s="4" t="n"/>
    </row>
    <row r="41">
      <c r="A41" s="5" t="inlineStr">
        <is>
          <t>DES-039</t>
        </is>
      </c>
      <c r="B41" s="5" t="inlineStr">
        <is>
          <t>SWEBOK</t>
        </is>
      </c>
      <c r="C41" s="4" t="inlineStr">
        <is>
          <t>4. データモデル/ER図</t>
        </is>
      </c>
      <c r="D41" s="10" t="inlineStr">
        <is>
          <t>Medium</t>
        </is>
      </c>
      <c r="E41" s="4" t="inlineStr">
        <is>
          <t>論理削除・履歴管理の方式が統一されている</t>
        </is>
      </c>
      <c r="F41" s="4" t="inlineStr">
        <is>
          <t>論理削除フラグ、履歴テーブル、監査カラム(作成者・更新日時等)の方式が全テーブルで統一されている</t>
        </is>
      </c>
      <c r="G41" s="4" t="inlineStr">
        <is>
          <t>論理削除や監査カラムの方式がテーブルごとに異なると、共通処理(検索条件の deleted 除外等)が書けず、削除済みデータの誤表示などの不具合が散発する。</t>
        </is>
      </c>
      <c r="H41" s="4" t="inlineStr">
        <is>
          <t>swebok-v4a.pdf ch03 Software Design &gt; 1.4 Uniformity / 実務補完(データ設計実務)</t>
        </is>
      </c>
      <c r="I41" s="4" t="inlineStr">
        <is>
          <t>CORE</t>
        </is>
      </c>
      <c r="J41" s="4" t="inlineStr">
        <is>
          <t>原則適用。案件スコープ・成果物・規制・リスク上非該当の場合はN/A根拠を記録。</t>
        </is>
      </c>
      <c r="K41" s="4" t="inlineStr">
        <is>
          <t>SRC-SWEBOK-V4A;SRC-PRACTICE</t>
        </is>
      </c>
      <c r="L41" s="4" t="inlineStr"/>
      <c r="M41" s="4" t="n"/>
      <c r="N41" s="4" t="n"/>
      <c r="O41" s="4" t="n"/>
      <c r="P41" s="4" t="n"/>
      <c r="Q41" s="4" t="n"/>
      <c r="R41" s="4" t="n"/>
      <c r="S41" s="4" t="n"/>
      <c r="T41" s="4" t="n"/>
      <c r="U41" s="4" t="n"/>
      <c r="V41" s="4" t="n"/>
      <c r="W41" s="4" t="n"/>
    </row>
    <row r="42">
      <c r="A42" s="5" t="inlineStr">
        <is>
          <t>DES-040</t>
        </is>
      </c>
      <c r="B42" s="5" t="inlineStr">
        <is>
          <t>SWEBOK</t>
        </is>
      </c>
      <c r="C42" s="4" t="inlineStr">
        <is>
          <t>4. データモデル/ER図</t>
        </is>
      </c>
      <c r="D42" s="10" t="inlineStr">
        <is>
          <t>Medium</t>
        </is>
      </c>
      <c r="E42" s="4" t="inlineStr">
        <is>
          <t>コード値(区分値)が定義されている</t>
        </is>
      </c>
      <c r="F42" s="4" t="inlineStr">
        <is>
          <t>区分・ステータス等のコード値について、値と意味の一覧が存在する</t>
        </is>
      </c>
      <c r="G42" s="4" t="inlineStr">
        <is>
          <t>コード値の定義がないと、実装者・テスターが値の意味を推測し、システム間・画面間で同じ区分に異なる値が使われる事故が起きる。</t>
        </is>
      </c>
      <c r="H42" s="4" t="inlineStr">
        <is>
          <t>実務補完(データ項目設計実務)/ 1.1 Design Thinking(問題領域の語彙の明文化)</t>
        </is>
      </c>
      <c r="I42" s="4" t="inlineStr">
        <is>
          <t>CORE</t>
        </is>
      </c>
      <c r="J42" s="4" t="inlineStr">
        <is>
          <t>原則適用。案件スコープ・成果物・規制・リスク上非該当の場合はN/A根拠を記録。</t>
        </is>
      </c>
      <c r="K42" s="4" t="inlineStr">
        <is>
          <t>SRC-PRACTICE</t>
        </is>
      </c>
      <c r="L42" s="4" t="inlineStr"/>
      <c r="M42" s="4" t="n"/>
      <c r="N42" s="4" t="n"/>
      <c r="O42" s="4" t="n"/>
      <c r="P42" s="4" t="n"/>
      <c r="Q42" s="4" t="n"/>
      <c r="R42" s="4" t="n"/>
      <c r="S42" s="4" t="n"/>
      <c r="T42" s="4" t="n"/>
      <c r="U42" s="4" t="n"/>
      <c r="V42" s="4" t="n"/>
      <c r="W42" s="4" t="n"/>
    </row>
    <row r="43">
      <c r="A43" s="5" t="inlineStr">
        <is>
          <t>DES-041</t>
        </is>
      </c>
      <c r="B43" s="5" t="inlineStr">
        <is>
          <t>SWEBOK</t>
        </is>
      </c>
      <c r="C43" s="4" t="inlineStr">
        <is>
          <t>4. データモデル/ER図</t>
        </is>
      </c>
      <c r="D43" s="10" t="inlineStr">
        <is>
          <t>Medium</t>
        </is>
      </c>
      <c r="E43" s="4" t="inlineStr">
        <is>
          <t>概念モデルと物理モデルが対応している</t>
        </is>
      </c>
      <c r="F43" s="4" t="inlineStr">
        <is>
          <t>概念/論理モデルのエンティティと物理テーブルの対応が追跡でき、根拠なき乖離がない</t>
        </is>
      </c>
      <c r="G43" s="4" t="inlineStr">
        <is>
          <t>概念モデルと物理テーブルの対応が追えないと、業務要求の変更をどのテーブルに反映すべきか判断できず、モデルが形骸化して保守時の分析コストが増える。</t>
        </is>
      </c>
      <c r="H43" s="4" t="inlineStr">
        <is>
          <t>swebok-v4a.pdf ch03 Software Design &gt; 4.2 Structural Design Descriptions(ERD:概念・論理・物理の各モデル)</t>
        </is>
      </c>
      <c r="I43" s="4" t="inlineStr">
        <is>
          <t>CORE</t>
        </is>
      </c>
      <c r="J43" s="4" t="inlineStr">
        <is>
          <t>原則適用。案件スコープ・成果物・規制・リスク上非該当の場合はN/A根拠を記録。</t>
        </is>
      </c>
      <c r="K43" s="4" t="inlineStr">
        <is>
          <t>SRC-SWEBOK-V4A</t>
        </is>
      </c>
      <c r="L43" s="4" t="inlineStr"/>
      <c r="M43" s="4" t="n"/>
      <c r="N43" s="4" t="n"/>
      <c r="O43" s="4" t="n"/>
      <c r="P43" s="4" t="n"/>
      <c r="Q43" s="4" t="n"/>
      <c r="R43" s="4" t="n"/>
      <c r="S43" s="4" t="n"/>
      <c r="T43" s="4" t="n"/>
      <c r="U43" s="4" t="n"/>
      <c r="V43" s="4" t="n"/>
      <c r="W43" s="4" t="n"/>
    </row>
    <row r="44">
      <c r="A44" s="5" t="inlineStr">
        <is>
          <t>DES-042</t>
        </is>
      </c>
      <c r="B44" s="5" t="inlineStr">
        <is>
          <t>SWEBOK</t>
        </is>
      </c>
      <c r="C44" s="4" t="inlineStr">
        <is>
          <t>4. データモデル/ER図</t>
        </is>
      </c>
      <c r="D44" s="11" t="inlineStr">
        <is>
          <t>Low</t>
        </is>
      </c>
      <c r="E44" s="4" t="inlineStr">
        <is>
          <t>データ移行の要否が判断されている</t>
        </is>
      </c>
      <c r="F44" s="4" t="inlineStr">
        <is>
          <t>既存データが存在する場合、移行対象・変換規則・移行手順への言及がある</t>
        </is>
      </c>
      <c r="G44" s="4" t="inlineStr">
        <is>
          <t>移行の検討漏れはリリース直前に発覚し、変換規則の設計・リハーサルをやり直す大きな手戻りになる。新スキーマ設計と移行設計は不可分。</t>
        </is>
      </c>
      <c r="H44" s="4" t="inlineStr">
        <is>
          <t>実務補完(データ移行実務)</t>
        </is>
      </c>
      <c r="I44" s="4" t="inlineStr">
        <is>
          <t>CORE</t>
        </is>
      </c>
      <c r="J44" s="4" t="inlineStr">
        <is>
          <t>原則適用。案件スコープ・成果物・規制・リスク上非該当の場合はN/A根拠を記録。</t>
        </is>
      </c>
      <c r="K44" s="4" t="inlineStr">
        <is>
          <t>SRC-PRACTICE</t>
        </is>
      </c>
      <c r="L44" s="4" t="inlineStr"/>
      <c r="M44" s="4" t="n"/>
      <c r="N44" s="4" t="n"/>
      <c r="O44" s="4" t="n"/>
      <c r="P44" s="4" t="n"/>
      <c r="Q44" s="4" t="n"/>
      <c r="R44" s="4" t="n"/>
      <c r="S44" s="4" t="n"/>
      <c r="T44" s="4" t="n"/>
      <c r="U44" s="4" t="n"/>
      <c r="V44" s="4" t="n"/>
      <c r="W44" s="4" t="n"/>
    </row>
    <row r="45">
      <c r="A45" s="5" t="inlineStr">
        <is>
          <t>DES-050</t>
        </is>
      </c>
      <c r="B45" s="5" t="inlineStr">
        <is>
          <t>SWEBOK</t>
        </is>
      </c>
      <c r="C45" s="4" t="inlineStr">
        <is>
          <t>5. 振る舞い設計(シーケンス・状態遷移)</t>
        </is>
      </c>
      <c r="D45" s="8" t="inlineStr">
        <is>
          <t>Critical</t>
        </is>
      </c>
      <c r="E45" s="4" t="inlineStr">
        <is>
          <t>主要ユースケースにシーケンス図がある</t>
        </is>
      </c>
      <c r="F45" s="4" t="inlineStr">
        <is>
          <t>主要ユースケース/主要APIごとにシーケンス図が存在し、対応する要求ID/API IDが図に明記されている</t>
        </is>
      </c>
      <c r="G45" s="4" t="inlineStr">
        <is>
          <t>コンポーネント間の相互作用と時間順序はシーケンス図でしか正確に共有できない。主要フローの動的設計がないと、呼び出し順序・責務分担の解釈が実装者ごとに割れる。</t>
        </is>
      </c>
      <c r="H45" s="4" t="inlineStr">
        <is>
          <t>swebok-v4a.pdf ch03 Software Design &gt; 4.3 Behavioral Design Descriptions(シーケンス図)/ 2.1 High-Level Design(エンドツーエンドのトランザクション追跡)</t>
        </is>
      </c>
      <c r="I45" s="4" t="inlineStr">
        <is>
          <t>CORE</t>
        </is>
      </c>
      <c r="J45" s="4" t="inlineStr">
        <is>
          <t>原則適用。案件スコープ・成果物・規制・リスク上非該当の場合はN/A根拠を記録。</t>
        </is>
      </c>
      <c r="K45" s="4" t="inlineStr">
        <is>
          <t>SRC-SWEBOK-V4A</t>
        </is>
      </c>
      <c r="L45" s="4" t="inlineStr"/>
      <c r="M45" s="4" t="n"/>
      <c r="N45" s="4" t="n"/>
      <c r="O45" s="4" t="n"/>
      <c r="P45" s="4" t="n"/>
      <c r="Q45" s="4" t="n"/>
      <c r="R45" s="4" t="n"/>
      <c r="S45" s="4" t="n"/>
      <c r="T45" s="4" t="n"/>
      <c r="U45" s="4" t="n"/>
      <c r="V45" s="4" t="n"/>
      <c r="W45" s="4" t="n"/>
    </row>
    <row r="46">
      <c r="A46" s="5" t="inlineStr">
        <is>
          <t>DES-051</t>
        </is>
      </c>
      <c r="B46" s="5" t="inlineStr">
        <is>
          <t>SWEBOK</t>
        </is>
      </c>
      <c r="C46" s="4" t="inlineStr">
        <is>
          <t>5. 振る舞い設計(シーケンス・状態遷移)</t>
        </is>
      </c>
      <c r="D46" s="8" t="inlineStr">
        <is>
          <t>Critical</t>
        </is>
      </c>
      <c r="E46" s="4" t="inlineStr">
        <is>
          <t>状態を持つエンティティに状態遷移図/表がある</t>
        </is>
      </c>
      <c r="F46" s="4" t="inlineStr">
        <is>
          <t>状態(ステータス)を持つ全エンティティについて、全状態と遷移イベントを網羅した状態遷移図または遷移表が存在する</t>
        </is>
      </c>
      <c r="G46" s="4" t="inlineStr">
        <is>
          <t>設計はソフトウェアのモードと状態に関して完全であるべき、というのが完全性の原則。状態遷移が図示されないと、遷移の抜けが不正な状態遷移バグとして本番で発覚する。</t>
        </is>
      </c>
      <c r="H46" s="4" t="inlineStr">
        <is>
          <t>swebok-v4a.pdf ch03 Software Design &gt; 4.3 Behavioral Design Descriptions(状態遷移図・ステートチャート)/ 1.4 Completeness(モード・状態に関する完全性)</t>
        </is>
      </c>
      <c r="I46" s="4" t="inlineStr">
        <is>
          <t>CORE</t>
        </is>
      </c>
      <c r="J46" s="4" t="inlineStr">
        <is>
          <t>原則適用。案件スコープ・成果物・規制・リスク上非該当の場合はN/A根拠を記録。</t>
        </is>
      </c>
      <c r="K46" s="4" t="inlineStr">
        <is>
          <t>SRC-SWEBOK-V4A</t>
        </is>
      </c>
      <c r="L46" s="4" t="inlineStr"/>
      <c r="M46" s="4" t="n"/>
      <c r="N46" s="4" t="n"/>
      <c r="O46" s="4" t="n"/>
      <c r="P46" s="4" t="n"/>
      <c r="Q46" s="4" t="n"/>
      <c r="R46" s="4" t="n"/>
      <c r="S46" s="4" t="n"/>
      <c r="T46" s="4" t="n"/>
      <c r="U46" s="4" t="n"/>
      <c r="V46" s="4" t="n"/>
      <c r="W46" s="4" t="n"/>
    </row>
    <row r="47">
      <c r="A47" s="5" t="inlineStr">
        <is>
          <t>DES-052</t>
        </is>
      </c>
      <c r="B47" s="5" t="inlineStr">
        <is>
          <t>SWEBOK</t>
        </is>
      </c>
      <c r="C47" s="4" t="inlineStr">
        <is>
          <t>5. 振る舞い設計(シーケンス・状態遷移)</t>
        </is>
      </c>
      <c r="D47" s="9" t="inlineStr">
        <is>
          <t>High</t>
        </is>
      </c>
      <c r="E47" s="4" t="inlineStr">
        <is>
          <t>異常系のシーケンスが記述されている</t>
        </is>
      </c>
      <c r="F47" s="4" t="inlineStr">
        <is>
          <t>主要フローについて、タイムアウト・外部システム障害・業務エラー時の流れ(リトライ、ロールバック、補償処理)が図または本文で記述されている</t>
        </is>
      </c>
      <c r="G47" s="4" t="inlineStr">
        <is>
          <t>正常系だけの設計では、障害時の挙動が実装者の即興になり、データ不整合や無限リトライ等の重大障害を生む。異常条件の処理は独立した設計品質課題である。</t>
        </is>
      </c>
      <c r="H47" s="4" t="inlineStr">
        <is>
          <t>swebok-v4a.pdf ch03 Software Design &gt; 3.5 Errors and Exception Handling, Fault Tolerance</t>
        </is>
      </c>
      <c r="I47" s="4" t="inlineStr">
        <is>
          <t>CORE</t>
        </is>
      </c>
      <c r="J47" s="4" t="inlineStr">
        <is>
          <t>原則適用。案件スコープ・成果物・規制・リスク上非該当の場合はN/A根拠を記録。</t>
        </is>
      </c>
      <c r="K47" s="4" t="inlineStr">
        <is>
          <t>SRC-SWEBOK-V4A</t>
        </is>
      </c>
      <c r="L47" s="4" t="inlineStr"/>
      <c r="M47" s="4" t="n"/>
      <c r="N47" s="4" t="n"/>
      <c r="O47" s="4" t="n"/>
      <c r="P47" s="4" t="n"/>
      <c r="Q47" s="4" t="n"/>
      <c r="R47" s="4" t="n"/>
      <c r="S47" s="4" t="n"/>
      <c r="T47" s="4" t="n"/>
      <c r="U47" s="4" t="n"/>
      <c r="V47" s="4" t="n"/>
      <c r="W47" s="4" t="n"/>
    </row>
    <row r="48">
      <c r="A48" s="5" t="inlineStr">
        <is>
          <t>DES-053</t>
        </is>
      </c>
      <c r="B48" s="5" t="inlineStr">
        <is>
          <t>SWEBOK</t>
        </is>
      </c>
      <c r="C48" s="4" t="inlineStr">
        <is>
          <t>5. 振る舞い設計(シーケンス・状態遷移)</t>
        </is>
      </c>
      <c r="D48" s="9" t="inlineStr">
        <is>
          <t>High</t>
        </is>
      </c>
      <c r="E48" s="4" t="inlineStr">
        <is>
          <t>状態遷移が網羅的である</t>
        </is>
      </c>
      <c r="F48" s="4" t="inlineStr">
        <is>
          <t>状態×イベントの全組合せについて、遷移先または「遷移不可(エラー)」が定義されており、未定義の組合せがない</t>
        </is>
      </c>
      <c r="G48" s="4" t="inlineStr">
        <is>
          <t>状態×イベントの未定義の組合せは「起きないはず」の前提であり、実際に起きたとき未定義動作になる。網羅表はテスト観点の導出元にもなる。</t>
        </is>
      </c>
      <c r="H48" s="4" t="inlineStr">
        <is>
          <t>swebok-v4a.pdf ch03 Software Design &gt; 1.4 Completeness / 4.3 Behavioral Design Descriptions(決定表・状態遷移図)</t>
        </is>
      </c>
      <c r="I48" s="4" t="inlineStr">
        <is>
          <t>CORE</t>
        </is>
      </c>
      <c r="J48" s="4" t="inlineStr">
        <is>
          <t>原則適用。案件スコープ・成果物・規制・リスク上非該当の場合はN/A根拠を記録。</t>
        </is>
      </c>
      <c r="K48" s="4" t="inlineStr">
        <is>
          <t>SRC-SWEBOK-V4A</t>
        </is>
      </c>
      <c r="L48" s="4" t="inlineStr"/>
      <c r="M48" s="4" t="n"/>
      <c r="N48" s="4" t="n"/>
      <c r="O48" s="4" t="n"/>
      <c r="P48" s="4" t="n"/>
      <c r="Q48" s="4" t="n"/>
      <c r="R48" s="4" t="n"/>
      <c r="S48" s="4" t="n"/>
      <c r="T48" s="4" t="n"/>
      <c r="U48" s="4" t="n"/>
      <c r="V48" s="4" t="n"/>
      <c r="W48" s="4" t="n"/>
    </row>
    <row r="49">
      <c r="A49" s="5" t="inlineStr">
        <is>
          <t>DES-054</t>
        </is>
      </c>
      <c r="B49" s="5" t="inlineStr">
        <is>
          <t>SWEBOK</t>
        </is>
      </c>
      <c r="C49" s="4" t="inlineStr">
        <is>
          <t>5. 振る舞い設計(シーケンス・状態遷移)</t>
        </is>
      </c>
      <c r="D49" s="9" t="inlineStr">
        <is>
          <t>High</t>
        </is>
      </c>
      <c r="E49" s="4" t="inlineStr">
        <is>
          <t>トランザクション境界が明示されている</t>
        </is>
      </c>
      <c r="F49" s="4" t="inlineStr">
        <is>
          <t>更新処理のシーケンスにおいて、トランザクションの開始・コミット・ロールバックの位置が図または本文で特定できる</t>
        </is>
      </c>
      <c r="G49" s="4" t="inlineStr">
        <is>
          <t>トランザクション境界が曖昧だと、部分コミットによるデータ不整合や、境界の広すぎによるロック競合が起きる。原子性の設計は並行性設計の中核。</t>
        </is>
      </c>
      <c r="H49" s="4" t="inlineStr">
        <is>
          <t>swebok-v4a.pdf ch03 Software Design &gt; 3.1 Concurrency(原子性・同期)/ 3.3 Data Persistence</t>
        </is>
      </c>
      <c r="I49" s="4" t="inlineStr">
        <is>
          <t>CORE</t>
        </is>
      </c>
      <c r="J49" s="4" t="inlineStr">
        <is>
          <t>原則適用。案件スコープ・成果物・規制・リスク上非該当の場合はN/A根拠を記録。</t>
        </is>
      </c>
      <c r="K49" s="4" t="inlineStr">
        <is>
          <t>SRC-SWEBOK-V4A</t>
        </is>
      </c>
      <c r="L49" s="4" t="inlineStr"/>
      <c r="M49" s="4" t="n"/>
      <c r="N49" s="4" t="n"/>
      <c r="O49" s="4" t="n"/>
      <c r="P49" s="4" t="n"/>
      <c r="Q49" s="4" t="n"/>
      <c r="R49" s="4" t="n"/>
      <c r="S49" s="4" t="n"/>
      <c r="T49" s="4" t="n"/>
      <c r="U49" s="4" t="n"/>
      <c r="V49" s="4" t="n"/>
      <c r="W49" s="4" t="n"/>
    </row>
    <row r="50">
      <c r="A50" s="5" t="inlineStr">
        <is>
          <t>DES-055</t>
        </is>
      </c>
      <c r="B50" s="5" t="inlineStr">
        <is>
          <t>SWEBOK</t>
        </is>
      </c>
      <c r="C50" s="4" t="inlineStr">
        <is>
          <t>5. 振る舞い設計(シーケンス・状態遷移)</t>
        </is>
      </c>
      <c r="D50" s="9" t="inlineStr">
        <is>
          <t>High</t>
        </is>
      </c>
      <c r="E50" s="4" t="inlineStr">
        <is>
          <t>同期/非同期の別が明示されている</t>
        </is>
      </c>
      <c r="F50" s="4" t="inlineStr">
        <is>
          <t>呼び出しごとに同期・非同期の別が図上で区別され、非同期処理には完了通知・結果確認の方法が定義されている</t>
        </is>
      </c>
      <c r="G50" s="4" t="inlineStr">
        <is>
          <t>同期/非同期の区別(暗黙的起動・コールバック等の制御方式)が曖昧だと、完了前のデータ参照や応答待ちのブロックなど、時序に起因する不具合を作り込む。</t>
        </is>
      </c>
      <c r="H50" s="4" t="inlineStr">
        <is>
          <t>swebok-v4a.pdf ch03 Software Design &gt; 3.2 Control and Event Handling(同期・暗黙的起動・コールバック)</t>
        </is>
      </c>
      <c r="I50" s="4" t="inlineStr">
        <is>
          <t>CORE</t>
        </is>
      </c>
      <c r="J50" s="4" t="inlineStr">
        <is>
          <t>原則適用。案件スコープ・成果物・規制・リスク上非該当の場合はN/A根拠を記録。</t>
        </is>
      </c>
      <c r="K50" s="4" t="inlineStr">
        <is>
          <t>SRC-SWEBOK-V4A</t>
        </is>
      </c>
      <c r="L50" s="4" t="inlineStr"/>
      <c r="M50" s="4" t="n"/>
      <c r="N50" s="4" t="n"/>
      <c r="O50" s="4" t="n"/>
      <c r="P50" s="4" t="n"/>
      <c r="Q50" s="4" t="n"/>
      <c r="R50" s="4" t="n"/>
      <c r="S50" s="4" t="n"/>
      <c r="T50" s="4" t="n"/>
      <c r="U50" s="4" t="n"/>
      <c r="V50" s="4" t="n"/>
      <c r="W50" s="4" t="n"/>
    </row>
    <row r="51">
      <c r="A51" s="5" t="inlineStr">
        <is>
          <t>DES-056</t>
        </is>
      </c>
      <c r="B51" s="5" t="inlineStr">
        <is>
          <t>SWEBOK</t>
        </is>
      </c>
      <c r="C51" s="4" t="inlineStr">
        <is>
          <t>5. 振る舞い設計(シーケンス・状態遷移)</t>
        </is>
      </c>
      <c r="D51" s="10" t="inlineStr">
        <is>
          <t>Medium</t>
        </is>
      </c>
      <c r="E51" s="4" t="inlineStr">
        <is>
          <t>シーケンス図の参加者が構造設計と一致している</t>
        </is>
      </c>
      <c r="F51" s="4" t="inlineStr">
        <is>
          <t>シーケンス図に登場するオブジェクト/コンポーネントが、モジュール構成(クラス図・コンポーネント図)に定義されたものと一致している</t>
        </is>
      </c>
      <c r="G51" s="4" t="inlineStr">
        <is>
          <t>構造図(静的ビュー)と振る舞い図(動的ビュー)は同一設計の別表現であり、参加者が食い違うとどちらかが古いか誤りで、実装者が誤った方を信じるリスクがある。</t>
        </is>
      </c>
      <c r="H51" s="4" t="inlineStr">
        <is>
          <t>swebok-v4a.pdf ch03 Software Design &gt; 4.2/4.3 構造記述と振る舞い記述の整合 / 4.1 Model-Based Design</t>
        </is>
      </c>
      <c r="I51" s="4" t="inlineStr">
        <is>
          <t>CORE</t>
        </is>
      </c>
      <c r="J51" s="4" t="inlineStr">
        <is>
          <t>原則適用。案件スコープ・成果物・規制・リスク上非該当の場合はN/A根拠を記録。</t>
        </is>
      </c>
      <c r="K51" s="4" t="inlineStr">
        <is>
          <t>SRC-SWEBOK-V4A</t>
        </is>
      </c>
      <c r="L51" s="4" t="inlineStr"/>
      <c r="M51" s="4" t="n"/>
      <c r="N51" s="4" t="n"/>
      <c r="O51" s="4" t="n"/>
      <c r="P51" s="4" t="n"/>
      <c r="Q51" s="4" t="n"/>
      <c r="R51" s="4" t="n"/>
      <c r="S51" s="4" t="n"/>
      <c r="T51" s="4" t="n"/>
      <c r="U51" s="4" t="n"/>
      <c r="V51" s="4" t="n"/>
      <c r="W51" s="4" t="n"/>
    </row>
    <row r="52">
      <c r="A52" s="5" t="inlineStr">
        <is>
          <t>DES-057</t>
        </is>
      </c>
      <c r="B52" s="5" t="inlineStr">
        <is>
          <t>SWEBOK</t>
        </is>
      </c>
      <c r="C52" s="4" t="inlineStr">
        <is>
          <t>5. 振る舞い設計(シーケンス・状態遷移)</t>
        </is>
      </c>
      <c r="D52" s="10" t="inlineStr">
        <is>
          <t>Medium</t>
        </is>
      </c>
      <c r="E52" s="4" t="inlineStr">
        <is>
          <t>時間制約が記述されている</t>
        </is>
      </c>
      <c r="F52" s="4" t="inlineStr">
        <is>
          <t>タイムアウト値、応答時間目標、スケジュール実行時刻など時間に関する制約が数値で記載されている</t>
        </is>
      </c>
      <c r="G52" s="4" t="inlineStr">
        <is>
          <t>入出力イベント間の順序・タイミング関係の仕様化は上位設計の必須項目。タイムアウト等が数値化されていないと実装値がバラバラになり、障害時の挙動が予測不能になる。</t>
        </is>
      </c>
      <c r="H52" s="4" t="inlineStr">
        <is>
          <t>swebok-v4a.pdf ch03 Software Design &gt; 2.1 High-Level Design(イベント・メッセージ間の順序とタイミング関係の仕様化)</t>
        </is>
      </c>
      <c r="I52" s="4" t="inlineStr">
        <is>
          <t>CORE</t>
        </is>
      </c>
      <c r="J52" s="4" t="inlineStr">
        <is>
          <t>原則適用。案件スコープ・成果物・規制・リスク上非該当の場合はN/A根拠を記録。</t>
        </is>
      </c>
      <c r="K52" s="4" t="inlineStr">
        <is>
          <t>SRC-SWEBOK-V4A</t>
        </is>
      </c>
      <c r="L52" s="4" t="inlineStr"/>
      <c r="M52" s="4" t="n"/>
      <c r="N52" s="4" t="n"/>
      <c r="O52" s="4" t="n"/>
      <c r="P52" s="4" t="n"/>
      <c r="Q52" s="4" t="n"/>
      <c r="R52" s="4" t="n"/>
      <c r="S52" s="4" t="n"/>
      <c r="T52" s="4" t="n"/>
      <c r="U52" s="4" t="n"/>
      <c r="V52" s="4" t="n"/>
      <c r="W52" s="4" t="n"/>
    </row>
    <row r="53">
      <c r="A53" s="5" t="inlineStr">
        <is>
          <t>DES-058</t>
        </is>
      </c>
      <c r="B53" s="5" t="inlineStr">
        <is>
          <t>SWEBOK</t>
        </is>
      </c>
      <c r="C53" s="4" t="inlineStr">
        <is>
          <t>5. 振る舞い設計(シーケンス・状態遷移)</t>
        </is>
      </c>
      <c r="D53" s="11" t="inlineStr">
        <is>
          <t>Low</t>
        </is>
      </c>
      <c r="E53" s="4" t="inlineStr">
        <is>
          <t>記法が標準(UML等)に準拠している</t>
        </is>
      </c>
      <c r="F53" s="4" t="inlineStr">
        <is>
          <t>シーケンス図・状態遷移図が UML 等の標準記法で書かれ、独自記号には凡例がある</t>
        </is>
      </c>
      <c r="G53" s="4" t="inlineStr">
        <is>
          <t>UML等の標準記法は設計の共通語彙であり、独自記法は読者ごとの解釈違いを生む。凡例のない図は書いた本人にしか正しく読めない。</t>
        </is>
      </c>
      <c r="H53" s="4" t="inlineStr">
        <is>
          <t>swebok-v4a.pdf ch03 Software Design &gt; 4. Recording Software Designs(UML等の記法)</t>
        </is>
      </c>
      <c r="I53" s="4" t="inlineStr">
        <is>
          <t>CORE</t>
        </is>
      </c>
      <c r="J53" s="4" t="inlineStr">
        <is>
          <t>原則適用。案件スコープ・成果物・規制・リスク上非該当の場合はN/A根拠を記録。</t>
        </is>
      </c>
      <c r="K53" s="4" t="inlineStr">
        <is>
          <t>SRC-SWEBOK-V4A</t>
        </is>
      </c>
      <c r="L53" s="4" t="inlineStr"/>
      <c r="M53" s="4" t="n"/>
      <c r="N53" s="4" t="n"/>
      <c r="O53" s="4" t="n"/>
      <c r="P53" s="4" t="n"/>
      <c r="Q53" s="4" t="n"/>
      <c r="R53" s="4" t="n"/>
      <c r="S53" s="4" t="n"/>
      <c r="T53" s="4" t="n"/>
      <c r="U53" s="4" t="n"/>
      <c r="V53" s="4" t="n"/>
      <c r="W53" s="4" t="n"/>
    </row>
    <row r="54">
      <c r="A54" s="5" t="inlineStr">
        <is>
          <t>DES-060</t>
        </is>
      </c>
      <c r="B54" s="5" t="inlineStr">
        <is>
          <t>SWEBOK</t>
        </is>
      </c>
      <c r="C54" s="4" t="inlineStr">
        <is>
          <t>6. エラー・例外処理・耐障害性</t>
        </is>
      </c>
      <c r="D54" s="8" t="inlineStr">
        <is>
          <t>Critical</t>
        </is>
      </c>
      <c r="E54" s="4" t="inlineStr">
        <is>
          <t>例外処理方針が定義されている</t>
        </is>
      </c>
      <c r="F54" s="4" t="inlineStr">
        <is>
          <t>例外の分類(業務エラー/システムエラー)、層ごとの捕捉・変換・再送出の規則、握りつぶし禁止の規定が文書化されている</t>
        </is>
      </c>
      <c r="G54" s="4" t="inlineStr">
        <is>
          <t>例外の分類と層ごとの扱いを決めないと、握りつぶし・二重ログ・生例外の外部露出が濫立する。エラーの予防・軽減・処理の方針は設計品質特性の一つ。</t>
        </is>
      </c>
      <c r="H54" s="4" t="inlineStr">
        <is>
          <t>swebok-v4a.pdf ch03 Software Design &gt; 3.5 Errors and Exception Handling, Fault Tolerance</t>
        </is>
      </c>
      <c r="I54" s="4" t="inlineStr">
        <is>
          <t>CORE</t>
        </is>
      </c>
      <c r="J54" s="4" t="inlineStr">
        <is>
          <t>原則適用。案件スコープ・成果物・規制・リスク上非該当の場合はN/A根拠を記録。</t>
        </is>
      </c>
      <c r="K54" s="4" t="inlineStr">
        <is>
          <t>SRC-SWEBOK-V4A</t>
        </is>
      </c>
      <c r="L54" s="4" t="inlineStr"/>
      <c r="M54" s="4" t="n"/>
      <c r="N54" s="4" t="n"/>
      <c r="O54" s="4" t="n"/>
      <c r="P54" s="4" t="n"/>
      <c r="Q54" s="4" t="n"/>
      <c r="R54" s="4" t="n"/>
      <c r="S54" s="4" t="n"/>
      <c r="T54" s="4" t="n"/>
      <c r="U54" s="4" t="n"/>
      <c r="V54" s="4" t="n"/>
      <c r="W54" s="4" t="n"/>
    </row>
    <row r="55">
      <c r="A55" s="5" t="inlineStr">
        <is>
          <t>DES-061</t>
        </is>
      </c>
      <c r="B55" s="5" t="inlineStr">
        <is>
          <t>SWEBOK</t>
        </is>
      </c>
      <c r="C55" s="4" t="inlineStr">
        <is>
          <t>6. エラー・例外処理・耐障害性</t>
        </is>
      </c>
      <c r="D55" s="8" t="inlineStr">
        <is>
          <t>Critical</t>
        </is>
      </c>
      <c r="E55" s="4" t="inlineStr">
        <is>
          <t>障害時のデータ整合性が担保されている</t>
        </is>
      </c>
      <c r="F55" s="4" t="inlineStr">
        <is>
          <t>処理途中の障害(プロセス停止、通信断)発生時にデータが不整合にならない設計(トランザクション、冪等な再実行、補償処理)が記述されている</t>
        </is>
      </c>
      <c r="G55" s="4" t="inlineStr">
        <is>
          <t>処理途中の障害でデータが壊れる設計は、障害のたびに手作業のデータ修復を強いる。耐障害性(フォールトトレランス)は設計段階で作り込むべき品質。</t>
        </is>
      </c>
      <c r="H55" s="4" t="inlineStr">
        <is>
          <t>swebok-v4a.pdf ch03 Software Design &gt; 3.5 Errors and Exception Handling, Fault Tolerance / 3.1 Concurrency(原子性)</t>
        </is>
      </c>
      <c r="I55" s="4" t="inlineStr">
        <is>
          <t>CORE</t>
        </is>
      </c>
      <c r="J55" s="4" t="inlineStr">
        <is>
          <t>原則適用。案件スコープ・成果物・規制・リスク上非該当の場合はN/A根拠を記録。</t>
        </is>
      </c>
      <c r="K55" s="4" t="inlineStr">
        <is>
          <t>SRC-SWEBOK-V4A</t>
        </is>
      </c>
      <c r="L55" s="4" t="inlineStr"/>
      <c r="M55" s="4" t="n"/>
      <c r="N55" s="4" t="n"/>
      <c r="O55" s="4" t="n"/>
      <c r="P55" s="4" t="n"/>
      <c r="Q55" s="4" t="n"/>
      <c r="R55" s="4" t="n"/>
      <c r="S55" s="4" t="n"/>
      <c r="T55" s="4" t="n"/>
      <c r="U55" s="4" t="n"/>
      <c r="V55" s="4" t="n"/>
      <c r="W55" s="4" t="n"/>
    </row>
    <row r="56">
      <c r="A56" s="5" t="inlineStr">
        <is>
          <t>DES-062</t>
        </is>
      </c>
      <c r="B56" s="5" t="inlineStr">
        <is>
          <t>SWEBOK</t>
        </is>
      </c>
      <c r="C56" s="4" t="inlineStr">
        <is>
          <t>6. エラー・例外処理・耐障害性</t>
        </is>
      </c>
      <c r="D56" s="9" t="inlineStr">
        <is>
          <t>High</t>
        </is>
      </c>
      <c r="E56" s="4" t="inlineStr">
        <is>
          <t>リトライ設計が定義されている</t>
        </is>
      </c>
      <c r="F56" s="4" t="inlineStr">
        <is>
          <t>リトライ対象のエラー、回数、間隔(バックオフ)、リトライ上限到達時の処理が数値付きで定義されている</t>
        </is>
      </c>
      <c r="G56" s="4" t="inlineStr">
        <is>
          <t>リトライ設計がないと、一過性障害で処理が失敗し続けるか、逆に無制限リトライで障害先に負荷を集中させ障害を拡大させる。</t>
        </is>
      </c>
      <c r="H56" s="4" t="inlineStr">
        <is>
          <t>swebok-v4a.pdf ch03 Software Design &gt; 3.5 Errors and Exception Handling, Fault Tolerance(エラーの許容・軽減)</t>
        </is>
      </c>
      <c r="I56" s="4" t="inlineStr">
        <is>
          <t>CORE</t>
        </is>
      </c>
      <c r="J56" s="4" t="inlineStr">
        <is>
          <t>原則適用。案件スコープ・成果物・規制・リスク上非該当の場合はN/A根拠を記録。</t>
        </is>
      </c>
      <c r="K56" s="4" t="inlineStr">
        <is>
          <t>SRC-SWEBOK-V4A</t>
        </is>
      </c>
      <c r="L56" s="4" t="inlineStr"/>
      <c r="M56" s="4" t="n"/>
      <c r="N56" s="4" t="n"/>
      <c r="O56" s="4" t="n"/>
      <c r="P56" s="4" t="n"/>
      <c r="Q56" s="4" t="n"/>
      <c r="R56" s="4" t="n"/>
      <c r="S56" s="4" t="n"/>
      <c r="T56" s="4" t="n"/>
      <c r="U56" s="4" t="n"/>
      <c r="V56" s="4" t="n"/>
      <c r="W56" s="4" t="n"/>
    </row>
    <row r="57">
      <c r="A57" s="5" t="inlineStr">
        <is>
          <t>DES-063</t>
        </is>
      </c>
      <c r="B57" s="5" t="inlineStr">
        <is>
          <t>SWEBOK</t>
        </is>
      </c>
      <c r="C57" s="4" t="inlineStr">
        <is>
          <t>6. エラー・例外処理・耐障害性</t>
        </is>
      </c>
      <c r="D57" s="9" t="inlineStr">
        <is>
          <t>High</t>
        </is>
      </c>
      <c r="E57" s="4" t="inlineStr">
        <is>
          <t>外部依存先の障害への対処が設計されている</t>
        </is>
      </c>
      <c r="F57" s="4" t="inlineStr">
        <is>
          <t>依存する外部システム/サービスごとに、障害時の挙動(フェイルファスト、フォールバック、縮退運転)が定義されている</t>
        </is>
      </c>
      <c r="G57" s="4" t="inlineStr">
        <is>
          <t>異種システム連携では相手側の障害は必ず起きる。依存先ごとの縮退方針がないと、一つの外部障害が全機能停止に波及する。</t>
        </is>
      </c>
      <c r="H57" s="4" t="inlineStr">
        <is>
          <t>swebok-v4a.pdf ch03 Software Design &gt; 3.5 Fault Tolerance / 3.6 Integration and Interoperability</t>
        </is>
      </c>
      <c r="I57" s="4" t="inlineStr">
        <is>
          <t>CORE</t>
        </is>
      </c>
      <c r="J57" s="4" t="inlineStr">
        <is>
          <t>原則適用。案件スコープ・成果物・規制・リスク上非該当の場合はN/A根拠を記録。</t>
        </is>
      </c>
      <c r="K57" s="4" t="inlineStr">
        <is>
          <t>SRC-SWEBOK-V4A</t>
        </is>
      </c>
      <c r="L57" s="4" t="inlineStr"/>
      <c r="M57" s="4" t="n"/>
      <c r="N57" s="4" t="n"/>
      <c r="O57" s="4" t="n"/>
      <c r="P57" s="4" t="n"/>
      <c r="Q57" s="4" t="n"/>
      <c r="R57" s="4" t="n"/>
      <c r="S57" s="4" t="n"/>
      <c r="T57" s="4" t="n"/>
      <c r="U57" s="4" t="n"/>
      <c r="V57" s="4" t="n"/>
      <c r="W57" s="4" t="n"/>
    </row>
    <row r="58">
      <c r="A58" s="5" t="inlineStr">
        <is>
          <t>DES-064</t>
        </is>
      </c>
      <c r="B58" s="5" t="inlineStr">
        <is>
          <t>SWEBOK</t>
        </is>
      </c>
      <c r="C58" s="4" t="inlineStr">
        <is>
          <t>6. エラー・例外処理・耐障害性</t>
        </is>
      </c>
      <c r="D58" s="9" t="inlineStr">
        <is>
          <t>High</t>
        </is>
      </c>
      <c r="E58" s="4" t="inlineStr">
        <is>
          <t>ログ出力設計が定義されている</t>
        </is>
      </c>
      <c r="F58" s="4" t="inlineStr">
        <is>
          <t>ログレベルの使い分け、出力項目(トレースID等)、エラー時に原因調査へ必要な情報が出力される設計が記述されている</t>
        </is>
      </c>
      <c r="G58" s="4" t="inlineStr">
        <is>
          <t>ログ設計がないと障害時に原因調査ができず復旧が長引く。監視可能性(monitorability)は分散システムに求められる品質特性の一つ。</t>
        </is>
      </c>
      <c r="H58" s="4" t="inlineStr">
        <is>
          <t>swebok-v4a.pdf ch03 Software Design &gt; 3.4 Distribution of Components(monitorability)/ 実務補完(可観測性設計)</t>
        </is>
      </c>
      <c r="I58" s="4" t="inlineStr">
        <is>
          <t>CORE</t>
        </is>
      </c>
      <c r="J58" s="4" t="inlineStr">
        <is>
          <t>原則適用。案件スコープ・成果物・規制・リスク上非該当の場合はN/A根拠を記録。</t>
        </is>
      </c>
      <c r="K58" s="4" t="inlineStr">
        <is>
          <t>SRC-SWEBOK-V4A;SRC-PRACTICE</t>
        </is>
      </c>
      <c r="L58" s="4" t="inlineStr">
        <is>
          <t>OPS-OBSERVABILITY</t>
        </is>
      </c>
      <c r="M58" s="4" t="n"/>
      <c r="N58" s="4" t="n"/>
      <c r="O58" s="4" t="n"/>
      <c r="P58" s="4" t="n"/>
      <c r="Q58" s="4" t="n"/>
      <c r="R58" s="4" t="n"/>
      <c r="S58" s="4" t="n"/>
      <c r="T58" s="4" t="n"/>
      <c r="U58" s="4" t="n"/>
      <c r="V58" s="4" t="n"/>
      <c r="W58" s="4" t="n"/>
    </row>
    <row r="59">
      <c r="A59" s="5" t="inlineStr">
        <is>
          <t>DES-065</t>
        </is>
      </c>
      <c r="B59" s="5" t="inlineStr">
        <is>
          <t>SWEBOK</t>
        </is>
      </c>
      <c r="C59" s="4" t="inlineStr">
        <is>
          <t>6. エラー・例外処理・耐障害性</t>
        </is>
      </c>
      <c r="D59" s="10" t="inlineStr">
        <is>
          <t>Medium</t>
        </is>
      </c>
      <c r="E59" s="4" t="inlineStr">
        <is>
          <t>ユーザーへのエラー提示が設計されている</t>
        </is>
      </c>
      <c r="F59" s="4" t="inlineStr">
        <is>
          <t>エラー発生時にユーザー/呼び出し元へ返すメッセージが定義され、内部情報(スタックトレース、SQL等)を露出しない</t>
        </is>
      </c>
      <c r="G59" s="4" t="inlineStr">
        <is>
          <t>内部情報(スタックトレース・SQL)の露出は攻撃者への情報提供になり、不親切なエラーはユーザーの誤操作と問い合わせを増やす。</t>
        </is>
      </c>
      <c r="H59" s="4" t="inlineStr">
        <is>
          <t>swebok-v4a.pdf ch03 Software Design &gt; 3.7 Assurance, Security, and Safety(情報の不正開示防止)/ 3.5 Errors and Exception Handling</t>
        </is>
      </c>
      <c r="I59" s="4" t="inlineStr">
        <is>
          <t>CORE</t>
        </is>
      </c>
      <c r="J59" s="4" t="inlineStr">
        <is>
          <t>原則適用。案件スコープ・成果物・規制・リスク上非該当の場合はN/A根拠を記録。</t>
        </is>
      </c>
      <c r="K59" s="4" t="inlineStr">
        <is>
          <t>SRC-SWEBOK-V4A</t>
        </is>
      </c>
      <c r="L59" s="4" t="inlineStr"/>
      <c r="M59" s="4" t="n"/>
      <c r="N59" s="4" t="n"/>
      <c r="O59" s="4" t="n"/>
      <c r="P59" s="4" t="n"/>
      <c r="Q59" s="4" t="n"/>
      <c r="R59" s="4" t="n"/>
      <c r="S59" s="4" t="n"/>
      <c r="T59" s="4" t="n"/>
      <c r="U59" s="4" t="n"/>
      <c r="V59" s="4" t="n"/>
      <c r="W59" s="4" t="n"/>
    </row>
    <row r="60">
      <c r="A60" s="5" t="inlineStr">
        <is>
          <t>DES-066</t>
        </is>
      </c>
      <c r="B60" s="5" t="inlineStr">
        <is>
          <t>SWEBOK</t>
        </is>
      </c>
      <c r="C60" s="4" t="inlineStr">
        <is>
          <t>6. エラー・例外処理・耐障害性</t>
        </is>
      </c>
      <c r="D60" s="10" t="inlineStr">
        <is>
          <t>Medium</t>
        </is>
      </c>
      <c r="E60" s="4" t="inlineStr">
        <is>
          <t>監視・アラートの契機が定義されている</t>
        </is>
      </c>
      <c r="F60" s="4" t="inlineStr">
        <is>
          <t>検知すべき異常(エラー率、滞留、遅延)と通知の契機が記述されている。運用設計側に委譲する場合は参照先が明記されている</t>
        </is>
      </c>
      <c r="G60" s="4" t="inlineStr">
        <is>
          <t>検知契機が設計されていないと、異常はユーザーからの申告で発覚し対応が後手に回る。何を異常とみなすかは設計時にしか正確に定義できない。</t>
        </is>
      </c>
      <c r="H60" s="4" t="inlineStr">
        <is>
          <t>swebok-v4a.pdf ch03 Software Design &gt; 3.4 Distribution of Components(monitorability・事業継続性)</t>
        </is>
      </c>
      <c r="I60" s="4" t="inlineStr">
        <is>
          <t>CORE</t>
        </is>
      </c>
      <c r="J60" s="4" t="inlineStr">
        <is>
          <t>原則適用。案件スコープ・成果物・規制・リスク上非該当の場合はN/A根拠を記録。</t>
        </is>
      </c>
      <c r="K60" s="4" t="inlineStr">
        <is>
          <t>SRC-SWEBOK-V4A</t>
        </is>
      </c>
      <c r="L60" s="4" t="inlineStr">
        <is>
          <t>OPS-OBSERVABILITY</t>
        </is>
      </c>
      <c r="M60" s="4" t="n"/>
      <c r="N60" s="4" t="n"/>
      <c r="O60" s="4" t="n"/>
      <c r="P60" s="4" t="n"/>
      <c r="Q60" s="4" t="n"/>
      <c r="R60" s="4" t="n"/>
      <c r="S60" s="4" t="n"/>
      <c r="T60" s="4" t="n"/>
      <c r="U60" s="4" t="n"/>
      <c r="V60" s="4" t="n"/>
      <c r="W60" s="4" t="n"/>
    </row>
    <row r="61">
      <c r="A61" s="5" t="inlineStr">
        <is>
          <t>DES-067</t>
        </is>
      </c>
      <c r="B61" s="5" t="inlineStr">
        <is>
          <t>SWEBOK</t>
        </is>
      </c>
      <c r="C61" s="4" t="inlineStr">
        <is>
          <t>6. エラー・例外処理・耐障害性</t>
        </is>
      </c>
      <c r="D61" s="11" t="inlineStr">
        <is>
          <t>Low</t>
        </is>
      </c>
      <c r="E61" s="4" t="inlineStr">
        <is>
          <t>障害復旧手順への入力が提供されている</t>
        </is>
      </c>
      <c r="F61" s="4" t="inlineStr">
        <is>
          <t>再実行・リカバリに必要な情報(再実行可能地点、手動介入手順)が設計書から特定できる</t>
        </is>
      </c>
      <c r="G61" s="4" t="inlineStr">
        <is>
          <t>セキュリティ・耐障害設計は「修復と復旧の支援」まで含む。再実行可能地点が設計から読み取れないと、障害復旧が属人的な手探り作業になる。</t>
        </is>
      </c>
      <c r="H61" s="4" t="inlineStr">
        <is>
          <t>swebok-v4a.pdf ch03 Software Design &gt; 3.7 Assurance, Security, and Safety(repair and recovery の支援)/ 3.5 Fault Tolerance</t>
        </is>
      </c>
      <c r="I61" s="4" t="inlineStr">
        <is>
          <t>CORE</t>
        </is>
      </c>
      <c r="J61" s="4" t="inlineStr">
        <is>
          <t>原則適用。案件スコープ・成果物・規制・リスク上非該当の場合はN/A根拠を記録。</t>
        </is>
      </c>
      <c r="K61" s="4" t="inlineStr">
        <is>
          <t>SRC-SWEBOK-V4A</t>
        </is>
      </c>
      <c r="L61" s="4" t="inlineStr"/>
      <c r="M61" s="4" t="n"/>
      <c r="N61" s="4" t="n"/>
      <c r="O61" s="4" t="n"/>
      <c r="P61" s="4" t="n"/>
      <c r="Q61" s="4" t="n"/>
      <c r="R61" s="4" t="n"/>
      <c r="S61" s="4" t="n"/>
      <c r="T61" s="4" t="n"/>
      <c r="U61" s="4" t="n"/>
      <c r="V61" s="4" t="n"/>
      <c r="W61" s="4" t="n"/>
    </row>
    <row r="62">
      <c r="A62" s="5" t="inlineStr">
        <is>
          <t>DES-070</t>
        </is>
      </c>
      <c r="B62" s="5" t="inlineStr">
        <is>
          <t>SWEBOK</t>
        </is>
      </c>
      <c r="C62" s="4" t="inlineStr">
        <is>
          <t>7. 並行性・性能</t>
        </is>
      </c>
      <c r="D62" s="8" t="inlineStr">
        <is>
          <t>Critical</t>
        </is>
      </c>
      <c r="E62" s="4" t="inlineStr">
        <is>
          <t>排他制御が設計されている</t>
        </is>
      </c>
      <c r="F62" s="4" t="inlineStr">
        <is>
          <t>同一データへの同時更新が起こりうる箇所が識別され、方式(楽観/悲観ロック、一意制約)と競合時の挙動が定義されている</t>
        </is>
      </c>
      <c r="G62" s="4" t="inlineStr">
        <is>
          <t>同時更新の競合を設計しないと、後勝ちによる更新消失(lost update)が静かに起き、発見が極めて困難なデータ破壊になる。同期は並行性設計の中心課題。</t>
        </is>
      </c>
      <c r="H62" s="4" t="inlineStr">
        <is>
          <t>swebok-v4a.pdf ch03 Software Design &gt; 3.1 Concurrency(原子性・同期)</t>
        </is>
      </c>
      <c r="I62" s="4" t="inlineStr">
        <is>
          <t>CORE</t>
        </is>
      </c>
      <c r="J62" s="4" t="inlineStr">
        <is>
          <t>原則適用。案件スコープ・成果物・規制・リスク上非該当の場合はN/A根拠を記録。</t>
        </is>
      </c>
      <c r="K62" s="4" t="inlineStr">
        <is>
          <t>SRC-SWEBOK-V4A</t>
        </is>
      </c>
      <c r="L62" s="4" t="inlineStr"/>
      <c r="M62" s="4" t="n"/>
      <c r="N62" s="4" t="n"/>
      <c r="O62" s="4" t="n"/>
      <c r="P62" s="4" t="n"/>
      <c r="Q62" s="4" t="n"/>
      <c r="R62" s="4" t="n"/>
      <c r="S62" s="4" t="n"/>
      <c r="T62" s="4" t="n"/>
      <c r="U62" s="4" t="n"/>
      <c r="V62" s="4" t="n"/>
      <c r="W62" s="4" t="n"/>
    </row>
    <row r="63">
      <c r="A63" s="5" t="inlineStr">
        <is>
          <t>DES-071</t>
        </is>
      </c>
      <c r="B63" s="5" t="inlineStr">
        <is>
          <t>SWEBOK</t>
        </is>
      </c>
      <c r="C63" s="4" t="inlineStr">
        <is>
          <t>7. 並行性・性能</t>
        </is>
      </c>
      <c r="D63" s="9" t="inlineStr">
        <is>
          <t>High</t>
        </is>
      </c>
      <c r="E63" s="4" t="inlineStr">
        <is>
          <t>デッドロックの回避策がある</t>
        </is>
      </c>
      <c r="F63" s="4" t="inlineStr">
        <is>
          <t>複数リソースをロックする処理についてロック順序の規約、またはデッドロック検出時の対処が定義されている。該当処理がなければ対象外の根拠がある</t>
        </is>
      </c>
      <c r="G63" s="4" t="inlineStr">
        <is>
          <t>デッドロックは負荷が上がった本番でのみ再現する典型的な並行性障害で、事後対処が難しい。ロック順序の規約は設計時に決めるのが唯一安価な対策。</t>
        </is>
      </c>
      <c r="H63" s="4" t="inlineStr">
        <is>
          <t>swebok-v4a.pdf ch03 Software Design &gt; 3.1 Concurrency(同期・スケジューリング)</t>
        </is>
      </c>
      <c r="I63" s="4" t="inlineStr">
        <is>
          <t>CORE</t>
        </is>
      </c>
      <c r="J63" s="4" t="inlineStr">
        <is>
          <t>原則適用。案件スコープ・成果物・規制・リスク上非該当の場合はN/A根拠を記録。</t>
        </is>
      </c>
      <c r="K63" s="4" t="inlineStr">
        <is>
          <t>SRC-SWEBOK-V4A</t>
        </is>
      </c>
      <c r="L63" s="4" t="inlineStr"/>
      <c r="M63" s="4" t="n"/>
      <c r="N63" s="4" t="n"/>
      <c r="O63" s="4" t="n"/>
      <c r="P63" s="4" t="n"/>
      <c r="Q63" s="4" t="n"/>
      <c r="R63" s="4" t="n"/>
      <c r="S63" s="4" t="n"/>
      <c r="T63" s="4" t="n"/>
      <c r="U63" s="4" t="n"/>
      <c r="V63" s="4" t="n"/>
      <c r="W63" s="4" t="n"/>
    </row>
    <row r="64">
      <c r="A64" s="5" t="inlineStr">
        <is>
          <t>DES-072</t>
        </is>
      </c>
      <c r="B64" s="5" t="inlineStr">
        <is>
          <t>SWEBOK</t>
        </is>
      </c>
      <c r="C64" s="4" t="inlineStr">
        <is>
          <t>7. 並行性・性能</t>
        </is>
      </c>
      <c r="D64" s="9" t="inlineStr">
        <is>
          <t>High</t>
        </is>
      </c>
      <c r="E64" s="4" t="inlineStr">
        <is>
          <t>性能要件に対する設計上の根拠がある</t>
        </is>
      </c>
      <c r="F64" s="4" t="inlineStr">
        <is>
          <t>応答時間・スループット等の性能要件に対し、それを満たすための設計判断(インデックス、キャッシュ、非同期化、バッチ化)が対応付けて記述されている</t>
        </is>
      </c>
      <c r="G64" s="4" t="inlineStr">
        <is>
          <t>性能は実装後の計測任せにすると、アーキテクチャレベルの作り直しを強いられる。要件と設計判断の対応付けにより、性能達成の見込みを設計段階で説明可能にする。</t>
        </is>
      </c>
      <c r="H64" s="4" t="inlineStr">
        <is>
          <t>swebok-v4a.pdf ch03 Software Design &gt; 6.2 Quality Attributes(性能)/ 6.3 Quality Analysis and Evaluation Techniques(シミュレーション・形式的分析)</t>
        </is>
      </c>
      <c r="I64" s="4" t="inlineStr">
        <is>
          <t>CORE</t>
        </is>
      </c>
      <c r="J64" s="4" t="inlineStr">
        <is>
          <t>原則適用。案件スコープ・成果物・規制・リスク上非該当の場合はN/A根拠を記録。</t>
        </is>
      </c>
      <c r="K64" s="4" t="inlineStr">
        <is>
          <t>SRC-SWEBOK-V4A</t>
        </is>
      </c>
      <c r="L64" s="4" t="inlineStr"/>
      <c r="M64" s="4" t="n"/>
      <c r="N64" s="4" t="n"/>
      <c r="O64" s="4" t="n"/>
      <c r="P64" s="4" t="n"/>
      <c r="Q64" s="4" t="n"/>
      <c r="R64" s="4" t="n"/>
      <c r="S64" s="4" t="n"/>
      <c r="T64" s="4" t="n"/>
      <c r="U64" s="4" t="n"/>
      <c r="V64" s="4" t="n"/>
      <c r="W64" s="4" t="n"/>
    </row>
    <row r="65">
      <c r="A65" s="5" t="inlineStr">
        <is>
          <t>DES-073</t>
        </is>
      </c>
      <c r="B65" s="5" t="inlineStr">
        <is>
          <t>SWEBOK</t>
        </is>
      </c>
      <c r="C65" s="4" t="inlineStr">
        <is>
          <t>7. 並行性・性能</t>
        </is>
      </c>
      <c r="D65" s="10" t="inlineStr">
        <is>
          <t>Medium</t>
        </is>
      </c>
      <c r="E65" s="4" t="inlineStr">
        <is>
          <t>データ量の見積りがある</t>
        </is>
      </c>
      <c r="F65" s="4" t="inlineStr">
        <is>
          <t>主要テーブル/データの初期件数・増加率の見積りが数値で記載され、設計(インデックス、パーティション、アーカイブ)がそれと整合している</t>
        </is>
      </c>
      <c r="G65" s="4" t="inlineStr">
        <is>
          <t>データ量の前提がない設計は少量データでしか検証されず、本番のデータ増加で性能・容量の問題が突然顕在化する。見積りは性能設計とデータ設計の検証可能性の土台。</t>
        </is>
      </c>
      <c r="H65" s="4" t="inlineStr">
        <is>
          <t>実務補完(容量・性能設計実務)/ 1.4 Verifiability</t>
        </is>
      </c>
      <c r="I65" s="4" t="inlineStr">
        <is>
          <t>CORE</t>
        </is>
      </c>
      <c r="J65" s="4" t="inlineStr">
        <is>
          <t>原則適用。案件スコープ・成果物・規制・リスク上非該当の場合はN/A根拠を記録。</t>
        </is>
      </c>
      <c r="K65" s="4" t="inlineStr">
        <is>
          <t>SRC-PRACTICE</t>
        </is>
      </c>
      <c r="L65" s="4" t="inlineStr"/>
      <c r="M65" s="4" t="n"/>
      <c r="N65" s="4" t="n"/>
      <c r="O65" s="4" t="n"/>
      <c r="P65" s="4" t="n"/>
      <c r="Q65" s="4" t="n"/>
      <c r="R65" s="4" t="n"/>
      <c r="S65" s="4" t="n"/>
      <c r="T65" s="4" t="n"/>
      <c r="U65" s="4" t="n"/>
      <c r="V65" s="4" t="n"/>
      <c r="W65" s="4" t="n"/>
    </row>
    <row r="66">
      <c r="A66" s="5" t="inlineStr">
        <is>
          <t>DES-074</t>
        </is>
      </c>
      <c r="B66" s="5" t="inlineStr">
        <is>
          <t>SWEBOK</t>
        </is>
      </c>
      <c r="C66" s="4" t="inlineStr">
        <is>
          <t>7. 並行性・性能</t>
        </is>
      </c>
      <c r="D66" s="10" t="inlineStr">
        <is>
          <t>Medium</t>
        </is>
      </c>
      <c r="E66" s="4" t="inlineStr">
        <is>
          <t>並行実行単位が定義されている</t>
        </is>
      </c>
      <c r="F66" s="4" t="inlineStr">
        <is>
          <t>プロセス・スレッド・ワーカー等の並行実行単位と多重度、共有資源(コネクションプール等)の上限が定義されている</t>
        </is>
      </c>
      <c r="G66" s="4" t="inlineStr">
        <is>
          <t>並行性の設計とは、プロセス・タスク・スレッドへの分割とその効率・同期への帰結を決めること。多重度や共有資源上限が未定義だと資源枯渇や性能劣化を招く。</t>
        </is>
      </c>
      <c r="H66" s="4" t="inlineStr">
        <is>
          <t>swebok-v4a.pdf ch03 Software Design &gt; 3.1 Concurrency(プロセス・タスク・スレッドへの分割)</t>
        </is>
      </c>
      <c r="I66" s="4" t="inlineStr">
        <is>
          <t>CORE</t>
        </is>
      </c>
      <c r="J66" s="4" t="inlineStr">
        <is>
          <t>原則適用。案件スコープ・成果物・規制・リスク上非該当の場合はN/A根拠を記録。</t>
        </is>
      </c>
      <c r="K66" s="4" t="inlineStr">
        <is>
          <t>SRC-SWEBOK-V4A</t>
        </is>
      </c>
      <c r="L66" s="4" t="inlineStr"/>
      <c r="M66" s="4" t="n"/>
      <c r="N66" s="4" t="n"/>
      <c r="O66" s="4" t="n"/>
      <c r="P66" s="4" t="n"/>
      <c r="Q66" s="4" t="n"/>
      <c r="R66" s="4" t="n"/>
      <c r="S66" s="4" t="n"/>
      <c r="T66" s="4" t="n"/>
      <c r="U66" s="4" t="n"/>
      <c r="V66" s="4" t="n"/>
      <c r="W66" s="4" t="n"/>
    </row>
    <row r="67">
      <c r="A67" s="5" t="inlineStr">
        <is>
          <t>DES-075</t>
        </is>
      </c>
      <c r="B67" s="5" t="inlineStr">
        <is>
          <t>SWEBOK</t>
        </is>
      </c>
      <c r="C67" s="4" t="inlineStr">
        <is>
          <t>7. 並行性・性能</t>
        </is>
      </c>
      <c r="D67" s="10" t="inlineStr">
        <is>
          <t>Medium</t>
        </is>
      </c>
      <c r="E67" s="4" t="inlineStr">
        <is>
          <t>キャッシュの一貫性方針がある</t>
        </is>
      </c>
      <c r="F67" s="4" t="inlineStr">
        <is>
          <t>キャッシュを使う場合、対象データ・有効期限・無効化の契機が定義されている。使わない場合は N/A</t>
        </is>
      </c>
      <c r="G67" s="4" t="inlineStr">
        <is>
          <t>キャッシュの無効化契機を決めないと、古いデータの表示・古い権限での認可といった発見しにくい不整合が起きる。</t>
        </is>
      </c>
      <c r="H67" s="4" t="inlineStr">
        <is>
          <t>swebok-v4a.pdf ch03 Software Design &gt; 3.3 Data Persistence / 実務補完(キャッシュ設計実務)</t>
        </is>
      </c>
      <c r="I67" s="4" t="inlineStr">
        <is>
          <t>CORE</t>
        </is>
      </c>
      <c r="J67" s="4" t="inlineStr">
        <is>
          <t>原則適用。案件スコープ・成果物・規制・リスク上非該当の場合はN/A根拠を記録。</t>
        </is>
      </c>
      <c r="K67" s="4" t="inlineStr">
        <is>
          <t>SRC-SWEBOK-V4A;SRC-PRACTICE</t>
        </is>
      </c>
      <c r="L67" s="4" t="inlineStr"/>
      <c r="M67" s="4" t="n"/>
      <c r="N67" s="4" t="n"/>
      <c r="O67" s="4" t="n"/>
      <c r="P67" s="4" t="n"/>
      <c r="Q67" s="4" t="n"/>
      <c r="R67" s="4" t="n"/>
      <c r="S67" s="4" t="n"/>
      <c r="T67" s="4" t="n"/>
      <c r="U67" s="4" t="n"/>
      <c r="V67" s="4" t="n"/>
      <c r="W67" s="4" t="n"/>
    </row>
    <row r="68">
      <c r="A68" s="5" t="inlineStr">
        <is>
          <t>DES-076</t>
        </is>
      </c>
      <c r="B68" s="5" t="inlineStr">
        <is>
          <t>SWEBOK</t>
        </is>
      </c>
      <c r="C68" s="4" t="inlineStr">
        <is>
          <t>7. 並行性・性能</t>
        </is>
      </c>
      <c r="D68" s="11" t="inlineStr">
        <is>
          <t>Low</t>
        </is>
      </c>
      <c r="E68" s="4" t="inlineStr">
        <is>
          <t>スケールアウト時の制約が明記されている</t>
        </is>
      </c>
      <c r="F68" s="4" t="inlineStr">
        <is>
          <t>複数インスタンス実行時に問題となる要素(ローカル状態、二重起動)の有無と対処が記述されている</t>
        </is>
      </c>
      <c r="G68" s="4" t="inlineStr">
        <is>
          <t>ローカル状態や二重起動の問題を放置すると、スケールアウトした瞬間にセッション消失やバッチ二重実行が起きる。分散配置とスケーラビリティへの配慮は設計品質の一つ。</t>
        </is>
      </c>
      <c r="H68" s="4" t="inlineStr">
        <is>
          <t>swebok-v4a.pdf ch03 Software Design &gt; 3.4 Distribution of Components(スケーラビリティ・可用性)</t>
        </is>
      </c>
      <c r="I68" s="4" t="inlineStr">
        <is>
          <t>CORE</t>
        </is>
      </c>
      <c r="J68" s="4" t="inlineStr">
        <is>
          <t>原則適用。案件スコープ・成果物・規制・リスク上非該当の場合はN/A根拠を記録。</t>
        </is>
      </c>
      <c r="K68" s="4" t="inlineStr">
        <is>
          <t>SRC-SWEBOK-V4A</t>
        </is>
      </c>
      <c r="L68" s="4" t="inlineStr"/>
      <c r="M68" s="4" t="n"/>
      <c r="N68" s="4" t="n"/>
      <c r="O68" s="4" t="n"/>
      <c r="P68" s="4" t="n"/>
      <c r="Q68" s="4" t="n"/>
      <c r="R68" s="4" t="n"/>
      <c r="S68" s="4" t="n"/>
      <c r="T68" s="4" t="n"/>
      <c r="U68" s="4" t="n"/>
      <c r="V68" s="4" t="n"/>
      <c r="W68" s="4" t="n"/>
    </row>
    <row r="69">
      <c r="A69" s="5" t="inlineStr">
        <is>
          <t>DES-080</t>
        </is>
      </c>
      <c r="B69" s="5" t="inlineStr">
        <is>
          <t>SWEBOK</t>
        </is>
      </c>
      <c r="C69" s="4" t="inlineStr">
        <is>
          <t>8. セキュリティ</t>
        </is>
      </c>
      <c r="D69" s="8" t="inlineStr">
        <is>
          <t>Critical</t>
        </is>
      </c>
      <c r="E69" s="4" t="inlineStr">
        <is>
          <t>認可チェックの実施箇所が設計されている</t>
        </is>
      </c>
      <c r="F69" s="4" t="inlineStr">
        <is>
          <t>保護対象の操作・データごとに、認可チェックを行う層・モジュールが特定されており、チェック漏れ経路(内部API直呼び等)がないことが確認できる</t>
        </is>
      </c>
      <c r="G69" s="4" t="inlineStr">
        <is>
          <t>認可チェックの実施層が決まっていないと、チェックされない迂回経路(内部API直呼び等)が残り、権限昇格・情報漏えいの脆弱性になる。</t>
        </is>
      </c>
      <c r="H69" s="4" t="inlineStr">
        <is>
          <t>swebok-v4a.pdf ch03 Software Design &gt; 3.7 Assurance, Security, and Safety(不正アクセスの防止)</t>
        </is>
      </c>
      <c r="I69" s="4" t="inlineStr">
        <is>
          <t>CORE</t>
        </is>
      </c>
      <c r="J69" s="4" t="inlineStr">
        <is>
          <t>原則適用。案件スコープ・成果物・規制・リスク上非該当の場合はN/A根拠を記録。</t>
        </is>
      </c>
      <c r="K69" s="4" t="inlineStr">
        <is>
          <t>SRC-SWEBOK-V4A</t>
        </is>
      </c>
      <c r="L69" s="4" t="inlineStr">
        <is>
          <t>SEC-IAM</t>
        </is>
      </c>
      <c r="M69" s="4" t="n"/>
      <c r="N69" s="4" t="n"/>
      <c r="O69" s="4" t="n"/>
      <c r="P69" s="4" t="n"/>
      <c r="Q69" s="4" t="n"/>
      <c r="R69" s="4" t="n"/>
      <c r="S69" s="4" t="n"/>
      <c r="T69" s="4" t="n"/>
      <c r="U69" s="4" t="n"/>
      <c r="V69" s="4" t="n"/>
      <c r="W69" s="4" t="n"/>
    </row>
    <row r="70">
      <c r="A70" s="5" t="inlineStr">
        <is>
          <t>DES-081</t>
        </is>
      </c>
      <c r="B70" s="5" t="inlineStr">
        <is>
          <t>SWEBOK</t>
        </is>
      </c>
      <c r="C70" s="4" t="inlineStr">
        <is>
          <t>8. セキュリティ</t>
        </is>
      </c>
      <c r="D70" s="8" t="inlineStr">
        <is>
          <t>Critical</t>
        </is>
      </c>
      <c r="E70" s="4" t="inlineStr">
        <is>
          <t>インジェクション対策が設計されている</t>
        </is>
      </c>
      <c r="F70" s="4" t="inlineStr">
        <is>
          <t>SQL/OSコマンド/パス等の外部入力を使う処理について、プレースホルダ・エスケープ等の対策方式が規定されている</t>
        </is>
      </c>
      <c r="G70" s="4" t="inlineStr">
        <is>
          <t>インジェクションは外部入力を扱う全処理に共通する代表的攻撃で、対策方式を設計で規定しないと実装者ごとの対策漏れが必ず発生する。</t>
        </is>
      </c>
      <c r="H70" s="4" t="inlineStr">
        <is>
          <t>swebok-v4a.pdf ch03 Software Design &gt; 3.7 Assurance, Security, and Safety / 実務補完(OWASP)</t>
        </is>
      </c>
      <c r="I70" s="4" t="inlineStr">
        <is>
          <t>CORE</t>
        </is>
      </c>
      <c r="J70" s="4" t="inlineStr">
        <is>
          <t>原則適用。案件スコープ・成果物・規制・リスク上非該当の場合はN/A根拠を記録。</t>
        </is>
      </c>
      <c r="K70" s="4" t="inlineStr">
        <is>
          <t>SRC-SWEBOK-V4A;SRC-OWASP;SRC-PRACTICE</t>
        </is>
      </c>
      <c r="L70" s="4" t="inlineStr"/>
      <c r="M70" s="4" t="n"/>
      <c r="N70" s="4" t="n"/>
      <c r="O70" s="4" t="n"/>
      <c r="P70" s="4" t="n"/>
      <c r="Q70" s="4" t="n"/>
      <c r="R70" s="4" t="n"/>
      <c r="S70" s="4" t="n"/>
      <c r="T70" s="4" t="n"/>
      <c r="U70" s="4" t="n"/>
      <c r="V70" s="4" t="n"/>
      <c r="W70" s="4" t="n"/>
    </row>
    <row r="71">
      <c r="A71" s="5" t="inlineStr">
        <is>
          <t>DES-082</t>
        </is>
      </c>
      <c r="B71" s="5" t="inlineStr">
        <is>
          <t>SWEBOK</t>
        </is>
      </c>
      <c r="C71" s="4" t="inlineStr">
        <is>
          <t>8. セキュリティ</t>
        </is>
      </c>
      <c r="D71" s="9" t="inlineStr">
        <is>
          <t>High</t>
        </is>
      </c>
      <c r="E71" s="4" t="inlineStr">
        <is>
          <t>機密情報の取り扱いが設計されている</t>
        </is>
      </c>
      <c r="F71" s="4" t="inlineStr">
        <is>
          <t>パスワード・トークン・鍵の保存方式(ハッシュ、暗号化、シークレット管理)と、ログ・エラーメッセージへの非出力が規定されている</t>
        </is>
      </c>
      <c r="G71" s="4" t="inlineStr">
        <is>
          <t>パスワード平文保存やログへのトークン出力は、一度作り込むと全データの再取得・失効が必要な重大事故になる。機密情報の保存方式は後から変えにくい設計判断。</t>
        </is>
      </c>
      <c r="H71" s="4" t="inlineStr">
        <is>
          <t>swebok-v4a.pdf ch03 Software Design &gt; 3.7 Assurance, Security, and Safety(情報の不正開示・作成・変更の防止)</t>
        </is>
      </c>
      <c r="I71" s="4" t="inlineStr">
        <is>
          <t>CORE</t>
        </is>
      </c>
      <c r="J71" s="4" t="inlineStr">
        <is>
          <t>原則適用。案件スコープ・成果物・規制・リスク上非該当の場合はN/A根拠を記録。</t>
        </is>
      </c>
      <c r="K71" s="4" t="inlineStr">
        <is>
          <t>SRC-SWEBOK-V4A</t>
        </is>
      </c>
      <c r="L71" s="4" t="inlineStr"/>
      <c r="M71" s="4" t="n"/>
      <c r="N71" s="4" t="n"/>
      <c r="O71" s="4" t="n"/>
      <c r="P71" s="4" t="n"/>
      <c r="Q71" s="4" t="n"/>
      <c r="R71" s="4" t="n"/>
      <c r="S71" s="4" t="n"/>
      <c r="T71" s="4" t="n"/>
      <c r="U71" s="4" t="n"/>
      <c r="V71" s="4" t="n"/>
      <c r="W71" s="4" t="n"/>
    </row>
    <row r="72">
      <c r="A72" s="5" t="inlineStr">
        <is>
          <t>DES-083</t>
        </is>
      </c>
      <c r="B72" s="5" t="inlineStr">
        <is>
          <t>SWEBOK</t>
        </is>
      </c>
      <c r="C72" s="4" t="inlineStr">
        <is>
          <t>8. セキュリティ</t>
        </is>
      </c>
      <c r="D72" s="9" t="inlineStr">
        <is>
          <t>High</t>
        </is>
      </c>
      <c r="E72" s="4" t="inlineStr">
        <is>
          <t>通信の保護が設計されている</t>
        </is>
      </c>
      <c r="F72" s="4" t="inlineStr">
        <is>
          <t>外部・内部通信の暗号化方針(TLS等)と、証明書検証の扱いが記述されている</t>
        </is>
      </c>
      <c r="G72" s="4" t="inlineStr">
        <is>
          <t>異なるプロトコル・媒体で通信する分散アプリケーションではセキュリティが鍵となる、とSWEBOKが明示する領域。平文通信や証明書検証の無効化は盗聴・なりすましに直結する。</t>
        </is>
      </c>
      <c r="H72" s="4" t="inlineStr">
        <is>
          <t>swebok-v4a.pdf ch03 Software Design &gt; 3.7 Assurance, Security, and Safety(分散アプリケーションの通信保護)</t>
        </is>
      </c>
      <c r="I72" s="4" t="inlineStr">
        <is>
          <t>CORE</t>
        </is>
      </c>
      <c r="J72" s="4" t="inlineStr">
        <is>
          <t>原則適用。案件スコープ・成果物・規制・リスク上非該当の場合はN/A根拠を記録。</t>
        </is>
      </c>
      <c r="K72" s="4" t="inlineStr">
        <is>
          <t>SRC-SWEBOK-V4A</t>
        </is>
      </c>
      <c r="L72" s="4" t="inlineStr"/>
      <c r="M72" s="4" t="n"/>
      <c r="N72" s="4" t="n"/>
      <c r="O72" s="4" t="n"/>
      <c r="P72" s="4" t="n"/>
      <c r="Q72" s="4" t="n"/>
      <c r="R72" s="4" t="n"/>
      <c r="S72" s="4" t="n"/>
      <c r="T72" s="4" t="n"/>
      <c r="U72" s="4" t="n"/>
      <c r="V72" s="4" t="n"/>
      <c r="W72" s="4" t="n"/>
    </row>
    <row r="73">
      <c r="A73" s="5" t="inlineStr">
        <is>
          <t>DES-084</t>
        </is>
      </c>
      <c r="B73" s="5" t="inlineStr">
        <is>
          <t>SWEBOK</t>
        </is>
      </c>
      <c r="C73" s="4" t="inlineStr">
        <is>
          <t>8. セキュリティ</t>
        </is>
      </c>
      <c r="D73" s="9" t="inlineStr">
        <is>
          <t>High</t>
        </is>
      </c>
      <c r="E73" s="4" t="inlineStr">
        <is>
          <t>セッション/トークンのライフサイクルが定義されている</t>
        </is>
      </c>
      <c r="F73" s="4" t="inlineStr">
        <is>
          <t>有効期限、更新、失効(ログアウト・権限変更時)の仕様が定義されている</t>
        </is>
      </c>
      <c r="G73" s="4" t="inlineStr">
        <is>
          <t>失効設計がないと、ログアウト後・権限剥奪後もトークンが有効なまま残り、退職者アクセス等のインシデントになる。</t>
        </is>
      </c>
      <c r="H73" s="4" t="inlineStr">
        <is>
          <t>swebok-v4a.pdf ch03 Software Design &gt; 3.7 Assurance, Security, and Safety / 実務補完(セッション管理実務)</t>
        </is>
      </c>
      <c r="I73" s="4" t="inlineStr">
        <is>
          <t>CORE</t>
        </is>
      </c>
      <c r="J73" s="4" t="inlineStr">
        <is>
          <t>原則適用。案件スコープ・成果物・規制・リスク上非該当の場合はN/A根拠を記録。</t>
        </is>
      </c>
      <c r="K73" s="4" t="inlineStr">
        <is>
          <t>SRC-SWEBOK-V4A;SRC-PRACTICE</t>
        </is>
      </c>
      <c r="L73" s="4" t="inlineStr"/>
      <c r="M73" s="4" t="n"/>
      <c r="N73" s="4" t="n"/>
      <c r="O73" s="4" t="n"/>
      <c r="P73" s="4" t="n"/>
      <c r="Q73" s="4" t="n"/>
      <c r="R73" s="4" t="n"/>
      <c r="S73" s="4" t="n"/>
      <c r="T73" s="4" t="n"/>
      <c r="U73" s="4" t="n"/>
      <c r="V73" s="4" t="n"/>
      <c r="W73" s="4" t="n"/>
    </row>
    <row r="74">
      <c r="A74" s="5" t="inlineStr">
        <is>
          <t>DES-085</t>
        </is>
      </c>
      <c r="B74" s="5" t="inlineStr">
        <is>
          <t>SWEBOK</t>
        </is>
      </c>
      <c r="C74" s="4" t="inlineStr">
        <is>
          <t>8. セキュリティ</t>
        </is>
      </c>
      <c r="D74" s="10" t="inlineStr">
        <is>
          <t>Medium</t>
        </is>
      </c>
      <c r="E74" s="4" t="inlineStr">
        <is>
          <t>監査ログが設計されている</t>
        </is>
      </c>
      <c r="F74" s="4" t="inlineStr">
        <is>
          <t>誰が・いつ・何をしたかを記録すべき操作(ログイン、権限変更、重要データ更新)が識別され、記録項目が定義されている</t>
        </is>
      </c>
      <c r="G74" s="4" t="inlineStr">
        <is>
          <t>監査ログがないと、不正操作の検知も事後の原因究明もできず、被害範囲を特定できないまま全件影響として扱う羽目になる。攻撃時の被害限定と修復支援の一部。</t>
        </is>
      </c>
      <c r="H74" s="4" t="inlineStr">
        <is>
          <t>swebok-v4a.pdf ch03 Software Design &gt; 3.7 Assurance, Security, and Safety(被害の限定・修復の支援)/ 実務補完(監査要件)</t>
        </is>
      </c>
      <c r="I74" s="4" t="inlineStr">
        <is>
          <t>CORE</t>
        </is>
      </c>
      <c r="J74" s="4" t="inlineStr">
        <is>
          <t>原則適用。案件スコープ・成果物・規制・リスク上非該当の場合はN/A根拠を記録。</t>
        </is>
      </c>
      <c r="K74" s="4" t="inlineStr">
        <is>
          <t>SRC-SWEBOK-V4A;SRC-PRACTICE</t>
        </is>
      </c>
      <c r="L74" s="4" t="inlineStr">
        <is>
          <t>OPS-OBSERVABILITY</t>
        </is>
      </c>
      <c r="M74" s="4" t="n"/>
      <c r="N74" s="4" t="n"/>
      <c r="O74" s="4" t="n"/>
      <c r="P74" s="4" t="n"/>
      <c r="Q74" s="4" t="n"/>
      <c r="R74" s="4" t="n"/>
      <c r="S74" s="4" t="n"/>
      <c r="T74" s="4" t="n"/>
      <c r="U74" s="4" t="n"/>
      <c r="V74" s="4" t="n"/>
      <c r="W74" s="4" t="n"/>
    </row>
    <row r="75">
      <c r="A75" s="5" t="inlineStr">
        <is>
          <t>DES-086</t>
        </is>
      </c>
      <c r="B75" s="5" t="inlineStr">
        <is>
          <t>SWEBOK</t>
        </is>
      </c>
      <c r="C75" s="4" t="inlineStr">
        <is>
          <t>8. セキュリティ</t>
        </is>
      </c>
      <c r="D75" s="10" t="inlineStr">
        <is>
          <t>Medium</t>
        </is>
      </c>
      <c r="E75" s="4" t="inlineStr">
        <is>
          <t>最小権限の原則が適用されている</t>
        </is>
      </c>
      <c r="F75" s="4" t="inlineStr">
        <is>
          <t>アプリケーションが使用する DB アカウント・クラウド権限等が必要最小限に設計されている(付与権限の一覧がある)</t>
        </is>
      </c>
      <c r="G75" s="4" t="inlineStr">
        <is>
          <t>過剰権限は、脆弱性を突かれた際の被害範囲をアプリの必要範囲を超えて拡大させる。権限一覧の明文化が被害限定設計の証拠になる。</t>
        </is>
      </c>
      <c r="H75" s="4" t="inlineStr">
        <is>
          <t>swebok-v4a.pdf ch03 Software Design &gt; 3.7 Assurance, Security, and Safety(被害の限定)/ 実務補完(最小権限の原則)</t>
        </is>
      </c>
      <c r="I75" s="4" t="inlineStr">
        <is>
          <t>CORE</t>
        </is>
      </c>
      <c r="J75" s="4" t="inlineStr">
        <is>
          <t>原則適用。案件スコープ・成果物・規制・リスク上非該当の場合はN/A根拠を記録。</t>
        </is>
      </c>
      <c r="K75" s="4" t="inlineStr">
        <is>
          <t>SRC-SWEBOK-V4A;SRC-PRACTICE</t>
        </is>
      </c>
      <c r="L75" s="4" t="inlineStr">
        <is>
          <t>SEC-IAM</t>
        </is>
      </c>
      <c r="M75" s="4" t="n"/>
      <c r="N75" s="4" t="n"/>
      <c r="O75" s="4" t="n"/>
      <c r="P75" s="4" t="n"/>
      <c r="Q75" s="4" t="n"/>
      <c r="R75" s="4" t="n"/>
      <c r="S75" s="4" t="n"/>
      <c r="T75" s="4" t="n"/>
      <c r="U75" s="4" t="n"/>
      <c r="V75" s="4" t="n"/>
      <c r="W75" s="4" t="n"/>
    </row>
    <row r="76">
      <c r="A76" s="5" t="inlineStr">
        <is>
          <t>DES-087</t>
        </is>
      </c>
      <c r="B76" s="5" t="inlineStr">
        <is>
          <t>SWEBOK</t>
        </is>
      </c>
      <c r="C76" s="4" t="inlineStr">
        <is>
          <t>8. セキュリティ</t>
        </is>
      </c>
      <c r="D76" s="11" t="inlineStr">
        <is>
          <t>Low</t>
        </is>
      </c>
      <c r="E76" s="4" t="inlineStr">
        <is>
          <t>セキュリティ要件の参照元が明記されている</t>
        </is>
      </c>
      <c r="F76" s="4" t="inlineStr">
        <is>
          <t>準拠すべき社内規程・標準(ISO/IEC 27001 等)への参照が記載されている</t>
        </is>
      </c>
      <c r="G76" s="4" t="inlineStr">
        <is>
          <t>準拠すべき規程が不明だと、監査・認証の段階で設計のやり直しが発生する。参照元の明記はセキュリティ設計の検証可能性を支える。</t>
        </is>
      </c>
      <c r="H76" s="4" t="inlineStr">
        <is>
          <t>実務補完(ISO/IEC 27001等の社内規程準拠)/ 1.4 Verifiability</t>
        </is>
      </c>
      <c r="I76" s="4" t="inlineStr">
        <is>
          <t>CORE</t>
        </is>
      </c>
      <c r="J76" s="4" t="inlineStr">
        <is>
          <t>原則適用。案件スコープ・成果物・規制・リスク上非該当の場合はN/A根拠を記録。</t>
        </is>
      </c>
      <c r="K76" s="4" t="inlineStr">
        <is>
          <t>SRC-ISO-GENERAL;SRC-PRACTICE</t>
        </is>
      </c>
      <c r="L76" s="4" t="inlineStr"/>
      <c r="M76" s="4" t="n"/>
      <c r="N76" s="4" t="n"/>
      <c r="O76" s="4" t="n"/>
      <c r="P76" s="4" t="n"/>
      <c r="Q76" s="4" t="n"/>
      <c r="R76" s="4" t="n"/>
      <c r="S76" s="4" t="n"/>
      <c r="T76" s="4" t="n"/>
      <c r="U76" s="4" t="n"/>
      <c r="V76" s="4" t="n"/>
      <c r="W76" s="4" t="n"/>
    </row>
    <row r="77">
      <c r="A77" s="5" t="inlineStr">
        <is>
          <t>DES-902</t>
        </is>
      </c>
      <c r="B77" s="5" t="inlineStr">
        <is>
          <t>追加承認</t>
        </is>
      </c>
      <c r="C77" s="4" t="inlineStr">
        <is>
          <t>8. セキュリティ</t>
        </is>
      </c>
      <c r="D77" s="10" t="inlineStr">
        <is>
          <t>Medium</t>
        </is>
      </c>
      <c r="E77" s="4" t="inlineStr">
        <is>
          <t>セーフティ(安全性)の該当有無が判断され、該当時はハザード対策が設計されている</t>
        </is>
      </c>
      <c r="F77" s="4" t="inlineStr">
        <is>
          <t>ソフトウェアの誤動作が人身・財産・環境への危害につながりうるかの判断が明記され、該当する場合はハザードの識別と対策(フェイルセーフ、インターロック等)が設計されている。非該当の場合はその根拠がある</t>
        </is>
      </c>
      <c r="G77" s="4" t="inlineStr">
        <is>
          <t>安全関連機能の見落としは人身事故等の重大な結果に直結する。該当有無の判断自体を記録させることで「検討しなかった」状態を防ぐ。</t>
        </is>
      </c>
      <c r="H77" s="4" t="inlineStr">
        <is>
          <t>swebok-v4a.pdf ch03 Software Design &gt; 3.7 Assurance, Security, and Safety — セーフティ(人命・財産・環境への危害の防止)</t>
        </is>
      </c>
      <c r="I77" s="4" t="inlineStr">
        <is>
          <t>CORE</t>
        </is>
      </c>
      <c r="J77" s="4" t="inlineStr">
        <is>
          <t>原則適用。案件スコープ・成果物・規制・リスク上非該当の場合はN/A根拠を記録。</t>
        </is>
      </c>
      <c r="K77" s="4" t="inlineStr">
        <is>
          <t>SRC-SWEBOK-V4A</t>
        </is>
      </c>
      <c r="L77" s="4" t="inlineStr"/>
      <c r="M77" s="4" t="n"/>
      <c r="N77" s="4" t="n"/>
      <c r="O77" s="4" t="n"/>
      <c r="P77" s="4" t="n"/>
      <c r="Q77" s="4" t="n"/>
      <c r="R77" s="4" t="n"/>
      <c r="S77" s="4" t="n"/>
      <c r="T77" s="4" t="n"/>
      <c r="U77" s="4" t="n"/>
      <c r="V77" s="4" t="n"/>
      <c r="W77" s="4" t="n"/>
    </row>
    <row r="78">
      <c r="A78" s="5" t="inlineStr">
        <is>
          <t>DES-090</t>
        </is>
      </c>
      <c r="B78" s="5" t="inlineStr">
        <is>
          <t>SWEBOK</t>
        </is>
      </c>
      <c r="C78" s="4" t="inlineStr">
        <is>
          <t>9. UI設計</t>
        </is>
      </c>
      <c r="D78" s="8" t="inlineStr">
        <is>
          <t>Critical</t>
        </is>
      </c>
      <c r="E78" s="4" t="inlineStr">
        <is>
          <t>画面一覧と画面遷移図が存在する</t>
        </is>
      </c>
      <c r="F78" s="4" t="inlineStr">
        <is>
          <t>全画面が ID 付きで列挙され、画面間の遷移(条件含む)が図で表現されている</t>
        </is>
      </c>
      <c r="G78" s="4" t="inlineStr">
        <is>
          <t>UI設計は画面の構造的レイアウトと画面遷移の振る舞いロジックが混在する特殊領域。全体像(一覧と遷移)がないと、画面の作成漏れ・行き止まり遷移が実装後に発覚する。</t>
        </is>
      </c>
      <c r="H78" s="4" t="inlineStr">
        <is>
          <t>swebok-v4a.pdf ch03 Software Design &gt; 4.5 Specialized and Domain-Specific Languages(UI設計=構造+遷移の振る舞い)</t>
        </is>
      </c>
      <c r="I78" s="4" t="inlineStr">
        <is>
          <t>CORE</t>
        </is>
      </c>
      <c r="J78" s="4" t="inlineStr">
        <is>
          <t>原則適用。案件スコープ・成果物・規制・リスク上非該当の場合はN/A根拠を記録。</t>
        </is>
      </c>
      <c r="K78" s="4" t="inlineStr">
        <is>
          <t>SRC-SWEBOK-V4A</t>
        </is>
      </c>
      <c r="L78" s="4" t="inlineStr"/>
      <c r="M78" s="4" t="n"/>
      <c r="N78" s="4" t="n"/>
      <c r="O78" s="4" t="n"/>
      <c r="P78" s="4" t="n"/>
      <c r="Q78" s="4" t="n"/>
      <c r="R78" s="4" t="n"/>
      <c r="S78" s="4" t="n"/>
      <c r="T78" s="4" t="n"/>
      <c r="U78" s="4" t="n"/>
      <c r="V78" s="4" t="n"/>
      <c r="W78" s="4" t="n"/>
    </row>
    <row r="79">
      <c r="A79" s="5" t="inlineStr">
        <is>
          <t>DES-091</t>
        </is>
      </c>
      <c r="B79" s="5" t="inlineStr">
        <is>
          <t>SWEBOK</t>
        </is>
      </c>
      <c r="C79" s="4" t="inlineStr">
        <is>
          <t>9. UI設計</t>
        </is>
      </c>
      <c r="D79" s="8" t="inlineStr">
        <is>
          <t>Critical</t>
        </is>
      </c>
      <c r="E79" s="4" t="inlineStr">
        <is>
          <t>入力項目定義が完備している</t>
        </is>
      </c>
      <c r="F79" s="4" t="inlineStr">
        <is>
          <t>全入力項目に項目ID、型、桁、必須/任意、初期値、バリデーション規則、エラーメッセージが定義されている</t>
        </is>
      </c>
      <c r="G79" s="4" t="inlineStr">
        <is>
          <t>入力項目定義の欠落は、実装者ごとの独自バリデーションとエラーメッセージを生み、API側の検証仕様(DES-025)との不一致も引き起こす。</t>
        </is>
      </c>
      <c r="H79" s="4" t="inlineStr">
        <is>
          <t>swebok-v4a.pdf ch03 Software Design &gt; 5.5 User-Centered Design / 実務補完(画面設計実務)</t>
        </is>
      </c>
      <c r="I79" s="4" t="inlineStr">
        <is>
          <t>CORE</t>
        </is>
      </c>
      <c r="J79" s="4" t="inlineStr">
        <is>
          <t>原則適用。案件スコープ・成果物・規制・リスク上非該当の場合はN/A根拠を記録。</t>
        </is>
      </c>
      <c r="K79" s="4" t="inlineStr">
        <is>
          <t>SRC-SWEBOK-V4A;SRC-PRACTICE</t>
        </is>
      </c>
      <c r="L79" s="4" t="inlineStr"/>
      <c r="M79" s="4" t="n"/>
      <c r="N79" s="4" t="n"/>
      <c r="O79" s="4" t="n"/>
      <c r="P79" s="4" t="n"/>
      <c r="Q79" s="4" t="n"/>
      <c r="R79" s="4" t="n"/>
      <c r="S79" s="4" t="n"/>
      <c r="T79" s="4" t="n"/>
      <c r="U79" s="4" t="n"/>
      <c r="V79" s="4" t="n"/>
      <c r="W79" s="4" t="n"/>
    </row>
    <row r="80">
      <c r="A80" s="5" t="inlineStr">
        <is>
          <t>DES-092</t>
        </is>
      </c>
      <c r="B80" s="5" t="inlineStr">
        <is>
          <t>SWEBOK</t>
        </is>
      </c>
      <c r="C80" s="4" t="inlineStr">
        <is>
          <t>9. UI設計</t>
        </is>
      </c>
      <c r="D80" s="9" t="inlineStr">
        <is>
          <t>High</t>
        </is>
      </c>
      <c r="E80" s="4" t="inlineStr">
        <is>
          <t>画面とAPIの対応が定義されている</t>
        </is>
      </c>
      <c r="F80" s="4" t="inlineStr">
        <is>
          <t>各画面の操作(表示、ボタン押下)と呼び出すAPIの対応表が存在する</t>
        </is>
      </c>
      <c r="G80" s="4" t="inlineStr">
        <is>
          <t>画面とAPIの対応が未定義だと、フロントとバックエンドの分担する結合部分が宙に浮き、必要なAPIの作成漏れや過剰なAPI乱立が起きる。</t>
        </is>
      </c>
      <c r="H80" s="4" t="inlineStr">
        <is>
          <t>実務補完(Webアプリケーション設計実務)/ 3.6 Integration and Interoperability</t>
        </is>
      </c>
      <c r="I80" s="4" t="inlineStr">
        <is>
          <t>CORE</t>
        </is>
      </c>
      <c r="J80" s="4" t="inlineStr">
        <is>
          <t>原則適用。案件スコープ・成果物・規制・リスク上非該当の場合はN/A根拠を記録。</t>
        </is>
      </c>
      <c r="K80" s="4" t="inlineStr">
        <is>
          <t>SRC-PRACTICE</t>
        </is>
      </c>
      <c r="L80" s="4" t="inlineStr"/>
      <c r="M80" s="4" t="n"/>
      <c r="N80" s="4" t="n"/>
      <c r="O80" s="4" t="n"/>
      <c r="P80" s="4" t="n"/>
      <c r="Q80" s="4" t="n"/>
      <c r="R80" s="4" t="n"/>
      <c r="S80" s="4" t="n"/>
      <c r="T80" s="4" t="n"/>
      <c r="U80" s="4" t="n"/>
      <c r="V80" s="4" t="n"/>
      <c r="W80" s="4" t="n"/>
    </row>
    <row r="81">
      <c r="A81" s="5" t="inlineStr">
        <is>
          <t>DES-093</t>
        </is>
      </c>
      <c r="B81" s="5" t="inlineStr">
        <is>
          <t>SWEBOK</t>
        </is>
      </c>
      <c r="C81" s="4" t="inlineStr">
        <is>
          <t>9. UI設計</t>
        </is>
      </c>
      <c r="D81" s="9" t="inlineStr">
        <is>
          <t>High</t>
        </is>
      </c>
      <c r="E81" s="4" t="inlineStr">
        <is>
          <t>エラー・例外時の画面挙動が定義されている</t>
        </is>
      </c>
      <c r="F81" s="4" t="inlineStr">
        <is>
          <t>入力エラー、業務エラー、システムエラーそれぞれの表示方法(項目単位/画面単位、遷移先)が定義されている</t>
        </is>
      </c>
      <c r="G81" s="4" t="inlineStr">
        <is>
          <t>エラー時の画面挙動が未定義だと、エラーの握りつぶしや白画面などユーザーが対処不能な状態に陥る。例外処理設計のUI側の受け口。</t>
        </is>
      </c>
      <c r="H81" s="4" t="inlineStr">
        <is>
          <t>swebok-v4a.pdf ch03 Software Design &gt; 3.5 Errors and Exception Handling / 5.5 User-Centered Design</t>
        </is>
      </c>
      <c r="I81" s="4" t="inlineStr">
        <is>
          <t>CORE</t>
        </is>
      </c>
      <c r="J81" s="4" t="inlineStr">
        <is>
          <t>原則適用。案件スコープ・成果物・規制・リスク上非該当の場合はN/A根拠を記録。</t>
        </is>
      </c>
      <c r="K81" s="4" t="inlineStr">
        <is>
          <t>SRC-SWEBOK-V4A</t>
        </is>
      </c>
      <c r="L81" s="4" t="inlineStr"/>
      <c r="M81" s="4" t="n"/>
      <c r="N81" s="4" t="n"/>
      <c r="O81" s="4" t="n"/>
      <c r="P81" s="4" t="n"/>
      <c r="Q81" s="4" t="n"/>
      <c r="R81" s="4" t="n"/>
      <c r="S81" s="4" t="n"/>
      <c r="T81" s="4" t="n"/>
      <c r="U81" s="4" t="n"/>
      <c r="V81" s="4" t="n"/>
      <c r="W81" s="4" t="n"/>
    </row>
    <row r="82">
      <c r="A82" s="5" t="inlineStr">
        <is>
          <t>DES-094</t>
        </is>
      </c>
      <c r="B82" s="5" t="inlineStr">
        <is>
          <t>SWEBOK</t>
        </is>
      </c>
      <c r="C82" s="4" t="inlineStr">
        <is>
          <t>9. UI設計</t>
        </is>
      </c>
      <c r="D82" s="9" t="inlineStr">
        <is>
          <t>High</t>
        </is>
      </c>
      <c r="E82" s="4" t="inlineStr">
        <is>
          <t>権限による表示・操作制御が定義されている</t>
        </is>
      </c>
      <c r="F82" s="4" t="inlineStr">
        <is>
          <t>ロールごとに表示/非表示・活性/非活性となる要素が定義されている。権限差がない場合はその旨の明記がある</t>
        </is>
      </c>
      <c r="G82" s="4" t="inlineStr">
        <is>
          <t>表示制御だけで認可を済ませる設計事故(サーバ側チェック省略)や、ロール別表示の実装漏れを防ぐ。認可設計(DES-080)のUI面での具体化。</t>
        </is>
      </c>
      <c r="H82" s="4" t="inlineStr">
        <is>
          <t>swebok-v4a.pdf ch03 Software Design &gt; 3.7 Assurance, Security, and Safety(不正アクセスの防止)</t>
        </is>
      </c>
      <c r="I82" s="4" t="inlineStr">
        <is>
          <t>CORE</t>
        </is>
      </c>
      <c r="J82" s="4" t="inlineStr">
        <is>
          <t>原則適用。案件スコープ・成果物・規制・リスク上非該当の場合はN/A根拠を記録。</t>
        </is>
      </c>
      <c r="K82" s="4" t="inlineStr">
        <is>
          <t>SRC-SWEBOK-V4A</t>
        </is>
      </c>
      <c r="L82" s="4" t="inlineStr"/>
      <c r="M82" s="4" t="n"/>
      <c r="N82" s="4" t="n"/>
      <c r="O82" s="4" t="n"/>
      <c r="P82" s="4" t="n"/>
      <c r="Q82" s="4" t="n"/>
      <c r="R82" s="4" t="n"/>
      <c r="S82" s="4" t="n"/>
      <c r="T82" s="4" t="n"/>
      <c r="U82" s="4" t="n"/>
      <c r="V82" s="4" t="n"/>
      <c r="W82" s="4" t="n"/>
    </row>
    <row r="83">
      <c r="A83" s="5" t="inlineStr">
        <is>
          <t>DES-095</t>
        </is>
      </c>
      <c r="B83" s="5" t="inlineStr">
        <is>
          <t>SWEBOK</t>
        </is>
      </c>
      <c r="C83" s="4" t="inlineStr">
        <is>
          <t>9. UI設計</t>
        </is>
      </c>
      <c r="D83" s="10" t="inlineStr">
        <is>
          <t>Medium</t>
        </is>
      </c>
      <c r="E83" s="4" t="inlineStr">
        <is>
          <t>二重送信・再読み込み対策が設計されている</t>
        </is>
      </c>
      <c r="F83" s="4" t="inlineStr">
        <is>
          <t>更新系操作についてボタン二重押下・ブラウザ再読み込み時の挙動と対策が定義されている</t>
        </is>
      </c>
      <c r="G83" s="4" t="inlineStr">
        <is>
          <t>二重送信は更新系操作で二重登録・二重決済を引き起こす頻出事故であり、対策の有無は設計時に決めないと画面ごとに対応がバラつく。</t>
        </is>
      </c>
      <c r="H83" s="4" t="inlineStr">
        <is>
          <t>実務補完(Web UI 実務)/ 3.5 Errors and Exception Handling</t>
        </is>
      </c>
      <c r="I83" s="4" t="inlineStr">
        <is>
          <t>CORE</t>
        </is>
      </c>
      <c r="J83" s="4" t="inlineStr">
        <is>
          <t>原則適用。案件スコープ・成果物・規制・リスク上非該当の場合はN/A根拠を記録。</t>
        </is>
      </c>
      <c r="K83" s="4" t="inlineStr">
        <is>
          <t>SRC-PRACTICE</t>
        </is>
      </c>
      <c r="L83" s="4" t="inlineStr"/>
      <c r="M83" s="4" t="n"/>
      <c r="N83" s="4" t="n"/>
      <c r="O83" s="4" t="n"/>
      <c r="P83" s="4" t="n"/>
      <c r="Q83" s="4" t="n"/>
      <c r="R83" s="4" t="n"/>
      <c r="S83" s="4" t="n"/>
      <c r="T83" s="4" t="n"/>
      <c r="U83" s="4" t="n"/>
      <c r="V83" s="4" t="n"/>
      <c r="W83" s="4" t="n"/>
    </row>
    <row r="84">
      <c r="A84" s="5" t="inlineStr">
        <is>
          <t>DES-096</t>
        </is>
      </c>
      <c r="B84" s="5" t="inlineStr">
        <is>
          <t>SWEBOK</t>
        </is>
      </c>
      <c r="C84" s="4" t="inlineStr">
        <is>
          <t>9. UI設計</t>
        </is>
      </c>
      <c r="D84" s="10" t="inlineStr">
        <is>
          <t>Medium</t>
        </is>
      </c>
      <c r="E84" s="4" t="inlineStr">
        <is>
          <t>主要ユーザーフローが検証されている</t>
        </is>
      </c>
      <c r="F84" s="4" t="inlineStr">
        <is>
          <t>主要フローについてワイヤーフレームまたはプロトタイプによる確認(レビュー記録)が存在する</t>
        </is>
      </c>
      <c r="G84" s="4" t="inlineStr">
        <is>
          <t>ユーザー中心設計はプロトタイプ作成と要求に対する評価までを含む。机上のUI設計だけでは使い勝手の問題が受入段階で発覚し、画面の作り直しになる。</t>
        </is>
      </c>
      <c r="H84" s="4" t="inlineStr">
        <is>
          <t>swebok-v4a.pdf ch03 Software Design &gt; 5.5 User-Centered Design(プロトタイプ作成と設計解の評価)</t>
        </is>
      </c>
      <c r="I84" s="4" t="inlineStr">
        <is>
          <t>CORE</t>
        </is>
      </c>
      <c r="J84" s="4" t="inlineStr">
        <is>
          <t>原則適用。案件スコープ・成果物・規制・リスク上非該当の場合はN/A根拠を記録。</t>
        </is>
      </c>
      <c r="K84" s="4" t="inlineStr">
        <is>
          <t>SRC-SWEBOK-V4A</t>
        </is>
      </c>
      <c r="L84" s="4" t="inlineStr"/>
      <c r="M84" s="4" t="n"/>
      <c r="N84" s="4" t="n"/>
      <c r="O84" s="4" t="n"/>
      <c r="P84" s="4" t="n"/>
      <c r="Q84" s="4" t="n"/>
      <c r="R84" s="4" t="n"/>
      <c r="S84" s="4" t="n"/>
      <c r="T84" s="4" t="n"/>
      <c r="U84" s="4" t="n"/>
      <c r="V84" s="4" t="n"/>
      <c r="W84" s="4" t="n"/>
    </row>
    <row r="85">
      <c r="A85" s="5" t="inlineStr">
        <is>
          <t>DES-097</t>
        </is>
      </c>
      <c r="B85" s="5" t="inlineStr">
        <is>
          <t>SWEBOK</t>
        </is>
      </c>
      <c r="C85" s="4" t="inlineStr">
        <is>
          <t>9. UI設計</t>
        </is>
      </c>
      <c r="D85" s="10" t="inlineStr">
        <is>
          <t>Medium</t>
        </is>
      </c>
      <c r="E85" s="4" t="inlineStr">
        <is>
          <t>アクセシビリティ・対応環境が定義されている</t>
        </is>
      </c>
      <c r="F85" s="4" t="inlineStr">
        <is>
          <t>対応ブラウザ/デバイス/画面サイズと、アクセシビリティ要件(該当する場合は WCAG 等の参照)が記載されている</t>
        </is>
      </c>
      <c r="G85" s="4" t="inlineStr">
        <is>
          <t>対応環境が未定義だと、テスト対象ブラウザが決められず、リリース後に特定環境での表示崩れが発覚する。ユーザビリティは設計品質属性の一つ。</t>
        </is>
      </c>
      <c r="H85" s="4" t="inlineStr">
        <is>
          <t>swebok-v4a.pdf ch03 Software Design &gt; 6.2 Quality Attributes(usability)/ 実務補完(WCAG)</t>
        </is>
      </c>
      <c r="I85" s="4" t="inlineStr">
        <is>
          <t>CORE</t>
        </is>
      </c>
      <c r="J85" s="4" t="inlineStr">
        <is>
          <t>原則適用。案件スコープ・成果物・規制・リスク上非該当の場合はN/A根拠を記録。</t>
        </is>
      </c>
      <c r="K85" s="4" t="inlineStr">
        <is>
          <t>SRC-SWEBOK-V4A;SRC-PRACTICE</t>
        </is>
      </c>
      <c r="L85" s="4" t="inlineStr"/>
      <c r="M85" s="4" t="n"/>
      <c r="N85" s="4" t="n"/>
      <c r="O85" s="4" t="n"/>
      <c r="P85" s="4" t="n"/>
      <c r="Q85" s="4" t="n"/>
      <c r="R85" s="4" t="n"/>
      <c r="S85" s="4" t="n"/>
      <c r="T85" s="4" t="n"/>
      <c r="U85" s="4" t="n"/>
      <c r="V85" s="4" t="n"/>
      <c r="W85" s="4" t="n"/>
    </row>
    <row r="86">
      <c r="A86" s="5" t="inlineStr">
        <is>
          <t>DES-098</t>
        </is>
      </c>
      <c r="B86" s="5" t="inlineStr">
        <is>
          <t>SWEBOK</t>
        </is>
      </c>
      <c r="C86" s="4" t="inlineStr">
        <is>
          <t>9. UI設計</t>
        </is>
      </c>
      <c r="D86" s="11" t="inlineStr">
        <is>
          <t>Low</t>
        </is>
      </c>
      <c r="E86" s="4" t="inlineStr">
        <is>
          <t>文言・表記のガイドラインがある</t>
        </is>
      </c>
      <c r="F86" s="4" t="inlineStr">
        <is>
          <t>ボタン名・メッセージの文体、日付・数値の表示形式の規約が定義されている</t>
        </is>
      </c>
      <c r="G86" s="4" t="inlineStr">
        <is>
          <t>文言・表記の不統一は製品の一貫性を損ない、ユーザーの混乱と翻訳・修正コストの増大を招く。共通問題への共通解という一貫性原則のUI適用。</t>
        </is>
      </c>
      <c r="H86" s="4" t="inlineStr">
        <is>
          <t>swebok-v4a.pdf ch03 Software Design &gt; 1.4 Uniformity / 5.5 User-Centered Design</t>
        </is>
      </c>
      <c r="I86" s="4" t="inlineStr">
        <is>
          <t>CORE</t>
        </is>
      </c>
      <c r="J86" s="4" t="inlineStr">
        <is>
          <t>原則適用。案件スコープ・成果物・規制・リスク上非該当の場合はN/A根拠を記録。</t>
        </is>
      </c>
      <c r="K86" s="4" t="inlineStr">
        <is>
          <t>SRC-SWEBOK-V4A</t>
        </is>
      </c>
      <c r="L86" s="4" t="inlineStr"/>
      <c r="M86" s="4" t="n"/>
      <c r="N86" s="4" t="n"/>
      <c r="O86" s="4" t="n"/>
      <c r="P86" s="4" t="n"/>
      <c r="Q86" s="4" t="n"/>
      <c r="R86" s="4" t="n"/>
      <c r="S86" s="4" t="n"/>
      <c r="T86" s="4" t="n"/>
      <c r="U86" s="4" t="n"/>
      <c r="V86" s="4" t="n"/>
      <c r="W86" s="4" t="n"/>
    </row>
    <row r="87">
      <c r="A87" s="5" t="inlineStr">
        <is>
          <t>DES-100</t>
        </is>
      </c>
      <c r="B87" s="5" t="inlineStr">
        <is>
          <t>SWEBOK</t>
        </is>
      </c>
      <c r="C87" s="4" t="inlineStr">
        <is>
          <t>10. 設計の記録・設計根拠</t>
        </is>
      </c>
      <c r="D87" s="9" t="inlineStr">
        <is>
          <t>High</t>
        </is>
      </c>
      <c r="E87" s="4" t="inlineStr">
        <is>
          <t>重要な設計決定に根拠が記録されている</t>
        </is>
      </c>
      <c r="F87" s="4" t="inlineStr">
        <is>
          <t>技術選定・方式選定などの重要決定について、決定内容・理由・検討した代替案・トレードオフが記録されている(ADR等の形式)</t>
        </is>
      </c>
      <c r="G87" s="4" t="inlineStr">
        <is>
          <t>設計根拠(前提・代替案・トレードオフ)の記録は、保守者が決定の理由を知らずに壊す事故を防ぎ、前提が変わったとき棄却案を再検討可能にする。長期保守性を直接高める。</t>
        </is>
      </c>
      <c r="H87" s="4" t="inlineStr">
        <is>
          <t>swebok-v4a.pdf ch03 Software Design &gt; 4.6 Design Rationale</t>
        </is>
      </c>
      <c r="I87" s="4" t="inlineStr">
        <is>
          <t>CORE</t>
        </is>
      </c>
      <c r="J87" s="4" t="inlineStr">
        <is>
          <t>原則適用。案件スコープ・成果物・規制・リスク上非該当の場合はN/A根拠を記録。</t>
        </is>
      </c>
      <c r="K87" s="4" t="inlineStr">
        <is>
          <t>SRC-SWEBOK-V4A</t>
        </is>
      </c>
      <c r="L87" s="4" t="inlineStr"/>
      <c r="M87" s="4" t="n"/>
      <c r="N87" s="4" t="n"/>
      <c r="O87" s="4" t="n"/>
      <c r="P87" s="4" t="n"/>
      <c r="Q87" s="4" t="n"/>
      <c r="R87" s="4" t="n"/>
      <c r="S87" s="4" t="n"/>
      <c r="T87" s="4" t="n"/>
      <c r="U87" s="4" t="n"/>
      <c r="V87" s="4" t="n"/>
      <c r="W87" s="4" t="n"/>
    </row>
    <row r="88">
      <c r="A88" s="5" t="inlineStr">
        <is>
          <t>DES-101</t>
        </is>
      </c>
      <c r="B88" s="5" t="inlineStr">
        <is>
          <t>SWEBOK</t>
        </is>
      </c>
      <c r="C88" s="4" t="inlineStr">
        <is>
          <t>10. 設計の記録・設計根拠</t>
        </is>
      </c>
      <c r="D88" s="9" t="inlineStr">
        <is>
          <t>High</t>
        </is>
      </c>
      <c r="E88" s="4" t="inlineStr">
        <is>
          <t>図と本文が矛盾していない</t>
        </is>
      </c>
      <c r="F88" s="4" t="inlineStr">
        <is>
          <t>同一対象を表す図(クラス図、ER図、シーケンス図)と本文記述の間に、名称・関係・多重度の不一致がない</t>
        </is>
      </c>
      <c r="G88" s="4" t="inlineStr">
        <is>
          <t>図と本文の矛盾は「どちらが正か」の判断を読者に委ね、誤った方に基づく実装を生む。相互整合チェック(cross-checking)は設計評価の基本技法。</t>
        </is>
      </c>
      <c r="H88" s="4" t="inlineStr">
        <is>
          <t>swebok-v4a.pdf ch03 Software Design &gt; 6.3 Quality Analysis and Evaluation Techniques(自動相互チェック)/ 4.1 Model-Based Design</t>
        </is>
      </c>
      <c r="I88" s="4" t="inlineStr">
        <is>
          <t>CORE</t>
        </is>
      </c>
      <c r="J88" s="4" t="inlineStr">
        <is>
          <t>原則適用。案件スコープ・成果物・規制・リスク上非該当の場合はN/A根拠を記録。</t>
        </is>
      </c>
      <c r="K88" s="4" t="inlineStr">
        <is>
          <t>SRC-SWEBOK-V4A</t>
        </is>
      </c>
      <c r="L88" s="4" t="inlineStr"/>
      <c r="M88" s="4" t="n"/>
      <c r="N88" s="4" t="n"/>
      <c r="O88" s="4" t="n"/>
      <c r="P88" s="4" t="n"/>
      <c r="Q88" s="4" t="n"/>
      <c r="R88" s="4" t="n"/>
      <c r="S88" s="4" t="n"/>
      <c r="T88" s="4" t="n"/>
      <c r="U88" s="4" t="n"/>
      <c r="V88" s="4" t="n"/>
      <c r="W88" s="4" t="n"/>
    </row>
    <row r="89">
      <c r="A89" s="5" t="inlineStr">
        <is>
          <t>DES-102</t>
        </is>
      </c>
      <c r="B89" s="5" t="inlineStr">
        <is>
          <t>SWEBOK</t>
        </is>
      </c>
      <c r="C89" s="4" t="inlineStr">
        <is>
          <t>10. 設計の記録・設計根拠</t>
        </is>
      </c>
      <c r="D89" s="10" t="inlineStr">
        <is>
          <t>Medium</t>
        </is>
      </c>
      <c r="E89" s="4" t="inlineStr">
        <is>
          <t>対象読者に応じた詳細レベルになっている</t>
        </is>
      </c>
      <c r="F89" s="4" t="inlineStr">
        <is>
          <t>概要(全体像)と詳細(モジュール内部)が階層化され、読者が全体から詳細へ辿れる構成になっている</t>
        </is>
      </c>
      <c r="G89" s="4" t="inlineStr">
        <is>
          <t>設計コミュニケーションは対象読者・詳細度・関心に応じて変えるべきもの。全体から詳細へ辿れない文書は、新規参画者の理解コストを増大させレビューの質を下げる。</t>
        </is>
      </c>
      <c r="H89" s="4" t="inlineStr">
        <is>
          <t>swebok-v4a.pdf ch03 Software Design &gt; 4. Recording Software Designs(読者に応じた設計情報の伝達)</t>
        </is>
      </c>
      <c r="I89" s="4" t="inlineStr">
        <is>
          <t>CORE</t>
        </is>
      </c>
      <c r="J89" s="4" t="inlineStr">
        <is>
          <t>原則適用。案件スコープ・成果物・規制・リスク上非該当の場合はN/A根拠を記録。</t>
        </is>
      </c>
      <c r="K89" s="4" t="inlineStr">
        <is>
          <t>SRC-SWEBOK-V4A</t>
        </is>
      </c>
      <c r="L89" s="4" t="inlineStr"/>
      <c r="M89" s="4" t="n"/>
      <c r="N89" s="4" t="n"/>
      <c r="O89" s="4" t="n"/>
      <c r="P89" s="4" t="n"/>
      <c r="Q89" s="4" t="n"/>
      <c r="R89" s="4" t="n"/>
      <c r="S89" s="4" t="n"/>
      <c r="T89" s="4" t="n"/>
      <c r="U89" s="4" t="n"/>
      <c r="V89" s="4" t="n"/>
      <c r="W89" s="4" t="n"/>
    </row>
    <row r="90">
      <c r="A90" s="5" t="inlineStr">
        <is>
          <t>DES-103</t>
        </is>
      </c>
      <c r="B90" s="5" t="inlineStr">
        <is>
          <t>SWEBOK</t>
        </is>
      </c>
      <c r="C90" s="4" t="inlineStr">
        <is>
          <t>10. 設計の記録・設計根拠</t>
        </is>
      </c>
      <c r="D90" s="10" t="inlineStr">
        <is>
          <t>Medium</t>
        </is>
      </c>
      <c r="E90" s="4" t="inlineStr">
        <is>
          <t>未決定事項・TBD が管理されている</t>
        </is>
      </c>
      <c r="F90" s="4" t="inlineStr">
        <is>
          <t>TBD/TODO が残る場合、一覧化され、担当と期限が付与されている(放置された TBD がない)</t>
        </is>
      </c>
      <c r="G90" s="4" t="inlineStr">
        <is>
          <t>未解決課題の把握は設計レビューの主要な確認事項。管理されないTBDは「決まっているつもり」のまま実装に流れ、結合時に発覚する。</t>
        </is>
      </c>
      <c r="H90" s="4" t="inlineStr">
        <is>
          <t>swebok-v4a.pdf ch03 Software Design &gt; 6.1 Design Reviews and Audits(未解決事項・完成度の評価)</t>
        </is>
      </c>
      <c r="I90" s="4" t="inlineStr">
        <is>
          <t>CORE</t>
        </is>
      </c>
      <c r="J90" s="4" t="inlineStr">
        <is>
          <t>原則適用。案件スコープ・成果物・規制・リスク上非該当の場合はN/A根拠を記録。</t>
        </is>
      </c>
      <c r="K90" s="4" t="inlineStr">
        <is>
          <t>SRC-SWEBOK-V4A</t>
        </is>
      </c>
      <c r="L90" s="4" t="inlineStr"/>
      <c r="M90" s="4" t="n"/>
      <c r="N90" s="4" t="n"/>
      <c r="O90" s="4" t="n"/>
      <c r="P90" s="4" t="n"/>
      <c r="Q90" s="4" t="n"/>
      <c r="R90" s="4" t="n"/>
      <c r="S90" s="4" t="n"/>
      <c r="T90" s="4" t="n"/>
      <c r="U90" s="4" t="n"/>
      <c r="V90" s="4" t="n"/>
      <c r="W90" s="4" t="n"/>
    </row>
    <row r="91">
      <c r="A91" s="5" t="inlineStr">
        <is>
          <t>DES-104</t>
        </is>
      </c>
      <c r="B91" s="5" t="inlineStr">
        <is>
          <t>SWEBOK</t>
        </is>
      </c>
      <c r="C91" s="4" t="inlineStr">
        <is>
          <t>10. 設計の記録・設計根拠</t>
        </is>
      </c>
      <c r="D91" s="10" t="inlineStr">
        <is>
          <t>Medium</t>
        </is>
      </c>
      <c r="E91" s="4" t="inlineStr">
        <is>
          <t>設計書がモデル/コード生成物と同期する仕組みがある</t>
        </is>
      </c>
      <c r="F91" s="4" t="inlineStr">
        <is>
          <t>OpenAPI・DDL・モデルファイル等を正とする場合、どれが正(source of truth)かが明記されている</t>
        </is>
      </c>
      <c r="G91" s="4" t="inlineStr">
        <is>
          <t>モデルベース設計では情報の正(source of truth)の明確化が前提。正が曖昧だと文書とコード生成物が乖離し、設計書が信頼されず読まれなくなる。</t>
        </is>
      </c>
      <c r="H91" s="4" t="inlineStr">
        <is>
          <t>swebok-v4a.pdf ch03 Software Design &gt; 4.1 Model-Based Design</t>
        </is>
      </c>
      <c r="I91" s="4" t="inlineStr">
        <is>
          <t>CORE</t>
        </is>
      </c>
      <c r="J91" s="4" t="inlineStr">
        <is>
          <t>原則適用。案件スコープ・成果物・規制・リスク上非該当の場合はN/A根拠を記録。</t>
        </is>
      </c>
      <c r="K91" s="4" t="inlineStr">
        <is>
          <t>SRC-SWEBOK-V4A</t>
        </is>
      </c>
      <c r="L91" s="4" t="inlineStr"/>
      <c r="M91" s="4" t="n"/>
      <c r="N91" s="4" t="n"/>
      <c r="O91" s="4" t="n"/>
      <c r="P91" s="4" t="n"/>
      <c r="Q91" s="4" t="n"/>
      <c r="R91" s="4" t="n"/>
      <c r="S91" s="4" t="n"/>
      <c r="T91" s="4" t="n"/>
      <c r="U91" s="4" t="n"/>
      <c r="V91" s="4" t="n"/>
      <c r="W91" s="4" t="n"/>
    </row>
    <row r="92">
      <c r="A92" s="5" t="inlineStr">
        <is>
          <t>DES-105</t>
        </is>
      </c>
      <c r="B92" s="5" t="inlineStr">
        <is>
          <t>SWEBOK</t>
        </is>
      </c>
      <c r="C92" s="4" t="inlineStr">
        <is>
          <t>10. 設計の記録・設計根拠</t>
        </is>
      </c>
      <c r="D92" s="11" t="inlineStr">
        <is>
          <t>Low</t>
        </is>
      </c>
      <c r="E92" s="4" t="inlineStr">
        <is>
          <t>図に凡例・記法の明示がある</t>
        </is>
      </c>
      <c r="F92" s="4" t="inlineStr">
        <is>
          <t>使用記法(UML 2.5、IE記法等)が明記され、独自記号には凡例が付いている</t>
        </is>
      </c>
      <c r="G92" s="4" t="inlineStr">
        <is>
          <t>記法の明示がないと、矢印や線の意味(依存か継承か)を読者が推測し、図の誤読がそのまま設計の誤解になる。</t>
        </is>
      </c>
      <c r="H92" s="4" t="inlineStr">
        <is>
          <t>swebok-v4a.pdf ch03 Software Design &gt; 4. Recording Software Designs(多様な記法の使用)/ 実務補完(図面規約)</t>
        </is>
      </c>
      <c r="I92" s="4" t="inlineStr">
        <is>
          <t>CORE</t>
        </is>
      </c>
      <c r="J92" s="4" t="inlineStr">
        <is>
          <t>原則適用。案件スコープ・成果物・規制・リスク上非該当の場合はN/A根拠を記録。</t>
        </is>
      </c>
      <c r="K92" s="4" t="inlineStr">
        <is>
          <t>SRC-SWEBOK-V4A;SRC-PRACTICE</t>
        </is>
      </c>
      <c r="L92" s="4" t="inlineStr"/>
      <c r="M92" s="4" t="n"/>
      <c r="N92" s="4" t="n"/>
      <c r="O92" s="4" t="n"/>
      <c r="P92" s="4" t="n"/>
      <c r="Q92" s="4" t="n"/>
      <c r="R92" s="4" t="n"/>
      <c r="S92" s="4" t="n"/>
      <c r="T92" s="4" t="n"/>
      <c r="U92" s="4" t="n"/>
      <c r="V92" s="4" t="n"/>
      <c r="W92" s="4" t="n"/>
    </row>
    <row r="93">
      <c r="A93" s="5" t="inlineStr">
        <is>
          <t>DES-904</t>
        </is>
      </c>
      <c r="B93" s="5" t="inlineStr">
        <is>
          <t>追加承認</t>
        </is>
      </c>
      <c r="C93" s="4" t="inlineStr">
        <is>
          <t>10. 設計の記録・設計根拠</t>
        </is>
      </c>
      <c r="D93" s="11" t="inlineStr">
        <is>
          <t>Low</t>
        </is>
      </c>
      <c r="E93" s="4" t="inlineStr">
        <is>
          <t>採用した設計手法・戦略が明示されている</t>
        </is>
      </c>
      <c r="F93" s="4" t="inlineStr">
        <is>
          <t>設計の基本方針として採用した手法・戦略(オブジェクト指向、ドメイン駆動、イベント駆動等)が名称で明記され、設計書全体がその手法の概念・分割方針に沿って記述されている</t>
        </is>
      </c>
      <c r="G93" s="4" t="inlineStr">
        <is>
          <t>手法の暗黙的な混在は、モジュール分割基準のブレと設計書の解釈違いを生む。方針の明示が設計全体の一貫性(conceptual integrity)を支える。</t>
        </is>
      </c>
      <c r="H93" s="4" t="inlineStr">
        <is>
          <t>swebok-v4a.pdf ch03 Software Design &gt; 5. Software Design Strategies and Methods / 5.1 General Strategies — 採用した設計手法・戦略の明示</t>
        </is>
      </c>
      <c r="I93" s="4" t="inlineStr">
        <is>
          <t>CORE</t>
        </is>
      </c>
      <c r="J93" s="4" t="inlineStr">
        <is>
          <t>原則適用。案件スコープ・成果物・規制・リスク上非該当の場合はN/A根拠を記録。</t>
        </is>
      </c>
      <c r="K93" s="4" t="inlineStr">
        <is>
          <t>SRC-SWEBOK-V4A</t>
        </is>
      </c>
      <c r="L93" s="4" t="inlineStr"/>
      <c r="M93" s="4" t="n"/>
      <c r="N93" s="4" t="n"/>
      <c r="O93" s="4" t="n"/>
      <c r="P93" s="4" t="n"/>
      <c r="Q93" s="4" t="n"/>
      <c r="R93" s="4" t="n"/>
      <c r="S93" s="4" t="n"/>
      <c r="T93" s="4" t="n"/>
      <c r="U93" s="4" t="n"/>
      <c r="V93" s="4" t="n"/>
      <c r="W93" s="4" t="n"/>
    </row>
    <row r="94">
      <c r="A94" s="5" t="inlineStr">
        <is>
          <t>DES-110</t>
        </is>
      </c>
      <c r="B94" s="5" t="inlineStr">
        <is>
          <t>SWEBOK</t>
        </is>
      </c>
      <c r="C94" s="4" t="inlineStr">
        <is>
          <t>11. 品質評価・構築への引き渡し</t>
        </is>
      </c>
      <c r="D94" s="9" t="inlineStr">
        <is>
          <t>High</t>
        </is>
      </c>
      <c r="E94" s="4" t="inlineStr">
        <is>
          <t>設計レビューが実施され記録されている</t>
        </is>
      </c>
      <c r="F94" s="4" t="inlineStr">
        <is>
          <t>レビュー実施日・参加者・指摘と対応の記録が存在し、Critical/High 相当の指摘がすべてクローズされている</t>
        </is>
      </c>
      <c r="G94" s="4" t="inlineStr">
        <is>
          <t>設計レビューは完成度・要求カバレッジ・未解決問題を評価する包括的検査であり、実施記録と指摘クローズがなければ設計品質は保証されたことにならない。</t>
        </is>
      </c>
      <c r="H94" s="4" t="inlineStr">
        <is>
          <t>swebok-v4a.pdf ch03 Software Design &gt; 6.1 Design Reviews and Audits</t>
        </is>
      </c>
      <c r="I94" s="4" t="inlineStr">
        <is>
          <t>CORE</t>
        </is>
      </c>
      <c r="J94" s="4" t="inlineStr">
        <is>
          <t>原則適用。案件スコープ・成果物・規制・リスク上非該当の場合はN/A根拠を記録。</t>
        </is>
      </c>
      <c r="K94" s="4" t="inlineStr">
        <is>
          <t>SRC-SWEBOK-V4A</t>
        </is>
      </c>
      <c r="L94" s="4" t="inlineStr"/>
      <c r="M94" s="4" t="n"/>
      <c r="N94" s="4" t="n"/>
      <c r="O94" s="4" t="n"/>
      <c r="P94" s="4" t="n"/>
      <c r="Q94" s="4" t="n"/>
      <c r="R94" s="4" t="n"/>
      <c r="S94" s="4" t="n"/>
      <c r="T94" s="4" t="n"/>
      <c r="U94" s="4" t="n"/>
      <c r="V94" s="4" t="n"/>
      <c r="W94" s="4" t="n"/>
    </row>
    <row r="95">
      <c r="A95" s="5" t="inlineStr">
        <is>
          <t>DES-111</t>
        </is>
      </c>
      <c r="B95" s="5" t="inlineStr">
        <is>
          <t>SWEBOK</t>
        </is>
      </c>
      <c r="C95" s="4" t="inlineStr">
        <is>
          <t>11. 品質評価・構築への引き渡し</t>
        </is>
      </c>
      <c r="D95" s="9" t="inlineStr">
        <is>
          <t>High</t>
        </is>
      </c>
      <c r="E95" s="4" t="inlineStr">
        <is>
          <t>テスト設計への入力が揃っている</t>
        </is>
      </c>
      <c r="F95" s="4" t="inlineStr">
        <is>
          <t>設計書から、単体・結合テストのテスト観点(入出力、境界値、状態遷移、異常系)を導出できる情報が揃っている</t>
        </is>
      </c>
      <c r="G95" s="4" t="inlineStr">
        <is>
          <t>設計はテスト戦略とテストケースの基盤を提供する。検証に必要な情報が設計から導出できない(検証可能性の欠如)と、テスト設計が実装コード頼みになり設計不良を検出できない。</t>
        </is>
      </c>
      <c r="H95" s="4" t="inlineStr">
        <is>
          <t>swebok-v4a.pdf ch03 Software Design &gt; 1.4 Verifiability / 1.2 Context of Software Design(テスティングとの関係)</t>
        </is>
      </c>
      <c r="I95" s="4" t="inlineStr">
        <is>
          <t>CORE</t>
        </is>
      </c>
      <c r="J95" s="4" t="inlineStr">
        <is>
          <t>原則適用。案件スコープ・成果物・規制・リスク上非該当の場合はN/A根拠を記録。</t>
        </is>
      </c>
      <c r="K95" s="4" t="inlineStr">
        <is>
          <t>SRC-SWEBOK-V4A</t>
        </is>
      </c>
      <c r="L95" s="4" t="inlineStr"/>
      <c r="M95" s="4" t="n"/>
      <c r="N95" s="4" t="n"/>
      <c r="O95" s="4" t="n"/>
      <c r="P95" s="4" t="n"/>
      <c r="Q95" s="4" t="n"/>
      <c r="R95" s="4" t="n"/>
      <c r="S95" s="4" t="n"/>
      <c r="T95" s="4" t="n"/>
      <c r="U95" s="4" t="n"/>
      <c r="V95" s="4" t="n"/>
      <c r="W95" s="4" t="n"/>
    </row>
    <row r="96">
      <c r="A96" s="5" t="inlineStr">
        <is>
          <t>DES-112</t>
        </is>
      </c>
      <c r="B96" s="5" t="inlineStr">
        <is>
          <t>SWEBOK</t>
        </is>
      </c>
      <c r="C96" s="4" t="inlineStr">
        <is>
          <t>11. 品質評価・構築への引き渡し</t>
        </is>
      </c>
      <c r="D96" s="10" t="inlineStr">
        <is>
          <t>Medium</t>
        </is>
      </c>
      <c r="E96" s="4" t="inlineStr">
        <is>
          <t>設計品質特性の該当・非該当が判断されている</t>
        </is>
      </c>
      <c r="F96" s="4" t="inlineStr">
        <is>
          <t>並行性、分散、耐障害性、統合、セキュリティ、可変性の各特性について、該当(設計あり)/非該当(根拠あり)が明記されている</t>
        </is>
      </c>
      <c r="G96" s="4" t="inlineStr">
        <is>
          <t>SWEBOKが挙げる設計品質特性(並行性・分散・耐障害性・統合・セキュリティ・可変性)を体系的に棚卸しし、「検討し忘れた特性」による設計漏れを防ぐ。</t>
        </is>
      </c>
      <c r="H96" s="4" t="inlineStr">
        <is>
          <t>swebok-v4a.pdf ch03 Software Design &gt; 3. Software Design Qualities(3.1〜3.8)</t>
        </is>
      </c>
      <c r="I96" s="4" t="inlineStr">
        <is>
          <t>CORE</t>
        </is>
      </c>
      <c r="J96" s="4" t="inlineStr">
        <is>
          <t>原則適用。案件スコープ・成果物・規制・リスク上非該当の場合はN/A根拠を記録。</t>
        </is>
      </c>
      <c r="K96" s="4" t="inlineStr">
        <is>
          <t>SRC-SWEBOK-V4A</t>
        </is>
      </c>
      <c r="L96" s="4" t="inlineStr"/>
      <c r="M96" s="4" t="n"/>
      <c r="N96" s="4" t="n"/>
      <c r="O96" s="4" t="n"/>
      <c r="P96" s="4" t="n"/>
      <c r="Q96" s="4" t="n"/>
      <c r="R96" s="4" t="n"/>
      <c r="S96" s="4" t="n"/>
      <c r="T96" s="4" t="n"/>
      <c r="U96" s="4" t="n"/>
      <c r="V96" s="4" t="n"/>
      <c r="W96" s="4" t="n"/>
    </row>
    <row r="97">
      <c r="A97" s="5" t="inlineStr">
        <is>
          <t>DES-113</t>
        </is>
      </c>
      <c r="B97" s="5" t="inlineStr">
        <is>
          <t>SWEBOK</t>
        </is>
      </c>
      <c r="C97" s="4" t="inlineStr">
        <is>
          <t>11. 品質評価・構築への引き渡し</t>
        </is>
      </c>
      <c r="D97" s="10" t="inlineStr">
        <is>
          <t>Medium</t>
        </is>
      </c>
      <c r="E97" s="4" t="inlineStr">
        <is>
          <t>変更容易性の観点で将来変更点が識別されている</t>
        </is>
      </c>
      <c r="F97" s="4" t="inlineStr">
        <is>
          <t>変わりやすい要素(外部仕様、料率、区分値等)が識別され、設定化・局所化などの対応が設計されている</t>
        </is>
      </c>
      <c r="G97" s="4" t="inlineStr">
        <is>
          <t>可変性はほとんどのソフトウェアの基本的側面であり、変わりやすい要素を局所化しないと、小さな仕様変更のたびに広範囲の修正が必要になる。</t>
        </is>
      </c>
      <c r="H97" s="4" t="inlineStr">
        <is>
          <t>swebok-v4a.pdf ch03 Software Design &gt; 3.8 Variability / 6.2 Quality Attributes(modifiability)</t>
        </is>
      </c>
      <c r="I97" s="4" t="inlineStr">
        <is>
          <t>CORE</t>
        </is>
      </c>
      <c r="J97" s="4" t="inlineStr">
        <is>
          <t>原則適用。案件スコープ・成果物・規制・リスク上非該当の場合はN/A根拠を記録。</t>
        </is>
      </c>
      <c r="K97" s="4" t="inlineStr">
        <is>
          <t>SRC-SWEBOK-V4A</t>
        </is>
      </c>
      <c r="L97" s="4" t="inlineStr"/>
      <c r="M97" s="4" t="n"/>
      <c r="N97" s="4" t="n"/>
      <c r="O97" s="4" t="n"/>
      <c r="P97" s="4" t="n"/>
      <c r="Q97" s="4" t="n"/>
      <c r="R97" s="4" t="n"/>
      <c r="S97" s="4" t="n"/>
      <c r="T97" s="4" t="n"/>
      <c r="U97" s="4" t="n"/>
      <c r="V97" s="4" t="n"/>
      <c r="W97" s="4" t="n"/>
    </row>
    <row r="98">
      <c r="A98" s="5" t="inlineStr">
        <is>
          <t>DES-114</t>
        </is>
      </c>
      <c r="B98" s="5" t="inlineStr">
        <is>
          <t>SWEBOK</t>
        </is>
      </c>
      <c r="C98" s="4" t="inlineStr">
        <is>
          <t>11. 品質評価・構築への引き渡し</t>
        </is>
      </c>
      <c r="D98" s="11" t="inlineStr">
        <is>
          <t>Low</t>
        </is>
      </c>
      <c r="E98" s="4" t="inlineStr">
        <is>
          <t>設計メトリクスが確認されている</t>
        </is>
      </c>
      <c r="F98" s="4" t="inlineStr">
        <is>
          <t>モジュール数、依存数、画面数、API数、テーブル数等の規模が把握され、極端な偏り(1モジュールへの依存集中等)がレビューで確認されている</t>
        </is>
      </c>
      <c r="G98" s="4" t="inlineStr">
        <is>
          <t>規模・構造の測定は設計の偏り(依存集中・巨大モジュール)を定量的に可視化する。測定なしのレビューは主観に頼り、構造的な問題を見逃す。</t>
        </is>
      </c>
      <c r="H98" s="4" t="inlineStr">
        <is>
          <t>swebok-v4a.pdf ch03 Software Design &gt; 6.4 Measures and Metrics</t>
        </is>
      </c>
      <c r="I98" s="4" t="inlineStr">
        <is>
          <t>CORE</t>
        </is>
      </c>
      <c r="J98" s="4" t="inlineStr">
        <is>
          <t>原則適用。案件スコープ・成果物・規制・リスク上非該当の場合はN/A根拠を記録。</t>
        </is>
      </c>
      <c r="K98" s="4" t="inlineStr">
        <is>
          <t>SRC-SWEBOK-V4A</t>
        </is>
      </c>
      <c r="L98" s="4" t="inlineStr">
        <is>
          <t>OPS-OBSERVABILITY</t>
        </is>
      </c>
      <c r="M98" s="4" t="n"/>
      <c r="N98" s="4" t="n"/>
      <c r="O98" s="4" t="n"/>
      <c r="P98" s="4" t="n"/>
      <c r="Q98" s="4" t="n"/>
      <c r="R98" s="4" t="n"/>
      <c r="S98" s="4" t="n"/>
      <c r="T98" s="4" t="n"/>
      <c r="U98" s="4" t="n"/>
      <c r="V98" s="4" t="n"/>
      <c r="W98" s="4" t="n"/>
    </row>
  </sheetData>
  <autoFilter ref="A1:W98"/>
  <conditionalFormatting sqref="O2:O2000">
    <cfRule type="cellIs" priority="1" operator="equal" dxfId="0">
      <formula>"Fail"</formula>
    </cfRule>
    <cfRule type="cellIs" priority="2" operator="equal" dxfId="1">
      <formula>"Pass"</formula>
    </cfRule>
    <cfRule type="cellIs" priority="4" operator="equal" dxfId="0">
      <formula>"Fail"</formula>
    </cfRule>
    <cfRule type="cellIs" priority="5" operator="equal" dxfId="1">
      <formula>"Pass"</formula>
    </cfRule>
    <cfRule type="cellIs" priority="7" operator="equal" dxfId="0">
      <formula>"Fail"</formula>
    </cfRule>
    <cfRule type="cellIs" priority="8" operator="equal" dxfId="1">
      <formula>"Pass"</formula>
    </cfRule>
    <cfRule type="cellIs" priority="10" operator="equal" dxfId="0">
      <formula>"Fail"</formula>
    </cfRule>
    <cfRule type="cellIs" priority="11" operator="equal" dxfId="1">
      <formula>"Pass"</formula>
    </cfRule>
    <cfRule type="cellIs" priority="13" operator="equal" dxfId="0">
      <formula>"Fail"</formula>
    </cfRule>
    <cfRule type="cellIs" priority="14" operator="equal" dxfId="1">
      <formula>"Pass"</formula>
    </cfRule>
  </conditionalFormatting>
  <conditionalFormatting sqref="N2:N2000">
    <cfRule type="cellIs" priority="3" operator="equal" dxfId="2">
      <formula>"N/A"</formula>
    </cfRule>
    <cfRule type="cellIs" priority="6" operator="equal" dxfId="2">
      <formula>"N/A"</formula>
    </cfRule>
    <cfRule type="cellIs" priority="9" operator="equal" dxfId="2">
      <formula>"N/A"</formula>
    </cfRule>
    <cfRule type="cellIs" priority="12" operator="equal" dxfId="2">
      <formula>"N/A"</formula>
    </cfRule>
    <cfRule type="cellIs" priority="15" operator="equal" dxfId="2">
      <formula>"N/A"</formula>
    </cfRule>
  </conditionalFormatting>
  <dataValidations count="20">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s>
  <pageMargins left="0.75" right="0.75" top="1" bottom="1" header="0.5" footer="0.5"/>
  <pageSetup orientation="landscape" fitToWidth="1"/>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W86"/>
  <sheetViews>
    <sheetView workbookViewId="0">
      <pane xSplit="4" ySplit="1" topLeftCell="E2"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4" customWidth="1" min="1" max="1"/>
    <col width="14" customWidth="1" min="2" max="2"/>
    <col width="28" customWidth="1" min="3" max="3"/>
    <col width="12" customWidth="1" min="4" max="4"/>
    <col width="46" customWidth="1" min="5" max="5"/>
    <col width="52" customWidth="1" min="6" max="6"/>
    <col width="48" customWidth="1" min="7" max="7"/>
    <col width="46" customWidth="1" min="8" max="8"/>
    <col width="18" customWidth="1" min="9" max="9"/>
    <col width="38" customWidth="1" min="10" max="10"/>
    <col width="28" customWidth="1" min="11" max="11"/>
    <col width="25" customWidth="1" min="12" max="12"/>
    <col width="13" customWidth="1" min="13" max="13"/>
    <col width="12" customWidth="1" min="14" max="14"/>
    <col width="12" customWidth="1" min="15" max="15"/>
    <col width="38" customWidth="1" min="16" max="16"/>
    <col width="24" customWidth="1" min="17" max="17"/>
    <col width="30" customWidth="1" min="18" max="18"/>
    <col width="23" customWidth="1" min="19" max="19"/>
    <col width="15" customWidth="1" min="20" max="20"/>
    <col width="18" customWidth="1" min="21" max="21"/>
    <col width="15" customWidth="1" min="22" max="22"/>
    <col width="15" customWidth="1" min="23" max="23"/>
  </cols>
  <sheetData>
    <row r="1">
      <c r="A1" s="3" t="inlineStr">
        <is>
          <t>ID</t>
        </is>
      </c>
      <c r="B1" s="3" t="inlineStr">
        <is>
          <t>区分</t>
        </is>
      </c>
      <c r="C1" s="3" t="inlineStr">
        <is>
          <t>カテゴリ</t>
        </is>
      </c>
      <c r="D1" s="3" t="inlineStr">
        <is>
          <t>基準重要度</t>
        </is>
      </c>
      <c r="E1" s="3" t="inlineStr">
        <is>
          <t>チェック項目</t>
        </is>
      </c>
      <c r="F1" s="3" t="inlineStr">
        <is>
          <t>合格基準</t>
        </is>
      </c>
      <c r="G1" s="3" t="inlineStr">
        <is>
          <t>意図(なぜ確認するか)</t>
        </is>
      </c>
      <c r="H1" s="3" t="inlineStr">
        <is>
          <t>対象ドキュメント(参照箇所)</t>
        </is>
      </c>
      <c r="I1" s="21" t="inlineStr">
        <is>
          <t>適用プロファイル</t>
        </is>
      </c>
      <c r="J1" s="21" t="inlineStr">
        <is>
          <t>適用条件</t>
        </is>
      </c>
      <c r="K1" s="21" t="inlineStr">
        <is>
          <t>出典ID</t>
        </is>
      </c>
      <c r="L1" s="21" t="inlineStr">
        <is>
          <t>重複統制グループ</t>
        </is>
      </c>
      <c r="M1" s="21" t="inlineStr">
        <is>
          <t>案件重要度</t>
        </is>
      </c>
      <c r="N1" s="21" t="inlineStr">
        <is>
          <t>適用判定</t>
        </is>
      </c>
      <c r="O1" s="21" t="inlineStr">
        <is>
          <t>判定</t>
        </is>
      </c>
      <c r="P1" s="21" t="inlineStr">
        <is>
          <t>証跡・参照箇所</t>
        </is>
      </c>
      <c r="Q1" s="21" t="inlineStr">
        <is>
          <t>指摘・Issue ID</t>
        </is>
      </c>
      <c r="R1" s="21" t="inlineStr">
        <is>
          <t>対応方針</t>
        </is>
      </c>
      <c r="S1" s="21" t="inlineStr">
        <is>
          <t>例外・リスク受容承認者</t>
        </is>
      </c>
      <c r="T1" s="21" t="inlineStr">
        <is>
          <t>是正期限</t>
        </is>
      </c>
      <c r="U1" s="21" t="inlineStr">
        <is>
          <t>レビュアー</t>
        </is>
      </c>
      <c r="V1" s="21" t="inlineStr">
        <is>
          <t>レビュー日</t>
        </is>
      </c>
      <c r="W1" s="21" t="inlineStr">
        <is>
          <t>再確認結果</t>
        </is>
      </c>
    </row>
    <row r="2">
      <c r="A2" s="5" t="inlineStr">
        <is>
          <t>CON-001</t>
        </is>
      </c>
      <c r="B2" s="5" t="inlineStr">
        <is>
          <t>SWEBOK</t>
        </is>
      </c>
      <c r="C2" s="4" t="inlineStr">
        <is>
          <t>1. 複雑性の最小化(SWEBOK 4-1.1, 4-3.1)</t>
        </is>
      </c>
      <c r="D2" s="9" t="inlineStr">
        <is>
          <t>High</t>
        </is>
      </c>
      <c r="E2" s="4" t="inlineStr">
        <is>
          <t>関数・メソッドの循環的複雑度が規定内である</t>
        </is>
      </c>
      <c r="F2" s="4" t="inlineStr">
        <is>
          <t>循環的複雑度が規約の上限(未規定なら10)以下。超える関数には静的解析設定上の明示的な除外理由がある</t>
        </is>
      </c>
      <c r="G2" s="4" t="inlineStr">
        <is>
          <t>複雑度の高い関数はテストパス数が爆発し、理解・修正時の欠陥混入率が上がる。数値基準で機械的に検出し、レビューの主観に依存した見逃しを防ぐ。</t>
        </is>
      </c>
      <c r="H2" s="4" t="inlineStr">
        <is>
          <t>swebok-v4a.pdf ch04 Software Construction &gt; 4-1.1 Minimizing Complexity(McCabe循環的複雑度)</t>
        </is>
      </c>
      <c r="I2" s="4" t="inlineStr">
        <is>
          <t>CORE</t>
        </is>
      </c>
      <c r="J2" s="4" t="inlineStr">
        <is>
          <t>原則適用。案件スコープ・成果物・規制・リスク上非該当の場合はN/A根拠を記録。</t>
        </is>
      </c>
      <c r="K2" s="4" t="inlineStr">
        <is>
          <t>SRC-SWEBOK-V4A</t>
        </is>
      </c>
      <c r="L2" s="4" t="inlineStr"/>
      <c r="M2" s="4" t="n"/>
      <c r="N2" s="4" t="n"/>
      <c r="O2" s="4" t="n"/>
      <c r="P2" s="4" t="n"/>
      <c r="Q2" s="4" t="n"/>
      <c r="R2" s="4" t="n"/>
      <c r="S2" s="4" t="n"/>
      <c r="T2" s="4" t="n"/>
      <c r="U2" s="4" t="n"/>
      <c r="V2" s="4" t="n"/>
      <c r="W2" s="4" t="n"/>
    </row>
    <row r="3">
      <c r="A3" s="5" t="inlineStr">
        <is>
          <t>CON-002</t>
        </is>
      </c>
      <c r="B3" s="5" t="inlineStr">
        <is>
          <t>SWEBOK</t>
        </is>
      </c>
      <c r="C3" s="4" t="inlineStr">
        <is>
          <t>1. 複雑性の最小化(SWEBOK 4-1.1, 4-3.1)</t>
        </is>
      </c>
      <c r="D3" s="9" t="inlineStr">
        <is>
          <t>High</t>
        </is>
      </c>
      <c r="E3" s="4" t="inlineStr">
        <is>
          <t>関数が単一の責務を持つ</t>
        </is>
      </c>
      <c r="F3" s="4" t="inlineStr">
        <is>
          <t>関数名が「動詞+目的語」1つで説明でき、抽象度の異なる処理(入出力・業務ロジック・整形等)が1関数に混在していない</t>
        </is>
      </c>
      <c r="G3" s="4" t="inlineStr">
        <is>
          <t>複数責務が混在した関数は変更時の影響範囲が読めず、片方の修正がもう片方を壊す退行を生む。責務単位の分割で変更とテストの単位を小さく保つ。</t>
        </is>
      </c>
      <c r="H3" s="4" t="inlineStr">
        <is>
          <t>swebok-v4a.pdf ch04 Software Construction &gt; 4-1.1 Minimizing Complexity / 4-3.1 Construction Design</t>
        </is>
      </c>
      <c r="I3" s="4" t="inlineStr">
        <is>
          <t>CORE</t>
        </is>
      </c>
      <c r="J3" s="4" t="inlineStr">
        <is>
          <t>原則適用。案件スコープ・成果物・規制・リスク上非該当の場合はN/A根拠を記録。</t>
        </is>
      </c>
      <c r="K3" s="4" t="inlineStr">
        <is>
          <t>SRC-SWEBOK-V4A</t>
        </is>
      </c>
      <c r="L3" s="4" t="inlineStr"/>
      <c r="M3" s="4" t="n"/>
      <c r="N3" s="4" t="n"/>
      <c r="O3" s="4" t="n"/>
      <c r="P3" s="4" t="n"/>
      <c r="Q3" s="4" t="n"/>
      <c r="R3" s="4" t="n"/>
      <c r="S3" s="4" t="n"/>
      <c r="T3" s="4" t="n"/>
      <c r="U3" s="4" t="n"/>
      <c r="V3" s="4" t="n"/>
      <c r="W3" s="4" t="n"/>
    </row>
    <row r="4">
      <c r="A4" s="5" t="inlineStr">
        <is>
          <t>CON-003</t>
        </is>
      </c>
      <c r="B4" s="5" t="inlineStr">
        <is>
          <t>SWEBOK</t>
        </is>
      </c>
      <c r="C4" s="4" t="inlineStr">
        <is>
          <t>1. 複雑性の最小化(SWEBOK 4-1.1, 4-3.1)</t>
        </is>
      </c>
      <c r="D4" s="10" t="inlineStr">
        <is>
          <t>Medium</t>
        </is>
      </c>
      <c r="E4" s="4" t="inlineStr">
        <is>
          <t>ネストの深さが規定内である</t>
        </is>
      </c>
      <c r="F4" s="4" t="inlineStr">
        <is>
          <t>条件分岐・ループのネストが4段以下。深いネストは早期return・関数抽出で平坦化されている</t>
        </is>
      </c>
      <c r="G4" s="4" t="inlineStr">
        <is>
          <t>深いネストは人間のワーキングメモリの限界を超え、条件の組み合わせ漏れ(特に異常系)がレビューをすり抜ける原因になる。</t>
        </is>
      </c>
      <c r="H4" s="4" t="inlineStr">
        <is>
          <t>swebok-v4a.pdf ch04 Software Construction &gt; 4-1.1 Minimizing Complexity / 4-3.3 Coding(制御構造の使用)</t>
        </is>
      </c>
      <c r="I4" s="4" t="inlineStr">
        <is>
          <t>CORE</t>
        </is>
      </c>
      <c r="J4" s="4" t="inlineStr">
        <is>
          <t>原則適用。案件スコープ・成果物・規制・リスク上非該当の場合はN/A根拠を記録。</t>
        </is>
      </c>
      <c r="K4" s="4" t="inlineStr">
        <is>
          <t>SRC-SWEBOK-V4A</t>
        </is>
      </c>
      <c r="L4" s="4" t="inlineStr"/>
      <c r="M4" s="4" t="n"/>
      <c r="N4" s="4" t="n"/>
      <c r="O4" s="4" t="n"/>
      <c r="P4" s="4" t="n"/>
      <c r="Q4" s="4" t="n"/>
      <c r="R4" s="4" t="n"/>
      <c r="S4" s="4" t="n"/>
      <c r="T4" s="4" t="n"/>
      <c r="U4" s="4" t="n"/>
      <c r="V4" s="4" t="n"/>
      <c r="W4" s="4" t="n"/>
    </row>
    <row r="5">
      <c r="A5" s="5" t="inlineStr">
        <is>
          <t>CON-004</t>
        </is>
      </c>
      <c r="B5" s="5" t="inlineStr">
        <is>
          <t>SWEBOK</t>
        </is>
      </c>
      <c r="C5" s="4" t="inlineStr">
        <is>
          <t>1. 複雑性の最小化(SWEBOK 4-1.1, 4-3.1)</t>
        </is>
      </c>
      <c r="D5" s="10" t="inlineStr">
        <is>
          <t>Medium</t>
        </is>
      </c>
      <c r="E5" s="4" t="inlineStr">
        <is>
          <t>関数の長さが読解可能な範囲である</t>
        </is>
      </c>
      <c r="F5" s="4" t="inlineStr">
        <is>
          <t>1関数がおおむね50行(規約に規定があればその値)以下。超える場合は分割不能な理由がコメントかレビュー記録にある</t>
        </is>
      </c>
      <c r="G5" s="4" t="inlineStr">
        <is>
          <t>画面に収まらない長大関数は全体の把握が不可能になり、修正時に離れた行間の暗黙の依存を壊す事故を招く。</t>
        </is>
      </c>
      <c r="H5" s="4" t="inlineStr">
        <is>
          <t>swebok-v4a.pdf ch04 Software Construction &gt; 4-1.1 Minimizing Complexity / 4-3.3 Coding(ルーチンへの構成)</t>
        </is>
      </c>
      <c r="I5" s="4" t="inlineStr">
        <is>
          <t>CORE</t>
        </is>
      </c>
      <c r="J5" s="4" t="inlineStr">
        <is>
          <t>原則適用。案件スコープ・成果物・規制・リスク上非該当の場合はN/A根拠を記録。</t>
        </is>
      </c>
      <c r="K5" s="4" t="inlineStr">
        <is>
          <t>SRC-SWEBOK-V4A</t>
        </is>
      </c>
      <c r="L5" s="4" t="inlineStr"/>
      <c r="M5" s="4" t="n"/>
      <c r="N5" s="4" t="n"/>
      <c r="O5" s="4" t="n"/>
      <c r="P5" s="4" t="n"/>
      <c r="Q5" s="4" t="n"/>
      <c r="R5" s="4" t="n"/>
      <c r="S5" s="4" t="n"/>
      <c r="T5" s="4" t="n"/>
      <c r="U5" s="4" t="n"/>
      <c r="V5" s="4" t="n"/>
      <c r="W5" s="4" t="n"/>
    </row>
    <row r="6">
      <c r="A6" s="5" t="inlineStr">
        <is>
          <t>CON-005</t>
        </is>
      </c>
      <c r="B6" s="5" t="inlineStr">
        <is>
          <t>SWEBOK</t>
        </is>
      </c>
      <c r="C6" s="4" t="inlineStr">
        <is>
          <t>1. 複雑性の最小化(SWEBOK 4-1.1, 4-3.1)</t>
        </is>
      </c>
      <c r="D6" s="9" t="inlineStr">
        <is>
          <t>High</t>
        </is>
      </c>
      <c r="E6" s="4" t="inlineStr">
        <is>
          <t>重複コードがない</t>
        </is>
      </c>
      <c r="F6" s="4" t="inlineStr">
        <is>
          <t>同一・準同一のロジック(数行以上)が2箇所以上にコピーされていない。共通化されているか、重複を許容する明示的理由がある</t>
        </is>
      </c>
      <c r="G6" s="4" t="inlineStr">
        <is>
          <t>コードクローンは一方だけ修正される「片修正」バグの温床であり、SWEBOKも再利用可能な断片のライブラリ化によるクローン回避を明示している。</t>
        </is>
      </c>
      <c r="H6" s="4" t="inlineStr">
        <is>
          <t>swebok-v4a.pdf ch04 Software Construction &gt; 4-1.4 Reusing Assets / 4-3.5 Reuse in Construction(コードクローン問題)</t>
        </is>
      </c>
      <c r="I6" s="4" t="inlineStr">
        <is>
          <t>CORE</t>
        </is>
      </c>
      <c r="J6" s="4" t="inlineStr">
        <is>
          <t>原則適用。案件スコープ・成果物・規制・リスク上非該当の場合はN/A根拠を記録。</t>
        </is>
      </c>
      <c r="K6" s="4" t="inlineStr">
        <is>
          <t>SRC-SWEBOK-V4A</t>
        </is>
      </c>
      <c r="L6" s="4" t="inlineStr"/>
      <c r="M6" s="4" t="n"/>
      <c r="N6" s="4" t="n"/>
      <c r="O6" s="4" t="n"/>
      <c r="P6" s="4" t="n"/>
      <c r="Q6" s="4" t="n"/>
      <c r="R6" s="4" t="n"/>
      <c r="S6" s="4" t="n"/>
      <c r="T6" s="4" t="n"/>
      <c r="U6" s="4" t="n"/>
      <c r="V6" s="4" t="n"/>
      <c r="W6" s="4" t="n"/>
    </row>
    <row r="7">
      <c r="A7" s="5" t="inlineStr">
        <is>
          <t>CON-006</t>
        </is>
      </c>
      <c r="B7" s="5" t="inlineStr">
        <is>
          <t>SWEBOK</t>
        </is>
      </c>
      <c r="C7" s="4" t="inlineStr">
        <is>
          <t>1. 複雑性の最小化(SWEBOK 4-1.1, 4-3.1)</t>
        </is>
      </c>
      <c r="D7" s="10" t="inlineStr">
        <is>
          <t>Medium</t>
        </is>
      </c>
      <c r="E7" s="4" t="inlineStr">
        <is>
          <t>引数の数が抑制されている</t>
        </is>
      </c>
      <c r="F7" s="4" t="inlineStr">
        <is>
          <t>関数の引数が5個以下。超える場合はパラメータオブジェクト等に集約されている</t>
        </is>
      </c>
      <c r="G7" s="4" t="inlineStr">
        <is>
          <t>引数が多い関数は呼び出し側で順序取り違え・意味の誤解を誘発し、責務過多のシグナルでもある。凝集した型への集約で誤用を構造的に防ぐ。</t>
        </is>
      </c>
      <c r="H7" s="4" t="inlineStr">
        <is>
          <t>swebok-v4a.pdf ch04 Software Construction &gt; 4-1.1 Minimizing Complexity / 4-4.1 API Design and Use(誤用しにくい設計)</t>
        </is>
      </c>
      <c r="I7" s="4" t="inlineStr">
        <is>
          <t>CORE</t>
        </is>
      </c>
      <c r="J7" s="4" t="inlineStr">
        <is>
          <t>原則適用。案件スコープ・成果物・規制・リスク上非該当の場合はN/A根拠を記録。</t>
        </is>
      </c>
      <c r="K7" s="4" t="inlineStr">
        <is>
          <t>SRC-SWEBOK-V4A</t>
        </is>
      </c>
      <c r="L7" s="4" t="inlineStr"/>
      <c r="M7" s="4" t="n"/>
      <c r="N7" s="4" t="n"/>
      <c r="O7" s="4" t="n"/>
      <c r="P7" s="4" t="n"/>
      <c r="Q7" s="4" t="n"/>
      <c r="R7" s="4" t="n"/>
      <c r="S7" s="4" t="n"/>
      <c r="T7" s="4" t="n"/>
      <c r="U7" s="4" t="n"/>
      <c r="V7" s="4" t="n"/>
      <c r="W7" s="4" t="n"/>
    </row>
    <row r="8">
      <c r="A8" s="5" t="inlineStr">
        <is>
          <t>CON-007</t>
        </is>
      </c>
      <c r="B8" s="5" t="inlineStr">
        <is>
          <t>SWEBOK</t>
        </is>
      </c>
      <c r="C8" s="4" t="inlineStr">
        <is>
          <t>1. 複雑性の最小化(SWEBOK 4-1.1, 4-3.1)</t>
        </is>
      </c>
      <c r="D8" s="11" t="inlineStr">
        <is>
          <t>Low</t>
        </is>
      </c>
      <c r="E8" s="4" t="inlineStr">
        <is>
          <t>マジックナンバー・マジック文字列がない</t>
        </is>
      </c>
      <c r="F8" s="4" t="inlineStr">
        <is>
          <t>リテラル値(0/1/空文字と自明な値を除く)が名前付き定数・設定値として定義されている</t>
        </is>
      </c>
      <c r="G8" s="4" t="inlineStr">
        <is>
          <t>裸のリテラルは意味と変更箇所が追えず、仕様変更時の修正漏れ・二重管理を生む。名前付き定数化で意図と変更点を一元化する。</t>
        </is>
      </c>
      <c r="H8" s="4" t="inlineStr">
        <is>
          <t>swebok-v4a.pdf ch04 Software Construction &gt; 4-3.3 Coding(名前付き定数等の使用)</t>
        </is>
      </c>
      <c r="I8" s="4" t="inlineStr">
        <is>
          <t>CORE</t>
        </is>
      </c>
      <c r="J8" s="4" t="inlineStr">
        <is>
          <t>原則適用。案件スコープ・成果物・規制・リスク上非該当の場合はN/A根拠を記録。</t>
        </is>
      </c>
      <c r="K8" s="4" t="inlineStr">
        <is>
          <t>SRC-SWEBOK-V4A</t>
        </is>
      </c>
      <c r="L8" s="4" t="inlineStr"/>
      <c r="M8" s="4" t="n"/>
      <c r="N8" s="4" t="n"/>
      <c r="O8" s="4" t="n"/>
      <c r="P8" s="4" t="n"/>
      <c r="Q8" s="4" t="n"/>
      <c r="R8" s="4" t="n"/>
      <c r="S8" s="4" t="n"/>
      <c r="T8" s="4" t="n"/>
      <c r="U8" s="4" t="n"/>
      <c r="V8" s="4" t="n"/>
      <c r="W8" s="4" t="n"/>
    </row>
    <row r="9">
      <c r="A9" s="5" t="inlineStr">
        <is>
          <t>CON-010</t>
        </is>
      </c>
      <c r="B9" s="5" t="inlineStr">
        <is>
          <t>SWEBOK</t>
        </is>
      </c>
      <c r="C9" s="4" t="inlineStr">
        <is>
          <t>2. 命名とコーディング規約(SWEBOK 4-1.5, 4-3.3)</t>
        </is>
      </c>
      <c r="D9" s="8" t="inlineStr">
        <is>
          <t>Critical</t>
        </is>
      </c>
      <c r="E9" s="4" t="inlineStr">
        <is>
          <t>コーディング規約が存在し機械的に適用されている</t>
        </is>
      </c>
      <c r="F9" s="4" t="inlineStr">
        <is>
          <t>規約文書があり、リンタ・フォーマッタの設定ファイルがリポジトリに存在し、CIで実行されている</t>
        </is>
      </c>
      <c r="G9" s="4" t="inlineStr">
        <is>
          <t>規約が文書だけで自動適用されないと、レビューがスタイル指摘で浪費され、指摘のばらつきがチーム摩擦と品質のムラを生む。機械化で人間のレビューを設計・ロジックに集中させる。</t>
        </is>
      </c>
      <c r="H9" s="4" t="inlineStr">
        <is>
          <t>swebok-v4a.pdf ch04 Software Construction &gt; 4-1.5 Applying Standards in Construction(コーディング標準)</t>
        </is>
      </c>
      <c r="I9" s="4" t="inlineStr">
        <is>
          <t>CORE</t>
        </is>
      </c>
      <c r="J9" s="4" t="inlineStr">
        <is>
          <t>原則適用。案件スコープ・成果物・規制・リスク上非該当の場合はN/A根拠を記録。</t>
        </is>
      </c>
      <c r="K9" s="4" t="inlineStr">
        <is>
          <t>SRC-SWEBOK-V4A</t>
        </is>
      </c>
      <c r="L9" s="4" t="inlineStr"/>
      <c r="M9" s="4" t="n"/>
      <c r="N9" s="4" t="n"/>
      <c r="O9" s="4" t="n"/>
      <c r="P9" s="4" t="n"/>
      <c r="Q9" s="4" t="n"/>
      <c r="R9" s="4" t="n"/>
      <c r="S9" s="4" t="n"/>
      <c r="T9" s="4" t="n"/>
      <c r="U9" s="4" t="n"/>
      <c r="V9" s="4" t="n"/>
      <c r="W9" s="4" t="n"/>
    </row>
    <row r="10">
      <c r="A10" s="5" t="inlineStr">
        <is>
          <t>CON-011</t>
        </is>
      </c>
      <c r="B10" s="5" t="inlineStr">
        <is>
          <t>SWEBOK</t>
        </is>
      </c>
      <c r="C10" s="4" t="inlineStr">
        <is>
          <t>2. 命名とコーディング規約(SWEBOK 4-1.5, 4-3.3)</t>
        </is>
      </c>
      <c r="D10" s="9" t="inlineStr">
        <is>
          <t>High</t>
        </is>
      </c>
      <c r="E10" s="4" t="inlineStr">
        <is>
          <t>命名規則が規約と一致している</t>
        </is>
      </c>
      <c r="F10" s="4" t="inlineStr">
        <is>
          <t>型・関数・変数・定数・ファイル名が規約の命名規則(ケース規約・接頭辞等)に100%一致している</t>
        </is>
      </c>
      <c r="G10" s="4" t="inlineStr">
        <is>
          <t>命名規則の不統一はコード検索・自動リファクタリングの妨げとなり、読み手に「これは別物か」という誤った推測をさせる。</t>
        </is>
      </c>
      <c r="H10" s="4" t="inlineStr">
        <is>
          <t>swebok-v4a.pdf ch04 Software Construction &gt; 4-1.5 Applying Standards in Construction / 4-3.3 Coding(命名規約)</t>
        </is>
      </c>
      <c r="I10" s="4" t="inlineStr">
        <is>
          <t>CORE</t>
        </is>
      </c>
      <c r="J10" s="4" t="inlineStr">
        <is>
          <t>原則適用。案件スコープ・成果物・規制・リスク上非該当の場合はN/A根拠を記録。</t>
        </is>
      </c>
      <c r="K10" s="4" t="inlineStr">
        <is>
          <t>SRC-SWEBOK-V4A</t>
        </is>
      </c>
      <c r="L10" s="4" t="inlineStr"/>
      <c r="M10" s="4" t="n"/>
      <c r="N10" s="4" t="n"/>
      <c r="O10" s="4" t="n"/>
      <c r="P10" s="4" t="n"/>
      <c r="Q10" s="4" t="n"/>
      <c r="R10" s="4" t="n"/>
      <c r="S10" s="4" t="n"/>
      <c r="T10" s="4" t="n"/>
      <c r="U10" s="4" t="n"/>
      <c r="V10" s="4" t="n"/>
      <c r="W10" s="4" t="n"/>
    </row>
    <row r="11">
      <c r="A11" s="5" t="inlineStr">
        <is>
          <t>CON-012</t>
        </is>
      </c>
      <c r="B11" s="5" t="inlineStr">
        <is>
          <t>SWEBOK</t>
        </is>
      </c>
      <c r="C11" s="4" t="inlineStr">
        <is>
          <t>2. 命名とコーディング規約(SWEBOK 4-1.5, 4-3.3)</t>
        </is>
      </c>
      <c r="D11" s="9" t="inlineStr">
        <is>
          <t>High</t>
        </is>
      </c>
      <c r="E11" s="4" t="inlineStr">
        <is>
          <t>名前が意図を表している</t>
        </is>
      </c>
      <c r="F11" s="4" t="inlineStr">
        <is>
          <t>変数・関数名から役割が読み取れる(`data`, `tmp`, `flag`, `doProcess` のような無情報名が新規コードにない)</t>
        </is>
      </c>
      <c r="G11" s="4" t="inlineStr">
        <is>
          <t>無情報名は読み手に実装を全読させるコストを課し、変数の役割の誤解による誤修正を招く。名前だけで意図が伝わればレビューと保守が速くなる。</t>
        </is>
      </c>
      <c r="H11" s="4" t="inlineStr">
        <is>
          <t>swebok-v4a.pdf ch04 Software Construction &gt; 4-3.3 Coding(理解可能なソースコード作成技法)</t>
        </is>
      </c>
      <c r="I11" s="4" t="inlineStr">
        <is>
          <t>CORE</t>
        </is>
      </c>
      <c r="J11" s="4" t="inlineStr">
        <is>
          <t>原則適用。案件スコープ・成果物・規制・リスク上非該当の場合はN/A根拠を記録。</t>
        </is>
      </c>
      <c r="K11" s="4" t="inlineStr">
        <is>
          <t>SRC-SWEBOK-V4A</t>
        </is>
      </c>
      <c r="L11" s="4" t="inlineStr"/>
      <c r="M11" s="4" t="n"/>
      <c r="N11" s="4" t="n"/>
      <c r="O11" s="4" t="n"/>
      <c r="P11" s="4" t="n"/>
      <c r="Q11" s="4" t="n"/>
      <c r="R11" s="4" t="n"/>
      <c r="S11" s="4" t="n"/>
      <c r="T11" s="4" t="n"/>
      <c r="U11" s="4" t="n"/>
      <c r="V11" s="4" t="n"/>
      <c r="W11" s="4" t="n"/>
    </row>
    <row r="12">
      <c r="A12" s="5" t="inlineStr">
        <is>
          <t>CON-013</t>
        </is>
      </c>
      <c r="B12" s="5" t="inlineStr">
        <is>
          <t>SWEBOK</t>
        </is>
      </c>
      <c r="C12" s="4" t="inlineStr">
        <is>
          <t>2. 命名とコーディング規約(SWEBOK 4-1.5, 4-3.3)</t>
        </is>
      </c>
      <c r="D12" s="10" t="inlineStr">
        <is>
          <t>Medium</t>
        </is>
      </c>
      <c r="E12" s="4" t="inlineStr">
        <is>
          <t>名前の一貫性がある</t>
        </is>
      </c>
      <c r="F12" s="4" t="inlineStr">
        <is>
          <t>同一概念に同一の語が使われている(例: 取得を get/fetch/retrieve と混在させていない)。対義語ペア(open/close, begin/end)が対応している</t>
        </is>
      </c>
      <c r="G12" s="4" t="inlineStr">
        <is>
          <t>同一概念への異なる語の混在は「別の振る舞いがあるのでは」という誤読を誘い、grep漏れによる修正漏れも起こす。</t>
        </is>
      </c>
      <c r="H12" s="4" t="inlineStr">
        <is>
          <t>swebok-v4a.pdf ch04 Software Construction &gt; 4-3.3 Coding(命名規約)</t>
        </is>
      </c>
      <c r="I12" s="4" t="inlineStr">
        <is>
          <t>CORE</t>
        </is>
      </c>
      <c r="J12" s="4" t="inlineStr">
        <is>
          <t>原則適用。案件スコープ・成果物・規制・リスク上非該当の場合はN/A根拠を記録。</t>
        </is>
      </c>
      <c r="K12" s="4" t="inlineStr">
        <is>
          <t>SRC-SWEBOK-V4A</t>
        </is>
      </c>
      <c r="L12" s="4" t="inlineStr"/>
      <c r="M12" s="4" t="n"/>
      <c r="N12" s="4" t="n"/>
      <c r="O12" s="4" t="n"/>
      <c r="P12" s="4" t="n"/>
      <c r="Q12" s="4" t="n"/>
      <c r="R12" s="4" t="n"/>
      <c r="S12" s="4" t="n"/>
      <c r="T12" s="4" t="n"/>
      <c r="U12" s="4" t="n"/>
      <c r="V12" s="4" t="n"/>
      <c r="W12" s="4" t="n"/>
    </row>
    <row r="13">
      <c r="A13" s="5" t="inlineStr">
        <is>
          <t>CON-014</t>
        </is>
      </c>
      <c r="B13" s="5" t="inlineStr">
        <is>
          <t>SWEBOK</t>
        </is>
      </c>
      <c r="C13" s="4" t="inlineStr">
        <is>
          <t>2. 命名とコーディング規約(SWEBOK 4-1.5, 4-3.3)</t>
        </is>
      </c>
      <c r="D13" s="10" t="inlineStr">
        <is>
          <t>Medium</t>
        </is>
      </c>
      <c r="E13" s="4" t="inlineStr">
        <is>
          <t>略語・造語が管理されている</t>
        </is>
      </c>
      <c r="F13" s="4" t="inlineStr">
        <is>
          <t>使用される略語がプロジェクトの用語集または規約に定義されているか、ドメインで周知のもの(ID, URL 等)に限られる</t>
        </is>
      </c>
      <c r="G13" s="4" t="inlineStr">
        <is>
          <t>未定義の略語・造語は新規参画者の理解を阻害し、同じ概念に別名が増殖して用語の分裂を招く。</t>
        </is>
      </c>
      <c r="H13" s="4" t="inlineStr">
        <is>
          <t>swebok-v4a.pdf ch04 Software Construction &gt; 4-1.5 Applying Standards in Construction(コミュニケーション標準)</t>
        </is>
      </c>
      <c r="I13" s="4" t="inlineStr">
        <is>
          <t>CORE</t>
        </is>
      </c>
      <c r="J13" s="4" t="inlineStr">
        <is>
          <t>原則適用。案件スコープ・成果物・規制・リスク上非該当の場合はN/A根拠を記録。</t>
        </is>
      </c>
      <c r="K13" s="4" t="inlineStr">
        <is>
          <t>SRC-SWEBOK-V4A</t>
        </is>
      </c>
      <c r="L13" s="4" t="inlineStr"/>
      <c r="M13" s="4" t="n"/>
      <c r="N13" s="4" t="n"/>
      <c r="O13" s="4" t="n"/>
      <c r="P13" s="4" t="n"/>
      <c r="Q13" s="4" t="n"/>
      <c r="R13" s="4" t="n"/>
      <c r="S13" s="4" t="n"/>
      <c r="T13" s="4" t="n"/>
      <c r="U13" s="4" t="n"/>
      <c r="V13" s="4" t="n"/>
      <c r="W13" s="4" t="n"/>
    </row>
    <row r="14">
      <c r="A14" s="5" t="inlineStr">
        <is>
          <t>CON-015</t>
        </is>
      </c>
      <c r="B14" s="5" t="inlineStr">
        <is>
          <t>SWEBOK</t>
        </is>
      </c>
      <c r="C14" s="4" t="inlineStr">
        <is>
          <t>2. 命名とコーディング規約(SWEBOK 4-1.5, 4-3.3)</t>
        </is>
      </c>
      <c r="D14" s="11" t="inlineStr">
        <is>
          <t>Low</t>
        </is>
      </c>
      <c r="E14" s="4" t="inlineStr">
        <is>
          <t>コメントアウトされた死コードがない</t>
        </is>
      </c>
      <c r="F14" s="4" t="inlineStr">
        <is>
          <t>コメントアウトされたコード塊、到達不能コード、未使用の関数・変数・importが残っていない</t>
        </is>
      </c>
      <c r="G14" s="4" t="inlineStr">
        <is>
          <t>死コードは「まだ使われているのでは」という調査コストを発生させ続け、誤って復活・参照されると古いロジックによる欠陥を生む。履歴はVCSにあるため残す理由がない。</t>
        </is>
      </c>
      <c r="H14" s="4" t="inlineStr">
        <is>
          <t>swebok-v4a.pdf ch04 Software Construction &gt; 4-1.1 Minimizing Complexity(実務補完: リーダブルコード慣行)</t>
        </is>
      </c>
      <c r="I14" s="4" t="inlineStr">
        <is>
          <t>CORE</t>
        </is>
      </c>
      <c r="J14" s="4" t="inlineStr">
        <is>
          <t>原則適用。案件スコープ・成果物・規制・リスク上非該当の場合はN/A根拠を記録。</t>
        </is>
      </c>
      <c r="K14" s="4" t="inlineStr">
        <is>
          <t>SRC-SWEBOK-V4A;SRC-PRACTICE</t>
        </is>
      </c>
      <c r="L14" s="4" t="inlineStr"/>
      <c r="M14" s="4" t="n"/>
      <c r="N14" s="4" t="n"/>
      <c r="O14" s="4" t="n"/>
      <c r="P14" s="4" t="n"/>
      <c r="Q14" s="4" t="n"/>
      <c r="R14" s="4" t="n"/>
      <c r="S14" s="4" t="n"/>
      <c r="T14" s="4" t="n"/>
      <c r="U14" s="4" t="n"/>
      <c r="V14" s="4" t="n"/>
      <c r="W14" s="4" t="n"/>
    </row>
    <row r="15">
      <c r="A15" s="5" t="inlineStr">
        <is>
          <t>CON-016</t>
        </is>
      </c>
      <c r="B15" s="5" t="inlineStr">
        <is>
          <t>SWEBOK</t>
        </is>
      </c>
      <c r="C15" s="4" t="inlineStr">
        <is>
          <t>2. 命名とコーディング規約(SWEBOK 4-1.5, 4-3.3)</t>
        </is>
      </c>
      <c r="D15" s="10" t="inlineStr">
        <is>
          <t>Medium</t>
        </is>
      </c>
      <c r="E15" s="4" t="inlineStr">
        <is>
          <t>規約からの逸脱が手続きに従っている</t>
        </is>
      </c>
      <c r="F15" s="4" t="inlineStr">
        <is>
          <t>リンタ抑制コメント(suppress/ignore/disable)すべてに理由の記述があり、無条件の一括抑制がない</t>
        </is>
      </c>
      <c r="G15" s="4" t="inlineStr">
        <is>
          <t>理由のないリンタ抑制は静的解析を形骸化させ、本来検出できた欠陥・脆弱性を組織的に見逃す穴になる。</t>
        </is>
      </c>
      <c r="H15" s="4" t="inlineStr">
        <is>
          <t>swebok-v4a.pdf ch04 Software Construction &gt; 4-1.5 Applying Standards in Construction / 4-3.6 Construction Quality(静的解析)</t>
        </is>
      </c>
      <c r="I15" s="4" t="inlineStr">
        <is>
          <t>CORE</t>
        </is>
      </c>
      <c r="J15" s="4" t="inlineStr">
        <is>
          <t>原則適用。案件スコープ・成果物・規制・リスク上非該当の場合はN/A根拠を記録。</t>
        </is>
      </c>
      <c r="K15" s="4" t="inlineStr">
        <is>
          <t>SRC-SWEBOK-V4A</t>
        </is>
      </c>
      <c r="L15" s="4" t="inlineStr"/>
      <c r="M15" s="4" t="n"/>
      <c r="N15" s="4" t="n"/>
      <c r="O15" s="4" t="n"/>
      <c r="P15" s="4" t="n"/>
      <c r="Q15" s="4" t="n"/>
      <c r="R15" s="4" t="n"/>
      <c r="S15" s="4" t="n"/>
      <c r="T15" s="4" t="n"/>
      <c r="U15" s="4" t="n"/>
      <c r="V15" s="4" t="n"/>
      <c r="W15" s="4" t="n"/>
    </row>
    <row r="16">
      <c r="A16" s="5" t="inlineStr">
        <is>
          <t>CON-903</t>
        </is>
      </c>
      <c r="B16" s="5" t="inlineStr">
        <is>
          <t>追加承認</t>
        </is>
      </c>
      <c r="C16" s="4" t="inlineStr">
        <is>
          <t>2. 命名とコーディング規約(SWEBOK 4-1.5, 4-3.3)</t>
        </is>
      </c>
      <c r="D16" s="10" t="inlineStr">
        <is>
          <t>Medium</t>
        </is>
      </c>
      <c r="E16" s="4" t="inlineStr">
        <is>
          <t>環境依存値と表示文字列がコードから分離されている</t>
        </is>
      </c>
      <c r="F16" s="4" t="inlineStr">
        <is>
          <t>環境ごとに変わる値(接続先・機能フラグ・上限値等)が設定ファイル・環境変数経由で実行時に注入され、コード変更なしに変更できる。多言語対応が要件の場合、利用者向け表示文字列がリソースファイルに外部化され文字エンコーディングが統一されている</t>
        </is>
      </c>
      <c r="G16" s="4" t="inlineStr">
        <is>
          <t>設定や文言のハードコードは環境追加・文言変更・多言語化のたびに再ビルドと全数修正を強い、環境差し替え漏れによる本番向け設定ミスの事故も誘発する。</t>
        </is>
      </c>
      <c r="H16" s="4" t="inlineStr">
        <is>
          <t>swebok-v4a.pdf ch04 Software Construction &gt; 4.8 Runtime Configuration and Internationalization(実行時コンフィギュレーションと国際化)</t>
        </is>
      </c>
      <c r="I16" s="4" t="inlineStr">
        <is>
          <t>CORE</t>
        </is>
      </c>
      <c r="J16" s="4" t="inlineStr">
        <is>
          <t>原則適用。案件スコープ・成果物・規制・リスク上非該当の場合はN/A根拠を記録。</t>
        </is>
      </c>
      <c r="K16" s="4" t="inlineStr">
        <is>
          <t>SRC-SWEBOK-V4A</t>
        </is>
      </c>
      <c r="L16" s="4" t="inlineStr"/>
      <c r="M16" s="4" t="n"/>
      <c r="N16" s="4" t="n"/>
      <c r="O16" s="4" t="n"/>
      <c r="P16" s="4" t="n"/>
      <c r="Q16" s="4" t="n"/>
      <c r="R16" s="4" t="n"/>
      <c r="S16" s="4" t="n"/>
      <c r="T16" s="4" t="n"/>
      <c r="U16" s="4" t="n"/>
      <c r="V16" s="4" t="n"/>
      <c r="W16" s="4" t="n"/>
    </row>
    <row r="17">
      <c r="A17" s="5" t="inlineStr">
        <is>
          <t>CON-020</t>
        </is>
      </c>
      <c r="B17" s="5" t="inlineStr">
        <is>
          <t>SWEBOK</t>
        </is>
      </c>
      <c r="C17" s="4" t="inlineStr">
        <is>
          <t>3. エラー処理・例外処理・フォールトトレランス(SWEBOK 4-4.5)</t>
        </is>
      </c>
      <c r="D17" s="8" t="inlineStr">
        <is>
          <t>Critical</t>
        </is>
      </c>
      <c r="E17" s="4" t="inlineStr">
        <is>
          <t>例外が握りつぶされていない</t>
        </is>
      </c>
      <c r="F17" s="4" t="inlineStr">
        <is>
          <t>空のcatchブロックが存在しない。例外を捕捉して無視する箇所には正当な理由コメントとログ出力がある</t>
        </is>
      </c>
      <c r="G17" s="4" t="inlineStr">
        <is>
          <t>空catchは障害の兆候を無音で消し、データ破損や誤動作が離れた場所で顕在化して原因究明が極めて困難になる。SWEBOKも空のcatchブロック回避を例外方針の原則に挙げる。</t>
        </is>
      </c>
      <c r="H17" s="4" t="inlineStr">
        <is>
          <t>swebok-v4a.pdf ch04 Software Construction &gt; 4-4.5 Error Handling, Exception Handling and Fault Tolerance</t>
        </is>
      </c>
      <c r="I17" s="4" t="inlineStr">
        <is>
          <t>CORE</t>
        </is>
      </c>
      <c r="J17" s="4" t="inlineStr">
        <is>
          <t>原則適用。案件スコープ・成果物・規制・リスク上非該当の場合はN/A根拠を記録。</t>
        </is>
      </c>
      <c r="K17" s="4" t="inlineStr">
        <is>
          <t>SRC-SWEBOK-V4A</t>
        </is>
      </c>
      <c r="L17" s="4" t="inlineStr"/>
      <c r="M17" s="4" t="n"/>
      <c r="N17" s="4" t="n"/>
      <c r="O17" s="4" t="n"/>
      <c r="P17" s="4" t="n"/>
      <c r="Q17" s="4" t="n"/>
      <c r="R17" s="4" t="n"/>
      <c r="S17" s="4" t="n"/>
      <c r="T17" s="4" t="n"/>
      <c r="U17" s="4" t="n"/>
      <c r="V17" s="4" t="n"/>
      <c r="W17" s="4" t="n"/>
    </row>
    <row r="18">
      <c r="A18" s="5" t="inlineStr">
        <is>
          <t>CON-021</t>
        </is>
      </c>
      <c r="B18" s="5" t="inlineStr">
        <is>
          <t>SWEBOK</t>
        </is>
      </c>
      <c r="C18" s="4" t="inlineStr">
        <is>
          <t>3. エラー処理・例外処理・フォールトトレランス(SWEBOK 4-4.5)</t>
        </is>
      </c>
      <c r="D18" s="8" t="inlineStr">
        <is>
          <t>Critical</t>
        </is>
      </c>
      <c r="E18" s="4" t="inlineStr">
        <is>
          <t>エラー戻り値が確認されている</t>
        </is>
      </c>
      <c r="F18" s="4" t="inlineStr">
        <is>
          <t>エラーを返しうる呼び出し(戻り値・エラーコード・Result型)の結果がすべて検査され、無視される場合は明示的な破棄と理由がある</t>
        </is>
      </c>
      <c r="G18" s="4" t="inlineStr">
        <is>
          <t>エラー戻り値の未検査は失敗を成功として処理を続行させ、不正データの伝播・二次障害を引き起こす。例外を使わない言語(C/Go等)で特に致命的。</t>
        </is>
      </c>
      <c r="H18" s="4" t="inlineStr">
        <is>
          <t>swebok-v4a.pdf ch04 Software Construction &gt; 4-4.5 Error Handling(エラーコード返却の扱い)</t>
        </is>
      </c>
      <c r="I18" s="4" t="inlineStr">
        <is>
          <t>CORE</t>
        </is>
      </c>
      <c r="J18" s="4" t="inlineStr">
        <is>
          <t>原則適用。案件スコープ・成果物・規制・リスク上非該当の場合はN/A根拠を記録。</t>
        </is>
      </c>
      <c r="K18" s="4" t="inlineStr">
        <is>
          <t>SRC-SWEBOK-V4A</t>
        </is>
      </c>
      <c r="L18" s="4" t="inlineStr"/>
      <c r="M18" s="4" t="n"/>
      <c r="N18" s="4" t="n"/>
      <c r="O18" s="4" t="n"/>
      <c r="P18" s="4" t="n"/>
      <c r="Q18" s="4" t="n"/>
      <c r="R18" s="4" t="n"/>
      <c r="S18" s="4" t="n"/>
      <c r="T18" s="4" t="n"/>
      <c r="U18" s="4" t="n"/>
      <c r="V18" s="4" t="n"/>
      <c r="W18" s="4" t="n"/>
    </row>
    <row r="19">
      <c r="A19" s="5" t="inlineStr">
        <is>
          <t>CON-022</t>
        </is>
      </c>
      <c r="B19" s="5" t="inlineStr">
        <is>
          <t>SWEBOK</t>
        </is>
      </c>
      <c r="C19" s="4" t="inlineStr">
        <is>
          <t>3. エラー処理・例外処理・フォールトトレランス(SWEBOK 4-4.5)</t>
        </is>
      </c>
      <c r="D19" s="9" t="inlineStr">
        <is>
          <t>High</t>
        </is>
      </c>
      <c r="E19" s="4" t="inlineStr">
        <is>
          <t>例外処理ポリシーに従い適切な層で捕捉している</t>
        </is>
      </c>
      <c r="F19" s="4" t="inlineStr">
        <is>
          <t>例外の捕捉・変換が規約で定めた境界層(API境界・UI層等)で行われ、下位層での安易な捕捉・握りつぶしがない</t>
        </is>
      </c>
      <c r="G19" s="4" t="inlineStr">
        <is>
          <t>捕捉層が場当たりだとエラー処理が分散・重複し、あるエラーはログ二重出力、別のエラーは無処理という不整合が生じる。SWEBOKの言う例外使用の標準化を担保する。</t>
        </is>
      </c>
      <c r="H19" s="4" t="inlineStr">
        <is>
          <t>swebok-v4a.pdf ch04 Software Construction &gt; 4-4.5 Error Handling(例外処理ポリシー・例外使用の標準化)</t>
        </is>
      </c>
      <c r="I19" s="4" t="inlineStr">
        <is>
          <t>CORE</t>
        </is>
      </c>
      <c r="J19" s="4" t="inlineStr">
        <is>
          <t>原則適用。案件スコープ・成果物・規制・リスク上非該当の場合はN/A根拠を記録。</t>
        </is>
      </c>
      <c r="K19" s="4" t="inlineStr">
        <is>
          <t>SRC-SWEBOK-V4A</t>
        </is>
      </c>
      <c r="L19" s="4" t="inlineStr"/>
      <c r="M19" s="4" t="n"/>
      <c r="N19" s="4" t="n"/>
      <c r="O19" s="4" t="n"/>
      <c r="P19" s="4" t="n"/>
      <c r="Q19" s="4" t="n"/>
      <c r="R19" s="4" t="n"/>
      <c r="S19" s="4" t="n"/>
      <c r="T19" s="4" t="n"/>
      <c r="U19" s="4" t="n"/>
      <c r="V19" s="4" t="n"/>
      <c r="W19" s="4" t="n"/>
    </row>
    <row r="20">
      <c r="A20" s="5" t="inlineStr">
        <is>
          <t>CON-023</t>
        </is>
      </c>
      <c r="B20" s="5" t="inlineStr">
        <is>
          <t>SWEBOK</t>
        </is>
      </c>
      <c r="C20" s="4" t="inlineStr">
        <is>
          <t>3. エラー処理・例外処理・フォールトトレランス(SWEBOK 4-4.5)</t>
        </is>
      </c>
      <c r="D20" s="9" t="inlineStr">
        <is>
          <t>High</t>
        </is>
      </c>
      <c r="E20" s="4" t="inlineStr">
        <is>
          <t>例外に文脈情報が付与されている</t>
        </is>
      </c>
      <c r="F20" s="4" t="inlineStr">
        <is>
          <t>送出・再送出時に原因例外の連鎖(cause)と、診断に必要な文脈(対象ID・操作名等)が保持されている。スタックトレースを消す再送出がない</t>
        </is>
      </c>
      <c r="G20" s="4" t="inlineStr">
        <is>
          <t>原因例外や文脈を落とした再送出は障害時の一次情報を消し、本番障害の調査を「再現待ち」にしてMTTRを大幅に悪化させる。</t>
        </is>
      </c>
      <c r="H20" s="4" t="inlineStr">
        <is>
          <t>swebok-v4a.pdf ch04 Software Construction &gt; 4-4.5 Error Handling(例外に至った全情報をメッセージに含める原則)</t>
        </is>
      </c>
      <c r="I20" s="4" t="inlineStr">
        <is>
          <t>CORE</t>
        </is>
      </c>
      <c r="J20" s="4" t="inlineStr">
        <is>
          <t>原則適用。案件スコープ・成果物・規制・リスク上非該当の場合はN/A根拠を記録。</t>
        </is>
      </c>
      <c r="K20" s="4" t="inlineStr">
        <is>
          <t>SRC-SWEBOK-V4A</t>
        </is>
      </c>
      <c r="L20" s="4" t="inlineStr"/>
      <c r="M20" s="4" t="n"/>
      <c r="N20" s="4" t="n"/>
      <c r="O20" s="4" t="n"/>
      <c r="P20" s="4" t="n"/>
      <c r="Q20" s="4" t="n"/>
      <c r="R20" s="4" t="n"/>
      <c r="S20" s="4" t="n"/>
      <c r="T20" s="4" t="n"/>
      <c r="U20" s="4" t="n"/>
      <c r="V20" s="4" t="n"/>
      <c r="W20" s="4" t="n"/>
    </row>
    <row r="21">
      <c r="A21" s="5" t="inlineStr">
        <is>
          <t>CON-024</t>
        </is>
      </c>
      <c r="B21" s="5" t="inlineStr">
        <is>
          <t>SWEBOK</t>
        </is>
      </c>
      <c r="C21" s="4" t="inlineStr">
        <is>
          <t>3. エラー処理・例外処理・フォールトトレランス(SWEBOK 4-4.5)</t>
        </is>
      </c>
      <c r="D21" s="9" t="inlineStr">
        <is>
          <t>High</t>
        </is>
      </c>
      <c r="E21" s="4" t="inlineStr">
        <is>
          <t>過度に広い例外捕捉がない</t>
        </is>
      </c>
      <c r="F21" s="4" t="inlineStr">
        <is>
          <t>最上位の境界層以外で Exception/Throwable 等の包括捕捉をしていない。捕捉する例外型が処理可能なものに限定されている</t>
        </is>
      </c>
      <c r="G21" s="4" t="inlineStr">
        <is>
          <t>包括捕捉はプログラミングバグ(NPE等)まで業務エラーとして飲み込み、欠陥の発見を遅らせる。処理できる例外だけを捕捉することで想定外を早期に顕在化させる。</t>
        </is>
      </c>
      <c r="H21" s="4" t="inlineStr">
        <is>
          <t>swebok-v4a.pdf ch04 Software Construction &gt; 4-4.5 Error Handling(ライブラリが投げる例外の把握)</t>
        </is>
      </c>
      <c r="I21" s="4" t="inlineStr">
        <is>
          <t>CORE</t>
        </is>
      </c>
      <c r="J21" s="4" t="inlineStr">
        <is>
          <t>原則適用。案件スコープ・成果物・規制・リスク上非該当の場合はN/A根拠を記録。</t>
        </is>
      </c>
      <c r="K21" s="4" t="inlineStr">
        <is>
          <t>SRC-SWEBOK-V4A</t>
        </is>
      </c>
      <c r="L21" s="4" t="inlineStr"/>
      <c r="M21" s="4" t="n"/>
      <c r="N21" s="4" t="n"/>
      <c r="O21" s="4" t="n"/>
      <c r="P21" s="4" t="n"/>
      <c r="Q21" s="4" t="n"/>
      <c r="R21" s="4" t="n"/>
      <c r="S21" s="4" t="n"/>
      <c r="T21" s="4" t="n"/>
      <c r="U21" s="4" t="n"/>
      <c r="V21" s="4" t="n"/>
      <c r="W21" s="4" t="n"/>
    </row>
    <row r="22">
      <c r="A22" s="5" t="inlineStr">
        <is>
          <t>CON-025</t>
        </is>
      </c>
      <c r="B22" s="5" t="inlineStr">
        <is>
          <t>SWEBOK</t>
        </is>
      </c>
      <c r="C22" s="4" t="inlineStr">
        <is>
          <t>3. エラー処理・例外処理・フォールトトレランス(SWEBOK 4-4.5)</t>
        </is>
      </c>
      <c r="D22" s="10" t="inlineStr">
        <is>
          <t>Medium</t>
        </is>
      </c>
      <c r="E22" s="4" t="inlineStr">
        <is>
          <t>外部呼び出しに障害時戦略がある</t>
        </is>
      </c>
      <c r="F22" s="4" t="inlineStr">
        <is>
          <t>ネットワーク・外部サービス呼び出しにタイムアウトが設定され、必要に応じてリトライ(回数・間隔明示)またはフォールバックが実装されている</t>
        </is>
      </c>
      <c r="G22" s="4" t="inlineStr">
        <is>
          <t>タイムアウトなしの外部呼び出しは相手の遅延でスレッド枯渇・全面停止に波及する。リトライ・フォールバックはSWEBOKのフォールトトレランス戦略(バックアップとリトライ等)の実装形。</t>
        </is>
      </c>
      <c r="H22" s="4" t="inlineStr">
        <is>
          <t>swebok-v4a.pdf ch04 Software Construction &gt; 4-4.5 Fault Tolerance(リトライ・代替値等の戦略)</t>
        </is>
      </c>
      <c r="I22" s="4" t="inlineStr">
        <is>
          <t>CORE</t>
        </is>
      </c>
      <c r="J22" s="4" t="inlineStr">
        <is>
          <t>原則適用。案件スコープ・成果物・規制・リスク上非該当の場合はN/A根拠を記録。</t>
        </is>
      </c>
      <c r="K22" s="4" t="inlineStr">
        <is>
          <t>SRC-SWEBOK-V4A</t>
        </is>
      </c>
      <c r="L22" s="4" t="inlineStr"/>
      <c r="M22" s="4" t="n"/>
      <c r="N22" s="4" t="n"/>
      <c r="O22" s="4" t="n"/>
      <c r="P22" s="4" t="n"/>
      <c r="Q22" s="4" t="n"/>
      <c r="R22" s="4" t="n"/>
      <c r="S22" s="4" t="n"/>
      <c r="T22" s="4" t="n"/>
      <c r="U22" s="4" t="n"/>
      <c r="V22" s="4" t="n"/>
      <c r="W22" s="4" t="n"/>
    </row>
    <row r="23">
      <c r="A23" s="5" t="inlineStr">
        <is>
          <t>CON-026</t>
        </is>
      </c>
      <c r="B23" s="5" t="inlineStr">
        <is>
          <t>SWEBOK</t>
        </is>
      </c>
      <c r="C23" s="4" t="inlineStr">
        <is>
          <t>3. エラー処理・例外処理・フォールトトレランス(SWEBOK 4-4.5)</t>
        </is>
      </c>
      <c r="D23" s="10" t="inlineStr">
        <is>
          <t>Medium</t>
        </is>
      </c>
      <c r="E23" s="4" t="inlineStr">
        <is>
          <t>エラーメッセージが診断可能である</t>
        </is>
      </c>
      <c r="F23" s="4" t="inlineStr">
        <is>
          <t>ログ・例外メッセージから「何が・どの入力で・なぜ」失敗したか特定できる。「エラーが発生しました」のみの出力がない</t>
        </is>
      </c>
      <c r="G23" s="4" t="inlineStr">
        <is>
          <t>診断情報のないエラーメッセージは本番障害時に「何が起きたか」から調査を始めさせ、復旧を数時間〜数日遅らせる。</t>
        </is>
      </c>
      <c r="H23" s="4" t="inlineStr">
        <is>
          <t>swebok-v4a.pdf ch04 Software Construction &gt; 4-4.5 Error Handling / 4-1.3 Constructing for Verification(ログによる挙動記録)</t>
        </is>
      </c>
      <c r="I23" s="4" t="inlineStr">
        <is>
          <t>CORE</t>
        </is>
      </c>
      <c r="J23" s="4" t="inlineStr">
        <is>
          <t>原則適用。案件スコープ・成果物・規制・リスク上非該当の場合はN/A根拠を記録。</t>
        </is>
      </c>
      <c r="K23" s="4" t="inlineStr">
        <is>
          <t>SRC-SWEBOK-V4A</t>
        </is>
      </c>
      <c r="L23" s="4" t="inlineStr"/>
      <c r="M23" s="4" t="n"/>
      <c r="N23" s="4" t="n"/>
      <c r="O23" s="4" t="n"/>
      <c r="P23" s="4" t="n"/>
      <c r="Q23" s="4" t="n"/>
      <c r="R23" s="4" t="n"/>
      <c r="S23" s="4" t="n"/>
      <c r="T23" s="4" t="n"/>
      <c r="U23" s="4" t="n"/>
      <c r="V23" s="4" t="n"/>
      <c r="W23" s="4" t="n"/>
    </row>
    <row r="24">
      <c r="A24" s="5" t="inlineStr">
        <is>
          <t>CON-027</t>
        </is>
      </c>
      <c r="B24" s="5" t="inlineStr">
        <is>
          <t>SWEBOK</t>
        </is>
      </c>
      <c r="C24" s="4" t="inlineStr">
        <is>
          <t>3. エラー処理・例外処理・フォールトトレランス(SWEBOK 4-4.5)</t>
        </is>
      </c>
      <c r="D24" s="9" t="inlineStr">
        <is>
          <t>High</t>
        </is>
      </c>
      <c r="E24" s="4" t="inlineStr">
        <is>
          <t>エラー経路でも後処理が保証される</t>
        </is>
      </c>
      <c r="F24" s="4" t="inlineStr">
        <is>
          <t>例外発生時もクリーンアップ(finally/defer/using/with 等)が実行され、部分的な状態変更が残らない(またはロールバックされる)</t>
        </is>
      </c>
      <c r="G24" s="4" t="inlineStr">
        <is>
          <t>エラー経路でのクリーンアップ漏れはリソースリークと中途半端な状態(半端に更新されたデータ)を残し、後続処理の不可解な失敗として跳ね返る。</t>
        </is>
      </c>
      <c r="H24" s="4" t="inlineStr">
        <is>
          <t>swebok-v4a.pdf ch04 Software Construction &gt; 4-4.5 Error Handling / 4-4.14(リソース規律)</t>
        </is>
      </c>
      <c r="I24" s="4" t="inlineStr">
        <is>
          <t>CORE</t>
        </is>
      </c>
      <c r="J24" s="4" t="inlineStr">
        <is>
          <t>原則適用。案件スコープ・成果物・規制・リスク上非該当の場合はN/A根拠を記録。</t>
        </is>
      </c>
      <c r="K24" s="4" t="inlineStr">
        <is>
          <t>SRC-SWEBOK-V4A</t>
        </is>
      </c>
      <c r="L24" s="4" t="inlineStr"/>
      <c r="M24" s="4" t="n"/>
      <c r="N24" s="4" t="n"/>
      <c r="O24" s="4" t="n"/>
      <c r="P24" s="4" t="n"/>
      <c r="Q24" s="4" t="n"/>
      <c r="R24" s="4" t="n"/>
      <c r="S24" s="4" t="n"/>
      <c r="T24" s="4" t="n"/>
      <c r="U24" s="4" t="n"/>
      <c r="V24" s="4" t="n"/>
      <c r="W24" s="4" t="n"/>
    </row>
    <row r="25">
      <c r="A25" s="5" t="inlineStr">
        <is>
          <t>CON-030</t>
        </is>
      </c>
      <c r="B25" s="5" t="inlineStr">
        <is>
          <t>SWEBOK</t>
        </is>
      </c>
      <c r="C25" s="4" t="inlineStr">
        <is>
          <t>4. 防御的プログラミング・アサーション・契約(SWEBOK 4-4.4)</t>
        </is>
      </c>
      <c r="D25" s="8" t="inlineStr">
        <is>
          <t>Critical</t>
        </is>
      </c>
      <c r="E25" s="4" t="inlineStr">
        <is>
          <t>外部入力が信頼境界で検証されている</t>
        </is>
      </c>
      <c r="F25" s="4" t="inlineStr">
        <is>
          <t>外部由来の入力(ユーザ入力・API引数・ファイル・環境変数)が、型・範囲・長さ・形式について使用前に検証され、不合格時の挙動が定義されている</t>
        </is>
      </c>
      <c r="G25" s="4" t="inlineStr">
        <is>
          <t>信頼境界での入力検証の欠如は、不正データによる誤動作にとどまらずインジェクション等の攻撃起点になる。防御的プログラミングの第一原則。</t>
        </is>
      </c>
      <c r="H25" s="4" t="inlineStr">
        <is>
          <t>swebok-v4a.pdf ch04 Software Construction &gt; 4-4.4 Defensive Programming(不正入力からルーチンを守る)</t>
        </is>
      </c>
      <c r="I25" s="4" t="inlineStr">
        <is>
          <t>CORE</t>
        </is>
      </c>
      <c r="J25" s="4" t="inlineStr">
        <is>
          <t>原則適用。案件スコープ・成果物・規制・リスク上非該当の場合はN/A根拠を記録。</t>
        </is>
      </c>
      <c r="K25" s="4" t="inlineStr">
        <is>
          <t>SRC-SWEBOK-V4A</t>
        </is>
      </c>
      <c r="L25" s="4" t="inlineStr">
        <is>
          <t>OPS-OBSERVABILITY</t>
        </is>
      </c>
      <c r="M25" s="4" t="n"/>
      <c r="N25" s="4" t="n"/>
      <c r="O25" s="4" t="n"/>
      <c r="P25" s="4" t="n"/>
      <c r="Q25" s="4" t="n"/>
      <c r="R25" s="4" t="n"/>
      <c r="S25" s="4" t="n"/>
      <c r="T25" s="4" t="n"/>
      <c r="U25" s="4" t="n"/>
      <c r="V25" s="4" t="n"/>
      <c r="W25" s="4" t="n"/>
    </row>
    <row r="26">
      <c r="A26" s="5" t="inlineStr">
        <is>
          <t>CON-031</t>
        </is>
      </c>
      <c r="B26" s="5" t="inlineStr">
        <is>
          <t>SWEBOK</t>
        </is>
      </c>
      <c r="C26" s="4" t="inlineStr">
        <is>
          <t>4. 防御的プログラミング・アサーション・契約(SWEBOK 4-4.4)</t>
        </is>
      </c>
      <c r="D26" s="9" t="inlineStr">
        <is>
          <t>High</t>
        </is>
      </c>
      <c r="E26" s="4" t="inlineStr">
        <is>
          <t>公開関数の事前条件が明示されている</t>
        </is>
      </c>
      <c r="F26" s="4" t="inlineStr">
        <is>
          <t>公開API・公開メソッドの引数制約(null可否・値域)がdocコメントに記述され、違反時に定義済みのエラー(例外・エラー値)を返す</t>
        </is>
      </c>
      <c r="G26" s="4" t="inlineStr">
        <is>
          <t>事前条件が暗黙だと呼び出し側は推測で使うことになり、境界値での未定義動作や「nullを渡したら壊れた」型の欠陥が統合時に多発する。</t>
        </is>
      </c>
      <c r="H26" s="4" t="inlineStr">
        <is>
          <t>swebok-v4a.pdf ch04 Software Construction &gt; 4-4.4 Design by Contract(事前条件・事後条件による契約)</t>
        </is>
      </c>
      <c r="I26" s="4" t="inlineStr">
        <is>
          <t>CORE</t>
        </is>
      </c>
      <c r="J26" s="4" t="inlineStr">
        <is>
          <t>原則適用。案件スコープ・成果物・規制・リスク上非該当の場合はN/A根拠を記録。</t>
        </is>
      </c>
      <c r="K26" s="4" t="inlineStr">
        <is>
          <t>SRC-SWEBOK-V4A</t>
        </is>
      </c>
      <c r="L26" s="4" t="inlineStr">
        <is>
          <t>OPS-OBSERVABILITY</t>
        </is>
      </c>
      <c r="M26" s="4" t="n"/>
      <c r="N26" s="4" t="n"/>
      <c r="O26" s="4" t="n"/>
      <c r="P26" s="4" t="n"/>
      <c r="Q26" s="4" t="n"/>
      <c r="R26" s="4" t="n"/>
      <c r="S26" s="4" t="n"/>
      <c r="T26" s="4" t="n"/>
      <c r="U26" s="4" t="n"/>
      <c r="V26" s="4" t="n"/>
      <c r="W26" s="4" t="n"/>
    </row>
    <row r="27">
      <c r="A27" s="5" t="inlineStr">
        <is>
          <t>CON-032</t>
        </is>
      </c>
      <c r="B27" s="5" t="inlineStr">
        <is>
          <t>SWEBOK</t>
        </is>
      </c>
      <c r="C27" s="4" t="inlineStr">
        <is>
          <t>4. 防御的プログラミング・アサーション・契約(SWEBOK 4-4.4)</t>
        </is>
      </c>
      <c r="D27" s="10" t="inlineStr">
        <is>
          <t>Medium</t>
        </is>
      </c>
      <c r="E27" s="4" t="inlineStr">
        <is>
          <t>内部不変条件にアサーションが使われている</t>
        </is>
      </c>
      <c r="F27" s="4" t="inlineStr">
        <is>
          <t>内部ロジックの「起こりえないはず」の状態がアサーションで表明されている。アサーションを外部入力の検証に流用していない</t>
        </is>
      </c>
      <c r="G27" s="4" t="inlineStr">
        <is>
          <t>内部不変条件のアサーションは、修正時に紛れ込む前提破壊やインタフェース想定の不一致を開発段階で即座に炙り出す。外部入力検証への流用は本番で無効化され防御が消える。</t>
        </is>
      </c>
      <c r="H27" s="4" t="inlineStr">
        <is>
          <t>swebok-v4a.pdf ch04 Software Construction &gt; 4-4.4 Assertions(高信頼プログラムでの実行時チェック)</t>
        </is>
      </c>
      <c r="I27" s="4" t="inlineStr">
        <is>
          <t>CORE</t>
        </is>
      </c>
      <c r="J27" s="4" t="inlineStr">
        <is>
          <t>原則適用。案件スコープ・成果物・規制・リスク上非該当の場合はN/A根拠を記録。</t>
        </is>
      </c>
      <c r="K27" s="4" t="inlineStr">
        <is>
          <t>SRC-SWEBOK-V4A</t>
        </is>
      </c>
      <c r="L27" s="4" t="inlineStr">
        <is>
          <t>OPS-OBSERVABILITY</t>
        </is>
      </c>
      <c r="M27" s="4" t="n"/>
      <c r="N27" s="4" t="n"/>
      <c r="O27" s="4" t="n"/>
      <c r="P27" s="4" t="n"/>
      <c r="Q27" s="4" t="n"/>
      <c r="R27" s="4" t="n"/>
      <c r="S27" s="4" t="n"/>
      <c r="T27" s="4" t="n"/>
      <c r="U27" s="4" t="n"/>
      <c r="V27" s="4" t="n"/>
      <c r="W27" s="4" t="n"/>
    </row>
    <row r="28">
      <c r="A28" s="5" t="inlineStr">
        <is>
          <t>CON-033</t>
        </is>
      </c>
      <c r="B28" s="5" t="inlineStr">
        <is>
          <t>SWEBOK</t>
        </is>
      </c>
      <c r="C28" s="4" t="inlineStr">
        <is>
          <t>4. 防御的プログラミング・アサーション・契約(SWEBOK 4-4.4)</t>
        </is>
      </c>
      <c r="D28" s="9" t="inlineStr">
        <is>
          <t>High</t>
        </is>
      </c>
      <c r="E28" s="4" t="inlineStr">
        <is>
          <t>アサーションに副作用がない</t>
        </is>
      </c>
      <c r="F28" s="4" t="inlineStr">
        <is>
          <t>アサーション式の中で状態変更・I/O を行っていない(無効化時に挙動が変わらない)</t>
        </is>
      </c>
      <c r="G28" s="4" t="inlineStr">
        <is>
          <t>アサーションはリリースビルドでコンパイルアウトされ得るため、副作用があると開発時と本番で挙動が変わる再現困難なバグ(ハイゼンバグ)を生む。</t>
        </is>
      </c>
      <c r="H28" s="4" t="inlineStr">
        <is>
          <t>swebok-v4a.pdf ch04 Software Construction &gt; 4-4.4 Assertions(開発時に組み込み、後に除去される特性)</t>
        </is>
      </c>
      <c r="I28" s="4" t="inlineStr">
        <is>
          <t>CORE</t>
        </is>
      </c>
      <c r="J28" s="4" t="inlineStr">
        <is>
          <t>原則適用。案件スコープ・成果物・規制・リスク上非該当の場合はN/A根拠を記録。</t>
        </is>
      </c>
      <c r="K28" s="4" t="inlineStr">
        <is>
          <t>SRC-SWEBOK-V4A</t>
        </is>
      </c>
      <c r="L28" s="4" t="inlineStr">
        <is>
          <t>OPS-OBSERVABILITY</t>
        </is>
      </c>
      <c r="M28" s="4" t="n"/>
      <c r="N28" s="4" t="n"/>
      <c r="O28" s="4" t="n"/>
      <c r="P28" s="4" t="n"/>
      <c r="Q28" s="4" t="n"/>
      <c r="R28" s="4" t="n"/>
      <c r="S28" s="4" t="n"/>
      <c r="T28" s="4" t="n"/>
      <c r="U28" s="4" t="n"/>
      <c r="V28" s="4" t="n"/>
      <c r="W28" s="4" t="n"/>
    </row>
    <row r="29">
      <c r="A29" s="5" t="inlineStr">
        <is>
          <t>CON-034</t>
        </is>
      </c>
      <c r="B29" s="5" t="inlineStr">
        <is>
          <t>SWEBOK</t>
        </is>
      </c>
      <c r="C29" s="4" t="inlineStr">
        <is>
          <t>4. 防御的プログラミング・アサーション・契約(SWEBOK 4-4.4)</t>
        </is>
      </c>
      <c r="D29" s="9" t="inlineStr">
        <is>
          <t>High</t>
        </is>
      </c>
      <c r="E29" s="4" t="inlineStr">
        <is>
          <t>null/未定義値の扱いが一貫している</t>
        </is>
      </c>
      <c r="F29" s="4" t="inlineStr">
        <is>
          <t>null許容の方針(Optional型・null注釈・ガード節)が統一され、null由来の実行時エラーの可能性が静的に検出できる形になっている</t>
        </is>
      </c>
      <c r="G29" s="4" t="inlineStr">
        <is>
          <t>null方針の不統一は最も頻度の高い実行時エラー(NPE等)の温床。静的に検出可能な形へ寄せることで、実行して初めて分かる欠陥をコンパイル時に前倒しする。</t>
        </is>
      </c>
      <c r="H29" s="4" t="inlineStr">
        <is>
          <t>swebok-v4a.pdf ch04 Software Construction &gt; 4-4.4 Defensive Programming(実務補完: null安全機構)</t>
        </is>
      </c>
      <c r="I29" s="4" t="inlineStr">
        <is>
          <t>CORE</t>
        </is>
      </c>
      <c r="J29" s="4" t="inlineStr">
        <is>
          <t>原則適用。案件スコープ・成果物・規制・リスク上非該当の場合はN/A根拠を記録。</t>
        </is>
      </c>
      <c r="K29" s="4" t="inlineStr">
        <is>
          <t>SRC-SWEBOK-V4A;SRC-PRACTICE</t>
        </is>
      </c>
      <c r="L29" s="4" t="inlineStr">
        <is>
          <t>OPS-OBSERVABILITY</t>
        </is>
      </c>
      <c r="M29" s="4" t="n"/>
      <c r="N29" s="4" t="n"/>
      <c r="O29" s="4" t="n"/>
      <c r="P29" s="4" t="n"/>
      <c r="Q29" s="4" t="n"/>
      <c r="R29" s="4" t="n"/>
      <c r="S29" s="4" t="n"/>
      <c r="T29" s="4" t="n"/>
      <c r="U29" s="4" t="n"/>
      <c r="V29" s="4" t="n"/>
      <c r="W29" s="4" t="n"/>
    </row>
    <row r="30">
      <c r="A30" s="5" t="inlineStr">
        <is>
          <t>CON-035</t>
        </is>
      </c>
      <c r="B30" s="5" t="inlineStr">
        <is>
          <t>SWEBOK</t>
        </is>
      </c>
      <c r="C30" s="4" t="inlineStr">
        <is>
          <t>4. 防御的プログラミング・アサーション・契約(SWEBOK 4-4.4)</t>
        </is>
      </c>
      <c r="D30" s="10" t="inlineStr">
        <is>
          <t>Medium</t>
        </is>
      </c>
      <c r="E30" s="4" t="inlineStr">
        <is>
          <t>数値演算の危険が防御されている</t>
        </is>
      </c>
      <c r="F30" s="4" t="inlineStr">
        <is>
          <t>ゼロ除算・オーバーフロー・精度(金額への浮動小数点使用禁止等)が考慮され、境界での挙動がテストされている</t>
        </is>
      </c>
      <c r="G30" s="4" t="inlineStr">
        <is>
          <t>ゼロ除算・オーバーフロー・浮動小数点の丸めは正常系テストでは顕在化せず、本番の境界データで金額不一致等の重大インシデントとして発覚する。</t>
        </is>
      </c>
      <c r="H30" s="4" t="inlineStr">
        <is>
          <t>swebok-v4a.pdf ch04 Software Construction &gt; 4-4.4 Defensive Programming / 4-3.3 Coding(データ型の適切な使用)</t>
        </is>
      </c>
      <c r="I30" s="4" t="inlineStr">
        <is>
          <t>CORE</t>
        </is>
      </c>
      <c r="J30" s="4" t="inlineStr">
        <is>
          <t>原則適用。案件スコープ・成果物・規制・リスク上非該当の場合はN/A根拠を記録。</t>
        </is>
      </c>
      <c r="K30" s="4" t="inlineStr">
        <is>
          <t>SRC-SWEBOK-V4A</t>
        </is>
      </c>
      <c r="L30" s="4" t="inlineStr">
        <is>
          <t>OPS-OBSERVABILITY</t>
        </is>
      </c>
      <c r="M30" s="4" t="n"/>
      <c r="N30" s="4" t="n"/>
      <c r="O30" s="4" t="n"/>
      <c r="P30" s="4" t="n"/>
      <c r="Q30" s="4" t="n"/>
      <c r="R30" s="4" t="n"/>
      <c r="S30" s="4" t="n"/>
      <c r="T30" s="4" t="n"/>
      <c r="U30" s="4" t="n"/>
      <c r="V30" s="4" t="n"/>
      <c r="W30" s="4" t="n"/>
    </row>
    <row r="31">
      <c r="A31" s="5" t="inlineStr">
        <is>
          <t>CON-040</t>
        </is>
      </c>
      <c r="B31" s="5" t="inlineStr">
        <is>
          <t>SWEBOK</t>
        </is>
      </c>
      <c r="C31" s="4" t="inlineStr">
        <is>
          <t>5. セキュアコーディング(SWEBOK 4-3.3, ISO/IEC 27034, NIST SSDF)</t>
        </is>
      </c>
      <c r="D31" s="8" t="inlineStr">
        <is>
          <t>Critical</t>
        </is>
      </c>
      <c r="E31" s="4" t="inlineStr">
        <is>
          <t>インジェクションが防止されている</t>
        </is>
      </c>
      <c r="F31" s="4" t="inlineStr">
        <is>
          <t>SQL・OSコマンド・パス・テンプレートへの外部入力の埋め込みが、プレースホルダ/パラメータ化API/エスケープ関数経由に限定され、文字列連結による組み立てがない</t>
        </is>
      </c>
      <c r="G31" s="4" t="inlineStr">
        <is>
          <t>インジェクションは外部入力の文字列連結一箇所でデータ全件漏洩・改ざんに直結する最重要脆弱性。パラメータ化APIの強制で構造的に排除する。</t>
        </is>
      </c>
      <c r="H31" s="4" t="inlineStr">
        <is>
          <t>swebok-v4a.pdf ch04 Software Construction &gt; 4-3.3 Coding(コードレベルのセキュリティ侵害防止)/ 実務補完(OWASP Top 10)</t>
        </is>
      </c>
      <c r="I31" s="4" t="inlineStr">
        <is>
          <t>CORE</t>
        </is>
      </c>
      <c r="J31" s="4" t="inlineStr">
        <is>
          <t>原則適用。案件スコープ・成果物・規制・リスク上非該当の場合はN/A根拠を記録。</t>
        </is>
      </c>
      <c r="K31" s="4" t="inlineStr">
        <is>
          <t>SRC-SWEBOK-V4A;SRC-OWASP;SRC-PRACTICE</t>
        </is>
      </c>
      <c r="L31" s="4" t="inlineStr"/>
      <c r="M31" s="4" t="n"/>
      <c r="N31" s="4" t="n"/>
      <c r="O31" s="4" t="n"/>
      <c r="P31" s="4" t="n"/>
      <c r="Q31" s="4" t="n"/>
      <c r="R31" s="4" t="n"/>
      <c r="S31" s="4" t="n"/>
      <c r="T31" s="4" t="n"/>
      <c r="U31" s="4" t="n"/>
      <c r="V31" s="4" t="n"/>
      <c r="W31" s="4" t="n"/>
    </row>
    <row r="32">
      <c r="A32" s="5" t="inlineStr">
        <is>
          <t>CON-041</t>
        </is>
      </c>
      <c r="B32" s="5" t="inlineStr">
        <is>
          <t>SWEBOK</t>
        </is>
      </c>
      <c r="C32" s="4" t="inlineStr">
        <is>
          <t>5. セキュアコーディング(SWEBOK 4-3.3, ISO/IEC 27034, NIST SSDF)</t>
        </is>
      </c>
      <c r="D32" s="8" t="inlineStr">
        <is>
          <t>Critical</t>
        </is>
      </c>
      <c r="E32" s="4" t="inlineStr">
        <is>
          <t>機密情報がコードに埋め込まれていない</t>
        </is>
      </c>
      <c r="F32" s="4" t="inlineStr">
        <is>
          <t>パスワード・APIキー・秘密鍵がソースコード・設定ファイル・ログ出力・テストコードに平文で存在しない(シークレット管理機構経由である)</t>
        </is>
      </c>
      <c r="G32" s="4" t="inlineStr">
        <is>
          <t>コードに埋め込まれた秘密情報はリポジトリ履歴に永久に残り、リポジトリ閲覧権限者全員やフォーク先へ漏洩する。漏洩後のローテーションコストは極めて高い。</t>
        </is>
      </c>
      <c r="H32" s="4" t="inlineStr">
        <is>
          <t>実務補完(NIST SSDF PW.1 / OWASP ASVS)</t>
        </is>
      </c>
      <c r="I32" s="4" t="inlineStr">
        <is>
          <t>CORE</t>
        </is>
      </c>
      <c r="J32" s="4" t="inlineStr">
        <is>
          <t>原則適用。案件スコープ・成果物・規制・リスク上非該当の場合はN/A根拠を記録。</t>
        </is>
      </c>
      <c r="K32" s="4" t="inlineStr">
        <is>
          <t>SRC-OWASP;SRC-NIST;SRC-PRACTICE</t>
        </is>
      </c>
      <c r="L32" s="4" t="inlineStr"/>
      <c r="M32" s="4" t="n"/>
      <c r="N32" s="4" t="n"/>
      <c r="O32" s="4" t="n"/>
      <c r="P32" s="4" t="n"/>
      <c r="Q32" s="4" t="n"/>
      <c r="R32" s="4" t="n"/>
      <c r="S32" s="4" t="n"/>
      <c r="T32" s="4" t="n"/>
      <c r="U32" s="4" t="n"/>
      <c r="V32" s="4" t="n"/>
      <c r="W32" s="4" t="n"/>
    </row>
    <row r="33">
      <c r="A33" s="5" t="inlineStr">
        <is>
          <t>CON-042</t>
        </is>
      </c>
      <c r="B33" s="5" t="inlineStr">
        <is>
          <t>SWEBOK</t>
        </is>
      </c>
      <c r="C33" s="4" t="inlineStr">
        <is>
          <t>5. セキュアコーディング(SWEBOK 4-3.3, ISO/IEC 27034, NIST SSDF)</t>
        </is>
      </c>
      <c r="D33" s="8" t="inlineStr">
        <is>
          <t>Critical</t>
        </is>
      </c>
      <c r="E33" s="4" t="inlineStr">
        <is>
          <t>バッファ・メモリ安全性が確保されている</t>
        </is>
      </c>
      <c r="F33" s="4" t="inlineStr">
        <is>
          <t>(該当言語で)境界チェックのない文字列/配列操作関数を使用せず、確保・解放が対で管理されている。静的解析のメモリ安全性警告がゼロ</t>
        </is>
      </c>
      <c r="G33" s="4" t="inlineStr">
        <is>
          <t>バッファオーバーフロー・解放後使用は任意コード実行に至る最悪クラスの脆弱性で、SWEBOKもC/C++ライブラリ関数の安全でない使用を明示的に警告している。</t>
        </is>
      </c>
      <c r="H33" s="4" t="inlineStr">
        <is>
          <t>swebok-v4a.pdf ch04 Software Construction &gt; 4-3.2 Construction Languages / 4-3.3 Coding(バッファオーバーフロー・配列境界)</t>
        </is>
      </c>
      <c r="I33" s="4" t="inlineStr">
        <is>
          <t>CORE</t>
        </is>
      </c>
      <c r="J33" s="4" t="inlineStr">
        <is>
          <t>原則適用。案件スコープ・成果物・規制・リスク上非該当の場合はN/A根拠を記録。</t>
        </is>
      </c>
      <c r="K33" s="4" t="inlineStr">
        <is>
          <t>SRC-SWEBOK-V4A</t>
        </is>
      </c>
      <c r="L33" s="4" t="inlineStr"/>
      <c r="M33" s="4" t="n"/>
      <c r="N33" s="4" t="n"/>
      <c r="O33" s="4" t="n"/>
      <c r="P33" s="4" t="n"/>
      <c r="Q33" s="4" t="n"/>
      <c r="R33" s="4" t="n"/>
      <c r="S33" s="4" t="n"/>
      <c r="T33" s="4" t="n"/>
      <c r="U33" s="4" t="n"/>
      <c r="V33" s="4" t="n"/>
      <c r="W33" s="4" t="n"/>
    </row>
    <row r="34">
      <c r="A34" s="5" t="inlineStr">
        <is>
          <t>CON-043</t>
        </is>
      </c>
      <c r="B34" s="5" t="inlineStr">
        <is>
          <t>SWEBOK</t>
        </is>
      </c>
      <c r="C34" s="4" t="inlineStr">
        <is>
          <t>5. セキュアコーディング(SWEBOK 4-3.3, ISO/IEC 27034, NIST SSDF)</t>
        </is>
      </c>
      <c r="D34" s="9" t="inlineStr">
        <is>
          <t>High</t>
        </is>
      </c>
      <c r="E34" s="4" t="inlineStr">
        <is>
          <t>出力時のエンコード・エスケープがある</t>
        </is>
      </c>
      <c r="F34" s="4" t="inlineStr">
        <is>
          <t>HTML/JSON/ログ等への出力時に文脈に応じたエスケープが行われている(XSS・ログ改ざん防止)</t>
        </is>
      </c>
      <c r="G34" s="4" t="inlineStr">
        <is>
          <t>出力時エスケープの欠如はXSSやログインジェクションとして、入力検証をすり抜けたデータが利用者・運用者への攻撃に転化する経路を作る。</t>
        </is>
      </c>
      <c r="H34" s="4" t="inlineStr">
        <is>
          <t>swebok-v4a.pdf ch04 Software Construction &gt; 4-3.3 Coding(セキュリティ侵害防止)/ 実務補完(OWASP: 文脈依存エンコード)</t>
        </is>
      </c>
      <c r="I34" s="4" t="inlineStr">
        <is>
          <t>CORE</t>
        </is>
      </c>
      <c r="J34" s="4" t="inlineStr">
        <is>
          <t>原則適用。案件スコープ・成果物・規制・リスク上非該当の場合はN/A根拠を記録。</t>
        </is>
      </c>
      <c r="K34" s="4" t="inlineStr">
        <is>
          <t>SRC-SWEBOK-V4A;SRC-OWASP;SRC-PRACTICE</t>
        </is>
      </c>
      <c r="L34" s="4" t="inlineStr"/>
      <c r="M34" s="4" t="n"/>
      <c r="N34" s="4" t="n"/>
      <c r="O34" s="4" t="n"/>
      <c r="P34" s="4" t="n"/>
      <c r="Q34" s="4" t="n"/>
      <c r="R34" s="4" t="n"/>
      <c r="S34" s="4" t="n"/>
      <c r="T34" s="4" t="n"/>
      <c r="U34" s="4" t="n"/>
      <c r="V34" s="4" t="n"/>
      <c r="W34" s="4" t="n"/>
    </row>
    <row r="35">
      <c r="A35" s="5" t="inlineStr">
        <is>
          <t>CON-044</t>
        </is>
      </c>
      <c r="B35" s="5" t="inlineStr">
        <is>
          <t>SWEBOK</t>
        </is>
      </c>
      <c r="C35" s="4" t="inlineStr">
        <is>
          <t>5. セキュアコーディング(SWEBOK 4-3.3, ISO/IEC 27034, NIST SSDF)</t>
        </is>
      </c>
      <c r="D35" s="9" t="inlineStr">
        <is>
          <t>High</t>
        </is>
      </c>
      <c r="E35" s="4" t="inlineStr">
        <is>
          <t>認可チェックが処理側にある</t>
        </is>
      </c>
      <c r="F35" s="4" t="inlineStr">
        <is>
          <t>保護対象の操作・データアクセスの直前でサーバ側の認可検証が行われている(クライアント側チェックのみに依存していない)</t>
        </is>
      </c>
      <c r="G35" s="4" t="inlineStr">
        <is>
          <t>クライアント側チェックのみの認可はリクエスト改変で容易に迂回され、権限のないデータ閲覧・操作(IDOR)を許す。サーバ側の処理直前チェックが唯一の防衛線。</t>
        </is>
      </c>
      <c r="H35" s="4" t="inlineStr">
        <is>
          <t>実務補完(OWASP Top 10: Broken Access Control)</t>
        </is>
      </c>
      <c r="I35" s="4" t="inlineStr">
        <is>
          <t>CORE</t>
        </is>
      </c>
      <c r="J35" s="4" t="inlineStr">
        <is>
          <t>原則適用。案件スコープ・成果物・規制・リスク上非該当の場合はN/A根拠を記録。</t>
        </is>
      </c>
      <c r="K35" s="4" t="inlineStr">
        <is>
          <t>SRC-OWASP;SRC-PRACTICE</t>
        </is>
      </c>
      <c r="L35" s="4" t="inlineStr">
        <is>
          <t>SEC-IAM</t>
        </is>
      </c>
      <c r="M35" s="4" t="n"/>
      <c r="N35" s="4" t="n"/>
      <c r="O35" s="4" t="n"/>
      <c r="P35" s="4" t="n"/>
      <c r="Q35" s="4" t="n"/>
      <c r="R35" s="4" t="n"/>
      <c r="S35" s="4" t="n"/>
      <c r="T35" s="4" t="n"/>
      <c r="U35" s="4" t="n"/>
      <c r="V35" s="4" t="n"/>
      <c r="W35" s="4" t="n"/>
    </row>
    <row r="36">
      <c r="A36" s="5" t="inlineStr">
        <is>
          <t>CON-045</t>
        </is>
      </c>
      <c r="B36" s="5" t="inlineStr">
        <is>
          <t>SWEBOK</t>
        </is>
      </c>
      <c r="C36" s="4" t="inlineStr">
        <is>
          <t>5. セキュアコーディング(SWEBOK 4-3.3, ISO/IEC 27034, NIST SSDF)</t>
        </is>
      </c>
      <c r="D36" s="9" t="inlineStr">
        <is>
          <t>High</t>
        </is>
      </c>
      <c r="E36" s="4" t="inlineStr">
        <is>
          <t>安全な暗号・乱数が使われている</t>
        </is>
      </c>
      <c r="F36" s="4" t="inlineStr">
        <is>
          <t>独自暗号を実装せず、標準ライブラリの暗号APIを使用。セキュリティ用途に非暗号論的乱数(rand 等)を使っていない</t>
        </is>
      </c>
      <c r="G36" s="4" t="inlineStr">
        <is>
          <t>独自暗号や非暗号論的乱数のセキュリティ用途使用は、専門家には既知の手法で突破される「守っているつもり」の状態を生む。実績ある標準実装のみを許す。</t>
        </is>
      </c>
      <c r="H36" s="4" t="inlineStr">
        <is>
          <t>実務補完(NIST SSDF / CWE-327, CWE-338)</t>
        </is>
      </c>
      <c r="I36" s="4" t="inlineStr">
        <is>
          <t>CORE</t>
        </is>
      </c>
      <c r="J36" s="4" t="inlineStr">
        <is>
          <t>原則適用。案件スコープ・成果物・規制・リスク上非該当の場合はN/A根拠を記録。</t>
        </is>
      </c>
      <c r="K36" s="4" t="inlineStr">
        <is>
          <t>SRC-NIST;SRC-PRACTICE</t>
        </is>
      </c>
      <c r="L36" s="4" t="inlineStr">
        <is>
          <t>SEC-CRYPTO</t>
        </is>
      </c>
      <c r="M36" s="4" t="n"/>
      <c r="N36" s="4" t="n"/>
      <c r="O36" s="4" t="n"/>
      <c r="P36" s="4" t="n"/>
      <c r="Q36" s="4" t="n"/>
      <c r="R36" s="4" t="n"/>
      <c r="S36" s="4" t="n"/>
      <c r="T36" s="4" t="n"/>
      <c r="U36" s="4" t="n"/>
      <c r="V36" s="4" t="n"/>
      <c r="W36" s="4" t="n"/>
    </row>
    <row r="37">
      <c r="A37" s="5" t="inlineStr">
        <is>
          <t>CON-046</t>
        </is>
      </c>
      <c r="B37" s="5" t="inlineStr">
        <is>
          <t>SWEBOK</t>
        </is>
      </c>
      <c r="C37" s="4" t="inlineStr">
        <is>
          <t>5. セキュアコーディング(SWEBOK 4-3.3, ISO/IEC 27034, NIST SSDF)</t>
        </is>
      </c>
      <c r="D37" s="10" t="inlineStr">
        <is>
          <t>Medium</t>
        </is>
      </c>
      <c r="E37" s="4" t="inlineStr">
        <is>
          <t>機密データがログ・エラーに漏れない</t>
        </is>
      </c>
      <c r="F37" s="4" t="inlineStr">
        <is>
          <t>個人情報・認証情報がログ・例外メッセージ・スタックトレース経由で出力されない(マスキングされている)</t>
        </is>
      </c>
      <c r="G37" s="4" t="inlineStr">
        <is>
          <t>ログ・スタックトレースは監視基盤等アクセス制御の緩い場所へ複製されやすく、そこに載った個人情報・認証情報は漏洩事故と法令違反(個人情報保護)に直結する。</t>
        </is>
      </c>
      <c r="H37" s="4" t="inlineStr">
        <is>
          <t>実務補完(OWASP ASVS: ログ保護)</t>
        </is>
      </c>
      <c r="I37" s="4" t="inlineStr">
        <is>
          <t>CORE</t>
        </is>
      </c>
      <c r="J37" s="4" t="inlineStr">
        <is>
          <t>原則適用。案件スコープ・成果物・規制・リスク上非該当の場合はN/A根拠を記録。</t>
        </is>
      </c>
      <c r="K37" s="4" t="inlineStr">
        <is>
          <t>SRC-OWASP;SRC-PRACTICE</t>
        </is>
      </c>
      <c r="L37" s="4" t="inlineStr">
        <is>
          <t>OPS-OBSERVABILITY</t>
        </is>
      </c>
      <c r="M37" s="4" t="n"/>
      <c r="N37" s="4" t="n"/>
      <c r="O37" s="4" t="n"/>
      <c r="P37" s="4" t="n"/>
      <c r="Q37" s="4" t="n"/>
      <c r="R37" s="4" t="n"/>
      <c r="S37" s="4" t="n"/>
      <c r="T37" s="4" t="n"/>
      <c r="U37" s="4" t="n"/>
      <c r="V37" s="4" t="n"/>
      <c r="W37" s="4" t="n"/>
    </row>
    <row r="38">
      <c r="A38" s="5" t="inlineStr">
        <is>
          <t>CON-050</t>
        </is>
      </c>
      <c r="B38" s="5" t="inlineStr">
        <is>
          <t>SWEBOK</t>
        </is>
      </c>
      <c r="C38" s="4" t="inlineStr">
        <is>
          <t>6. 並行処理(SWEBOK 4-4.10)</t>
        </is>
      </c>
      <c r="D38" s="8" t="inlineStr">
        <is>
          <t>Critical</t>
        </is>
      </c>
      <c r="E38" s="4" t="inlineStr">
        <is>
          <t>共有可変状態が同期化されている</t>
        </is>
      </c>
      <c r="F38" s="4" t="inlineStr">
        <is>
          <t>複数スレッド/タスクから読み書きされる可変データすべてに同期機構(ミューテックス・モニタ・アトミック型)または不変化・メッセージ渡しの対策があり、対策のない共有可変変数がない</t>
        </is>
      </c>
      <c r="G38" s="4" t="inlineStr">
        <is>
          <t>無同期の共有可変状態はデータ競合を生み、負荷やタイミング依存で稀にしか再現しない破壊的バグとして本番でのみ顕在化する。SWEBOKの並行処理プリミティブはこの対策の道具立て。</t>
        </is>
      </c>
      <c r="H38" s="4" t="inlineStr">
        <is>
          <t>swebok-v4a.pdf ch04 Software Construction &gt; 4-4.10 Concurrency Primitives(セマフォ・モニタ・ミューテックス)</t>
        </is>
      </c>
      <c r="I38" s="4" t="inlineStr">
        <is>
          <t>CORE</t>
        </is>
      </c>
      <c r="J38" s="4" t="inlineStr">
        <is>
          <t>原則適用。案件スコープ・成果物・規制・リスク上非該当の場合はN/A根拠を記録。</t>
        </is>
      </c>
      <c r="K38" s="4" t="inlineStr">
        <is>
          <t>SRC-SWEBOK-V4A</t>
        </is>
      </c>
      <c r="L38" s="4" t="inlineStr"/>
      <c r="M38" s="4" t="n"/>
      <c r="N38" s="4" t="n"/>
      <c r="O38" s="4" t="n"/>
      <c r="P38" s="4" t="n"/>
      <c r="Q38" s="4" t="n"/>
      <c r="R38" s="4" t="n"/>
      <c r="S38" s="4" t="n"/>
      <c r="T38" s="4" t="n"/>
      <c r="U38" s="4" t="n"/>
      <c r="V38" s="4" t="n"/>
      <c r="W38" s="4" t="n"/>
    </row>
    <row r="39">
      <c r="A39" s="5" t="inlineStr">
        <is>
          <t>CON-051</t>
        </is>
      </c>
      <c r="B39" s="5" t="inlineStr">
        <is>
          <t>SWEBOK</t>
        </is>
      </c>
      <c r="C39" s="4" t="inlineStr">
        <is>
          <t>6. 並行処理(SWEBOK 4-4.10)</t>
        </is>
      </c>
      <c r="D39" s="8" t="inlineStr">
        <is>
          <t>Critical</t>
        </is>
      </c>
      <c r="E39" s="4" t="inlineStr">
        <is>
          <t>デッドロックの構造的予防がある</t>
        </is>
      </c>
      <c r="F39" s="4" t="inlineStr">
        <is>
          <t>複数ロックの取得順序が全箇所で一定であるか、単一ロック設計になっている。ロック保持中の外部呼び出し(I/O・コールバック)がない</t>
        </is>
      </c>
      <c r="G39" s="4" t="inlineStr">
        <is>
          <t>デッドロックは発生すると系全体が無応答のまま固まり、再起動でしか復旧できない。ロック順序の統一など構造的予防でしか確実に防げない。</t>
        </is>
      </c>
      <c r="H39" s="4" t="inlineStr">
        <is>
          <t>swebok-v4a.pdf ch04 Software Construction &gt; 4-4.10 Concurrency Primitives / 4-3.3 Coding(排他機構の規律ある使用)</t>
        </is>
      </c>
      <c r="I39" s="4" t="inlineStr">
        <is>
          <t>CORE</t>
        </is>
      </c>
      <c r="J39" s="4" t="inlineStr">
        <is>
          <t>原則適用。案件スコープ・成果物・規制・リスク上非該当の場合はN/A根拠を記録。</t>
        </is>
      </c>
      <c r="K39" s="4" t="inlineStr">
        <is>
          <t>SRC-SWEBOK-V4A</t>
        </is>
      </c>
      <c r="L39" s="4" t="inlineStr"/>
      <c r="M39" s="4" t="n"/>
      <c r="N39" s="4" t="n"/>
      <c r="O39" s="4" t="n"/>
      <c r="P39" s="4" t="n"/>
      <c r="Q39" s="4" t="n"/>
      <c r="R39" s="4" t="n"/>
      <c r="S39" s="4" t="n"/>
      <c r="T39" s="4" t="n"/>
      <c r="U39" s="4" t="n"/>
      <c r="V39" s="4" t="n"/>
      <c r="W39" s="4" t="n"/>
    </row>
    <row r="40">
      <c r="A40" s="5" t="inlineStr">
        <is>
          <t>CON-052</t>
        </is>
      </c>
      <c r="B40" s="5" t="inlineStr">
        <is>
          <t>SWEBOK</t>
        </is>
      </c>
      <c r="C40" s="4" t="inlineStr">
        <is>
          <t>6. 並行処理(SWEBOK 4-4.10)</t>
        </is>
      </c>
      <c r="D40" s="9" t="inlineStr">
        <is>
          <t>High</t>
        </is>
      </c>
      <c r="E40" s="4" t="inlineStr">
        <is>
          <t>ロック解放が例外時も保証される</t>
        </is>
      </c>
      <c r="F40" s="4" t="inlineStr">
        <is>
          <t>ロック取得と解放が finally/RAII/using 等の言語機構で対になっており、早期return・例外で解放漏れが起きない</t>
        </is>
      </c>
      <c r="G40" s="4" t="inlineStr">
        <is>
          <t>例外経路でのロック解放漏れは、以降そのロックを待つ全スレッドを永久ブロックさせる。言語機構による対の保証で人為ミスを排除する。</t>
        </is>
      </c>
      <c r="H40" s="4" t="inlineStr">
        <is>
          <t>swebok-v4a.pdf ch04 Software Construction &gt; 4-4.10 Concurrency Primitives / 4-4.5(エラー経路の後処理)</t>
        </is>
      </c>
      <c r="I40" s="4" t="inlineStr">
        <is>
          <t>CORE</t>
        </is>
      </c>
      <c r="J40" s="4" t="inlineStr">
        <is>
          <t>原則適用。案件スコープ・成果物・規制・リスク上非該当の場合はN/A根拠を記録。</t>
        </is>
      </c>
      <c r="K40" s="4" t="inlineStr">
        <is>
          <t>SRC-SWEBOK-V4A</t>
        </is>
      </c>
      <c r="L40" s="4" t="inlineStr"/>
      <c r="M40" s="4" t="n"/>
      <c r="N40" s="4" t="n"/>
      <c r="O40" s="4" t="n"/>
      <c r="P40" s="4" t="n"/>
      <c r="Q40" s="4" t="n"/>
      <c r="R40" s="4" t="n"/>
      <c r="S40" s="4" t="n"/>
      <c r="T40" s="4" t="n"/>
      <c r="U40" s="4" t="n"/>
      <c r="V40" s="4" t="n"/>
      <c r="W40" s="4" t="n"/>
    </row>
    <row r="41">
      <c r="A41" s="5" t="inlineStr">
        <is>
          <t>CON-053</t>
        </is>
      </c>
      <c r="B41" s="5" t="inlineStr">
        <is>
          <t>SWEBOK</t>
        </is>
      </c>
      <c r="C41" s="4" t="inlineStr">
        <is>
          <t>6. 並行処理(SWEBOK 4-4.10)</t>
        </is>
      </c>
      <c r="D41" s="9" t="inlineStr">
        <is>
          <t>High</t>
        </is>
      </c>
      <c r="E41" s="4" t="inlineStr">
        <is>
          <t>自作同期機構を使っていない</t>
        </is>
      </c>
      <c r="F41" s="4" t="inlineStr">
        <is>
          <t>セマフォ・ミューテックス・並行コレクション等、言語/標準ライブラリの実績あるプリミティブを使用し、フラグ変数ポーリングや二重チェックロック等の自作機構がない</t>
        </is>
      </c>
      <c r="G41" s="4" t="inlineStr">
        <is>
          <t>自作同期機構はメモリモデルの微妙な仕様(可視性・リオーダリング)を踏み外しやすく、テストでは検出不能な競合を埋め込む。実績あるプリミティブの使用が唯一安全。</t>
        </is>
      </c>
      <c r="H41" s="4" t="inlineStr">
        <is>
          <t>swebok-v4a.pdf ch04 Software Construction &gt; 4-4.10 Concurrency Primitives(言語/OS提供の抽象を使う)</t>
        </is>
      </c>
      <c r="I41" s="4" t="inlineStr">
        <is>
          <t>CORE</t>
        </is>
      </c>
      <c r="J41" s="4" t="inlineStr">
        <is>
          <t>原則適用。案件スコープ・成果物・規制・リスク上非該当の場合はN/A根拠を記録。</t>
        </is>
      </c>
      <c r="K41" s="4" t="inlineStr">
        <is>
          <t>SRC-SWEBOK-V4A</t>
        </is>
      </c>
      <c r="L41" s="4" t="inlineStr"/>
      <c r="M41" s="4" t="n"/>
      <c r="N41" s="4" t="n"/>
      <c r="O41" s="4" t="n"/>
      <c r="P41" s="4" t="n"/>
      <c r="Q41" s="4" t="n"/>
      <c r="R41" s="4" t="n"/>
      <c r="S41" s="4" t="n"/>
      <c r="T41" s="4" t="n"/>
      <c r="U41" s="4" t="n"/>
      <c r="V41" s="4" t="n"/>
      <c r="W41" s="4" t="n"/>
    </row>
    <row r="42">
      <c r="A42" s="5" t="inlineStr">
        <is>
          <t>CON-054</t>
        </is>
      </c>
      <c r="B42" s="5" t="inlineStr">
        <is>
          <t>SWEBOK</t>
        </is>
      </c>
      <c r="C42" s="4" t="inlineStr">
        <is>
          <t>6. 並行処理(SWEBOK 4-4.10)</t>
        </is>
      </c>
      <c r="D42" s="10" t="inlineStr">
        <is>
          <t>Medium</t>
        </is>
      </c>
      <c r="E42" s="4" t="inlineStr">
        <is>
          <t>チェックと使用の分離(TOCTOU)がない</t>
        </is>
      </c>
      <c r="F42" s="4" t="inlineStr">
        <is>
          <t>「検査してから操作する」処理(存在確認→作成等)がアトミック操作または同一ロック内で行われている</t>
        </is>
      </c>
      <c r="G42" s="4" t="inlineStr">
        <is>
          <t>検査と使用の間の割り込みは「存在確認したのに作成で失敗」等の間欠バグとなり、セキュリティ文脈では権限昇格(TOCTOU攻撃)にもつながる。</t>
        </is>
      </c>
      <c r="H42" s="4" t="inlineStr">
        <is>
          <t>swebok-v4a.pdf ch04 Software Construction &gt; 4-4.10 Concurrency Primitives(実務補完: CWE-367)</t>
        </is>
      </c>
      <c r="I42" s="4" t="inlineStr">
        <is>
          <t>CORE</t>
        </is>
      </c>
      <c r="J42" s="4" t="inlineStr">
        <is>
          <t>原則適用。案件スコープ・成果物・規制・リスク上非該当の場合はN/A根拠を記録。</t>
        </is>
      </c>
      <c r="K42" s="4" t="inlineStr">
        <is>
          <t>SRC-SWEBOK-V4A;SRC-PRACTICE</t>
        </is>
      </c>
      <c r="L42" s="4" t="inlineStr"/>
      <c r="M42" s="4" t="n"/>
      <c r="N42" s="4" t="n"/>
      <c r="O42" s="4" t="n"/>
      <c r="P42" s="4" t="n"/>
      <c r="Q42" s="4" t="n"/>
      <c r="R42" s="4" t="n"/>
      <c r="S42" s="4" t="n"/>
      <c r="T42" s="4" t="n"/>
      <c r="U42" s="4" t="n"/>
      <c r="V42" s="4" t="n"/>
      <c r="W42" s="4" t="n"/>
    </row>
    <row r="43">
      <c r="A43" s="5" t="inlineStr">
        <is>
          <t>CON-055</t>
        </is>
      </c>
      <c r="B43" s="5" t="inlineStr">
        <is>
          <t>SWEBOK</t>
        </is>
      </c>
      <c r="C43" s="4" t="inlineStr">
        <is>
          <t>6. 並行処理(SWEBOK 4-4.10)</t>
        </is>
      </c>
      <c r="D43" s="10" t="inlineStr">
        <is>
          <t>Medium</t>
        </is>
      </c>
      <c r="E43" s="4" t="inlineStr">
        <is>
          <t>スレッド安全性が文書化されている</t>
        </is>
      </c>
      <c r="F43" s="4" t="inlineStr">
        <is>
          <t>公開クラス・関数のスレッド安全性(安全/条件付き/非安全)がdocコメントに明記されている</t>
        </is>
      </c>
      <c r="G43" s="4" t="inlineStr">
        <is>
          <t>スレッド安全性が不明なAPIは利用者に「たぶん安全」という賭けを強い、非安全なクラスのマルチスレッド利用という気づきにくい欠陥を生む。</t>
        </is>
      </c>
      <c r="H43" s="4" t="inlineStr">
        <is>
          <t>swebok-v4a.pdf ch04 Software Construction &gt; 4-4.10 Concurrency Primitives / 4-4.1 API Design(セマンティクスの明示)</t>
        </is>
      </c>
      <c r="I43" s="4" t="inlineStr">
        <is>
          <t>CORE</t>
        </is>
      </c>
      <c r="J43" s="4" t="inlineStr">
        <is>
          <t>原則適用。案件スコープ・成果物・規制・リスク上非該当の場合はN/A根拠を記録。</t>
        </is>
      </c>
      <c r="K43" s="4" t="inlineStr">
        <is>
          <t>SRC-SWEBOK-V4A</t>
        </is>
      </c>
      <c r="L43" s="4" t="inlineStr"/>
      <c r="M43" s="4" t="n"/>
      <c r="N43" s="4" t="n"/>
      <c r="O43" s="4" t="n"/>
      <c r="P43" s="4" t="n"/>
      <c r="Q43" s="4" t="n"/>
      <c r="R43" s="4" t="n"/>
      <c r="S43" s="4" t="n"/>
      <c r="T43" s="4" t="n"/>
      <c r="U43" s="4" t="n"/>
      <c r="V43" s="4" t="n"/>
      <c r="W43" s="4" t="n"/>
    </row>
    <row r="44">
      <c r="A44" s="5" t="inlineStr">
        <is>
          <t>CON-056</t>
        </is>
      </c>
      <c r="B44" s="5" t="inlineStr">
        <is>
          <t>SWEBOK</t>
        </is>
      </c>
      <c r="C44" s="4" t="inlineStr">
        <is>
          <t>6. 並行処理(SWEBOK 4-4.10)</t>
        </is>
      </c>
      <c r="D44" s="10" t="inlineStr">
        <is>
          <t>Medium</t>
        </is>
      </c>
      <c r="E44" s="4" t="inlineStr">
        <is>
          <t>非同期処理の完了とキャンセルが扱われている</t>
        </is>
      </c>
      <c r="F44" s="4" t="inlineStr">
        <is>
          <t>生成したスレッド・タスク・ゴルーチンの完了待ち/キャンセル/タイムアウトの経路があり、放置される(fire-and-forget の)処理には明示の理由がある</t>
        </is>
      </c>
      <c r="G44" s="4" t="inlineStr">
        <is>
          <t>fire-and-forgetのタスクは失敗が誰にも観測されず、シャットダウン時の処理中断やリソースリークの原因になる。完了・キャンセル経路の明示で制御下に置く。</t>
        </is>
      </c>
      <c r="H44" s="4" t="inlineStr">
        <is>
          <t>swebok-v4a.pdf ch04 Software Construction &gt; 4-4.10 Concurrency Primitives / 4-4.12(並行・分散の実務補完)</t>
        </is>
      </c>
      <c r="I44" s="4" t="inlineStr">
        <is>
          <t>CORE</t>
        </is>
      </c>
      <c r="J44" s="4" t="inlineStr">
        <is>
          <t>原則適用。案件スコープ・成果物・規制・リスク上非該当の場合はN/A根拠を記録。</t>
        </is>
      </c>
      <c r="K44" s="4" t="inlineStr">
        <is>
          <t>SRC-SWEBOK-V4A;SRC-PRACTICE</t>
        </is>
      </c>
      <c r="L44" s="4" t="inlineStr"/>
      <c r="M44" s="4" t="n"/>
      <c r="N44" s="4" t="n"/>
      <c r="O44" s="4" t="n"/>
      <c r="P44" s="4" t="n"/>
      <c r="Q44" s="4" t="n"/>
      <c r="R44" s="4" t="n"/>
      <c r="S44" s="4" t="n"/>
      <c r="T44" s="4" t="n"/>
      <c r="U44" s="4" t="n"/>
      <c r="V44" s="4" t="n"/>
      <c r="W44" s="4" t="n"/>
    </row>
    <row r="45">
      <c r="A45" s="5" t="inlineStr">
        <is>
          <t>CON-060</t>
        </is>
      </c>
      <c r="B45" s="5" t="inlineStr">
        <is>
          <t>SWEBOK</t>
        </is>
      </c>
      <c r="C45" s="4" t="inlineStr">
        <is>
          <t>7. リソース管理・性能(SWEBOK 4-4.14)</t>
        </is>
      </c>
      <c r="D45" s="8" t="inlineStr">
        <is>
          <t>Critical</t>
        </is>
      </c>
      <c r="E45" s="4" t="inlineStr">
        <is>
          <t>リソースの解放が保証されている</t>
        </is>
      </c>
      <c r="F45" s="4" t="inlineStr">
        <is>
          <t>ファイル・ソケット・DB接続・ハンドルの取得箇所すべてに、例外時も実行される解放処理(try-with-resources/defer/with/RAII)がある</t>
        </is>
      </c>
      <c r="G45" s="4" t="inlineStr">
        <is>
          <t>解放されないファイル・接続・ハンドルは長時間稼働で枯渇し、「数日に一度落ちる」型の再現困難な本番障害を引き起こす。</t>
        </is>
      </c>
      <c r="H45" s="4" t="inlineStr">
        <is>
          <t>swebok-v4a.pdf ch04 Software Construction &gt; 4-3.3 Coding(直列再利用可能資源へのアクセス規律)</t>
        </is>
      </c>
      <c r="I45" s="4" t="inlineStr">
        <is>
          <t>CORE</t>
        </is>
      </c>
      <c r="J45" s="4" t="inlineStr">
        <is>
          <t>原則適用。案件スコープ・成果物・規制・リスク上非該当の場合はN/A根拠を記録。</t>
        </is>
      </c>
      <c r="K45" s="4" t="inlineStr">
        <is>
          <t>SRC-SWEBOK-V4A</t>
        </is>
      </c>
      <c r="L45" s="4" t="inlineStr"/>
      <c r="M45" s="4" t="n"/>
      <c r="N45" s="4" t="n"/>
      <c r="O45" s="4" t="n"/>
      <c r="P45" s="4" t="n"/>
      <c r="Q45" s="4" t="n"/>
      <c r="R45" s="4" t="n"/>
      <c r="S45" s="4" t="n"/>
      <c r="T45" s="4" t="n"/>
      <c r="U45" s="4" t="n"/>
      <c r="V45" s="4" t="n"/>
      <c r="W45" s="4" t="n"/>
    </row>
    <row r="46">
      <c r="A46" s="5" t="inlineStr">
        <is>
          <t>CON-061</t>
        </is>
      </c>
      <c r="B46" s="5" t="inlineStr">
        <is>
          <t>SWEBOK</t>
        </is>
      </c>
      <c r="C46" s="4" t="inlineStr">
        <is>
          <t>7. リソース管理・性能(SWEBOK 4-4.14)</t>
        </is>
      </c>
      <c r="D46" s="9" t="inlineStr">
        <is>
          <t>High</t>
        </is>
      </c>
      <c r="E46" s="4" t="inlineStr">
        <is>
          <t>ループ内の高コスト処理が排除されている</t>
        </is>
      </c>
      <c r="F46" s="4" t="inlineStr">
        <is>
          <t>ループ内での不変値の再計算、N+1クエリ、逐次的な文字列連結による再確保など、計算量を悪化させる定型パターンがない</t>
        </is>
      </c>
      <c r="G46" s="4" t="inlineStr">
        <is>
          <t>N+1クエリやループ内再計算は小規模データのテストでは気づかれず、本番データ量で応答時間が桁違いに悪化してから発覚する。コードレビュー段階の検出が最も安価。</t>
        </is>
      </c>
      <c r="H46" s="4" t="inlineStr">
        <is>
          <t>swebok-v4a.pdf ch04 Software Construction &gt; 4-4.14 Performance Analysis and Tuning(ループ・式のチューニング)</t>
        </is>
      </c>
      <c r="I46" s="4" t="inlineStr">
        <is>
          <t>CORE</t>
        </is>
      </c>
      <c r="J46" s="4" t="inlineStr">
        <is>
          <t>原則適用。案件スコープ・成果物・規制・リスク上非該当の場合はN/A根拠を記録。</t>
        </is>
      </c>
      <c r="K46" s="4" t="inlineStr">
        <is>
          <t>SRC-SWEBOK-V4A</t>
        </is>
      </c>
      <c r="L46" s="4" t="inlineStr">
        <is>
          <t>COST</t>
        </is>
      </c>
      <c r="M46" s="4" t="n"/>
      <c r="N46" s="4" t="n"/>
      <c r="O46" s="4" t="n"/>
      <c r="P46" s="4" t="n"/>
      <c r="Q46" s="4" t="n"/>
      <c r="R46" s="4" t="n"/>
      <c r="S46" s="4" t="n"/>
      <c r="T46" s="4" t="n"/>
      <c r="U46" s="4" t="n"/>
      <c r="V46" s="4" t="n"/>
      <c r="W46" s="4" t="n"/>
    </row>
    <row r="47">
      <c r="A47" s="5" t="inlineStr">
        <is>
          <t>CON-062</t>
        </is>
      </c>
      <c r="B47" s="5" t="inlineStr">
        <is>
          <t>SWEBOK</t>
        </is>
      </c>
      <c r="C47" s="4" t="inlineStr">
        <is>
          <t>7. リソース管理・性能(SWEBOK 4-4.14)</t>
        </is>
      </c>
      <c r="D47" s="10" t="inlineStr">
        <is>
          <t>Medium</t>
        </is>
      </c>
      <c r="E47" s="4" t="inlineStr">
        <is>
          <t>データ構造・アルゴリズムの選択が妥当である</t>
        </is>
      </c>
      <c r="F47" s="4" t="inlineStr">
        <is>
          <t>データ量に対して計算量が成立する構造が選ばれている(大量データへの線形探索の繰り返し等がない)。大規模データはストリーミング/ページングで処理される</t>
        </is>
      </c>
      <c r="G47" s="4" t="inlineStr">
        <is>
          <t>計算量が成立しないデータ構造の選択は、後からの差し替えコストが大きく、データ増加とともに静かに劣化するため早期のレビューで正す必要がある。</t>
        </is>
      </c>
      <c r="H47" s="4" t="inlineStr">
        <is>
          <t>swebok-v4a.pdf ch04 Software Construction &gt; 4-4.14 Performance Analysis(アルゴリズム・データ構造選択が効率を決定)</t>
        </is>
      </c>
      <c r="I47" s="4" t="inlineStr">
        <is>
          <t>CORE</t>
        </is>
      </c>
      <c r="J47" s="4" t="inlineStr">
        <is>
          <t>原則適用。案件スコープ・成果物・規制・リスク上非該当の場合はN/A根拠を記録。</t>
        </is>
      </c>
      <c r="K47" s="4" t="inlineStr">
        <is>
          <t>SRC-SWEBOK-V4A</t>
        </is>
      </c>
      <c r="L47" s="4" t="inlineStr"/>
      <c r="M47" s="4" t="n"/>
      <c r="N47" s="4" t="n"/>
      <c r="O47" s="4" t="n"/>
      <c r="P47" s="4" t="n"/>
      <c r="Q47" s="4" t="n"/>
      <c r="R47" s="4" t="n"/>
      <c r="S47" s="4" t="n"/>
      <c r="T47" s="4" t="n"/>
      <c r="U47" s="4" t="n"/>
      <c r="V47" s="4" t="n"/>
      <c r="W47" s="4" t="n"/>
    </row>
    <row r="48">
      <c r="A48" s="5" t="inlineStr">
        <is>
          <t>CON-063</t>
        </is>
      </c>
      <c r="B48" s="5" t="inlineStr">
        <is>
          <t>SWEBOK</t>
        </is>
      </c>
      <c r="C48" s="4" t="inlineStr">
        <is>
          <t>7. リソース管理・性能(SWEBOK 4-4.14)</t>
        </is>
      </c>
      <c r="D48" s="10" t="inlineStr">
        <is>
          <t>Medium</t>
        </is>
      </c>
      <c r="E48" s="4" t="inlineStr">
        <is>
          <t>チューニングは計測に基づいている</t>
        </is>
      </c>
      <c r="F48" s="4" t="inlineStr">
        <is>
          <t>可読性を犠牲にした最適化コードには、プロファイリング結果等の根拠(コメントまたはレビュー記録)が添えられている</t>
        </is>
      </c>
      <c r="G48" s="4" t="inlineStr">
        <is>
          <t>推測に基づく最適化は可読性を犠牲にしながら実際のホットスポットを外すことが多い。SWEBOKの性能分析(プロファイリングでホットスポット特定→チューニング)の順序を強制する。</t>
        </is>
      </c>
      <c r="H48" s="4" t="inlineStr">
        <is>
          <t>swebok-v4a.pdf ch04 Software Construction &gt; 4-4.14 Performance Analysis and Tuning / 4-5.4 Profiling Tools</t>
        </is>
      </c>
      <c r="I48" s="4" t="inlineStr">
        <is>
          <t>CORE</t>
        </is>
      </c>
      <c r="J48" s="4" t="inlineStr">
        <is>
          <t>原則適用。案件スコープ・成果物・規制・リスク上非該当の場合はN/A根拠を記録。</t>
        </is>
      </c>
      <c r="K48" s="4" t="inlineStr">
        <is>
          <t>SRC-SWEBOK-V4A</t>
        </is>
      </c>
      <c r="L48" s="4" t="inlineStr"/>
      <c r="M48" s="4" t="n"/>
      <c r="N48" s="4" t="n"/>
      <c r="O48" s="4" t="n"/>
      <c r="P48" s="4" t="n"/>
      <c r="Q48" s="4" t="n"/>
      <c r="R48" s="4" t="n"/>
      <c r="S48" s="4" t="n"/>
      <c r="T48" s="4" t="n"/>
      <c r="U48" s="4" t="n"/>
      <c r="V48" s="4" t="n"/>
      <c r="W48" s="4" t="n"/>
    </row>
    <row r="49">
      <c r="A49" s="5" t="inlineStr">
        <is>
          <t>CON-064</t>
        </is>
      </c>
      <c r="B49" s="5" t="inlineStr">
        <is>
          <t>SWEBOK</t>
        </is>
      </c>
      <c r="C49" s="4" t="inlineStr">
        <is>
          <t>7. リソース管理・性能(SWEBOK 4-4.14)</t>
        </is>
      </c>
      <c r="D49" s="10" t="inlineStr">
        <is>
          <t>Medium</t>
        </is>
      </c>
      <c r="E49" s="4" t="inlineStr">
        <is>
          <t>接続・スレッドがプール管理されている</t>
        </is>
      </c>
      <c r="F49" s="4" t="inlineStr">
        <is>
          <t>DB接続・HTTPクライアント等の高コスト資源が都度生成されず、プール/共有インスタンスで管理され、上限が設定されている</t>
        </is>
      </c>
      <c r="G49" s="4" t="inlineStr">
        <is>
          <t>高コスト資源の都度生成は接続確立オーバーヘッドとリソース枯渇を招き、上限のないプールは障害時に接続爆発で依存先を巻き込む。</t>
        </is>
      </c>
      <c r="H49" s="4" t="inlineStr">
        <is>
          <t>swebok-v4a.pdf ch04 Software Construction &gt; 4-4.14 Performance(実務補完: 接続プール管理)</t>
        </is>
      </c>
      <c r="I49" s="4" t="inlineStr">
        <is>
          <t>CORE</t>
        </is>
      </c>
      <c r="J49" s="4" t="inlineStr">
        <is>
          <t>原則適用。案件スコープ・成果物・規制・リスク上非該当の場合はN/A根拠を記録。</t>
        </is>
      </c>
      <c r="K49" s="4" t="inlineStr">
        <is>
          <t>SRC-SWEBOK-V4A;SRC-PRACTICE</t>
        </is>
      </c>
      <c r="L49" s="4" t="inlineStr"/>
      <c r="M49" s="4" t="n"/>
      <c r="N49" s="4" t="n"/>
      <c r="O49" s="4" t="n"/>
      <c r="P49" s="4" t="n"/>
      <c r="Q49" s="4" t="n"/>
      <c r="R49" s="4" t="n"/>
      <c r="S49" s="4" t="n"/>
      <c r="T49" s="4" t="n"/>
      <c r="U49" s="4" t="n"/>
      <c r="V49" s="4" t="n"/>
      <c r="W49" s="4" t="n"/>
    </row>
    <row r="50">
      <c r="A50" s="5" t="inlineStr">
        <is>
          <t>CON-065</t>
        </is>
      </c>
      <c r="B50" s="5" t="inlineStr">
        <is>
          <t>SWEBOK</t>
        </is>
      </c>
      <c r="C50" s="4" t="inlineStr">
        <is>
          <t>7. リソース管理・性能(SWEBOK 4-4.14)</t>
        </is>
      </c>
      <c r="D50" s="11" t="inlineStr">
        <is>
          <t>Low</t>
        </is>
      </c>
      <c r="E50" s="4" t="inlineStr">
        <is>
          <t>メモリ保持の上限がある</t>
        </is>
      </c>
      <c r="F50" s="4" t="inlineStr">
        <is>
          <t>無制限に成長しうるキャッシュ・コレクションに上限・破棄方針(サイズ上限・TTL)がある</t>
        </is>
      </c>
      <c r="G50" s="4" t="inlineStr">
        <is>
          <t>上限のないキャッシュ・コレクションは正常動作のままメモリを食い潰し、OOMによる突然死という最も切り分けにくい障害になる。</t>
        </is>
      </c>
      <c r="H50" s="4" t="inlineStr">
        <is>
          <t>swebok-v4a.pdf ch04 Software Construction &gt; 4-4.14 Performance(実務補完: メモリ管理)</t>
        </is>
      </c>
      <c r="I50" s="4" t="inlineStr">
        <is>
          <t>CORE</t>
        </is>
      </c>
      <c r="J50" s="4" t="inlineStr">
        <is>
          <t>原則適用。案件スコープ・成果物・規制・リスク上非該当の場合はN/A根拠を記録。</t>
        </is>
      </c>
      <c r="K50" s="4" t="inlineStr">
        <is>
          <t>SRC-SWEBOK-V4A;SRC-PRACTICE</t>
        </is>
      </c>
      <c r="L50" s="4" t="inlineStr"/>
      <c r="M50" s="4" t="n"/>
      <c r="N50" s="4" t="n"/>
      <c r="O50" s="4" t="n"/>
      <c r="P50" s="4" t="n"/>
      <c r="Q50" s="4" t="n"/>
      <c r="R50" s="4" t="n"/>
      <c r="S50" s="4" t="n"/>
      <c r="T50" s="4" t="n"/>
      <c r="U50" s="4" t="n"/>
      <c r="V50" s="4" t="n"/>
      <c r="W50" s="4" t="n"/>
    </row>
    <row r="51">
      <c r="A51" s="5" t="inlineStr">
        <is>
          <t>CON-070</t>
        </is>
      </c>
      <c r="B51" s="5" t="inlineStr">
        <is>
          <t>SWEBOK</t>
        </is>
      </c>
      <c r="C51" s="4" t="inlineStr">
        <is>
          <t>8. API設計・インタフェース(SWEBOK 4-4.1)</t>
        </is>
      </c>
      <c r="D51" s="9" t="inlineStr">
        <is>
          <t>High</t>
        </is>
      </c>
      <c r="E51" s="4" t="inlineStr">
        <is>
          <t>APIが誤用しにくい設計である</t>
        </is>
      </c>
      <c r="F51" s="4" t="inlineStr">
        <is>
          <t>引数の順序・型で誤用が防がれている(同型引数の連続にはビルダー/名前付き引数を使用)。不正な状態を型レベルで表現できない設計になっている</t>
        </is>
      </c>
      <c r="G51" s="4" t="inlineStr">
        <is>
          <t>誤用しやすいAPIは呼び出し側の数だけバグを量産する。SWEBOKはAPI設計の要件として「誤用が困難であること」を明示しており、型で不正状態を排除する設計はその実装手段。</t>
        </is>
      </c>
      <c r="H51" s="4" t="inlineStr">
        <is>
          <t>swebok-v4a.pdf ch04 Software Construction &gt; 4-4.1 API Design and Use(difficult to misuse)</t>
        </is>
      </c>
      <c r="I51" s="4" t="inlineStr">
        <is>
          <t>CORE</t>
        </is>
      </c>
      <c r="J51" s="4" t="inlineStr">
        <is>
          <t>原則適用。案件スコープ・成果物・規制・リスク上非該当の場合はN/A根拠を記録。</t>
        </is>
      </c>
      <c r="K51" s="4" t="inlineStr">
        <is>
          <t>SRC-SWEBOK-V4A</t>
        </is>
      </c>
      <c r="L51" s="4" t="inlineStr"/>
      <c r="M51" s="4" t="n"/>
      <c r="N51" s="4" t="n"/>
      <c r="O51" s="4" t="n"/>
      <c r="P51" s="4" t="n"/>
      <c r="Q51" s="4" t="n"/>
      <c r="R51" s="4" t="n"/>
      <c r="S51" s="4" t="n"/>
      <c r="T51" s="4" t="n"/>
      <c r="U51" s="4" t="n"/>
      <c r="V51" s="4" t="n"/>
      <c r="W51" s="4" t="n"/>
    </row>
    <row r="52">
      <c r="A52" s="5" t="inlineStr">
        <is>
          <t>CON-071</t>
        </is>
      </c>
      <c r="B52" s="5" t="inlineStr">
        <is>
          <t>SWEBOK</t>
        </is>
      </c>
      <c r="C52" s="4" t="inlineStr">
        <is>
          <t>8. API設計・インタフェース(SWEBOK 4-4.1)</t>
        </is>
      </c>
      <c r="D52" s="9" t="inlineStr">
        <is>
          <t>High</t>
        </is>
      </c>
      <c r="E52" s="4" t="inlineStr">
        <is>
          <t>後方互換性が維持されている</t>
        </is>
      </c>
      <c r="F52" s="4" t="inlineStr">
        <is>
          <t>公開APIの変更が互換(追加のみ)であるか、非互換変更にバージョニング(セマンティックバージョニング・APIバージョン)と非推奨期間が設けられている</t>
        </is>
      </c>
      <c r="G52" s="4" t="inlineStr">
        <is>
          <t>APIは実装より長生きするため、無断の非互換変更は全クライアントを同時に壊す。SWEBOKもAPIの後方互換性維持と安定性を設計要件に挙げる。</t>
        </is>
      </c>
      <c r="H52" s="4" t="inlineStr">
        <is>
          <t>swebok-v4a.pdf ch04 Software Construction &gt; 4-4.1 API Design and Use(backward compatibility / 安定性)</t>
        </is>
      </c>
      <c r="I52" s="4" t="inlineStr">
        <is>
          <t>CORE</t>
        </is>
      </c>
      <c r="J52" s="4" t="inlineStr">
        <is>
          <t>原則適用。案件スコープ・成果物・規制・リスク上非該当の場合はN/A根拠を記録。</t>
        </is>
      </c>
      <c r="K52" s="4" t="inlineStr">
        <is>
          <t>SRC-SWEBOK-V4A</t>
        </is>
      </c>
      <c r="L52" s="4" t="inlineStr"/>
      <c r="M52" s="4" t="n"/>
      <c r="N52" s="4" t="n"/>
      <c r="O52" s="4" t="n"/>
      <c r="P52" s="4" t="n"/>
      <c r="Q52" s="4" t="n"/>
      <c r="R52" s="4" t="n"/>
      <c r="S52" s="4" t="n"/>
      <c r="T52" s="4" t="n"/>
      <c r="U52" s="4" t="n"/>
      <c r="V52" s="4" t="n"/>
      <c r="W52" s="4" t="n"/>
    </row>
    <row r="53">
      <c r="A53" s="5" t="inlineStr">
        <is>
          <t>CON-072</t>
        </is>
      </c>
      <c r="B53" s="5" t="inlineStr">
        <is>
          <t>SWEBOK</t>
        </is>
      </c>
      <c r="C53" s="4" t="inlineStr">
        <is>
          <t>8. API設計・インタフェース(SWEBOK 4-4.1)</t>
        </is>
      </c>
      <c r="D53" s="9" t="inlineStr">
        <is>
          <t>High</t>
        </is>
      </c>
      <c r="E53" s="4" t="inlineStr">
        <is>
          <t>公開APIが文書化されている</t>
        </is>
      </c>
      <c r="F53" s="4" t="inlineStr">
        <is>
          <t>公開関数・エンドポイントに目的・引数・戻り値・例外/エラー応答・使用例が記述されている。Web APIはOpenAPI等の機械可読定義がある</t>
        </is>
      </c>
      <c r="G53" s="4" t="inlineStr">
        <is>
          <t>APIはシグネチャだけでなくセマンティクス(効果・振る舞い)の記述を含むべきというSWEBOKの要請。文書がないと利用者は実装を読むか試行錯誤で使い、誤用が広がる。</t>
        </is>
      </c>
      <c r="H53" s="4" t="inlineStr">
        <is>
          <t>swebok-v4a.pdf ch04 Software Construction &gt; 4-4.1 API Design and Use(セマンティクスの記述・OpenAPI)</t>
        </is>
      </c>
      <c r="I53" s="4" t="inlineStr">
        <is>
          <t>CORE</t>
        </is>
      </c>
      <c r="J53" s="4" t="inlineStr">
        <is>
          <t>原則適用。案件スコープ・成果物・規制・リスク上非該当の場合はN/A根拠を記録。</t>
        </is>
      </c>
      <c r="K53" s="4" t="inlineStr">
        <is>
          <t>SRC-SWEBOK-V4A</t>
        </is>
      </c>
      <c r="L53" s="4" t="inlineStr"/>
      <c r="M53" s="4" t="n"/>
      <c r="N53" s="4" t="n"/>
      <c r="O53" s="4" t="n"/>
      <c r="P53" s="4" t="n"/>
      <c r="Q53" s="4" t="n"/>
      <c r="R53" s="4" t="n"/>
      <c r="S53" s="4" t="n"/>
      <c r="T53" s="4" t="n"/>
      <c r="U53" s="4" t="n"/>
      <c r="V53" s="4" t="n"/>
      <c r="W53" s="4" t="n"/>
    </row>
    <row r="54">
      <c r="A54" s="5" t="inlineStr">
        <is>
          <t>CON-073</t>
        </is>
      </c>
      <c r="B54" s="5" t="inlineStr">
        <is>
          <t>SWEBOK</t>
        </is>
      </c>
      <c r="C54" s="4" t="inlineStr">
        <is>
          <t>8. API設計・インタフェース(SWEBOK 4-4.1)</t>
        </is>
      </c>
      <c r="D54" s="10" t="inlineStr">
        <is>
          <t>Medium</t>
        </is>
      </c>
      <c r="E54" s="4" t="inlineStr">
        <is>
          <t>公開範囲が最小化されている</t>
        </is>
      </c>
      <c r="F54" s="4" t="inlineStr">
        <is>
          <t>内部実装がpublicになっていない(アクセス修飾子・モジュール公開設定が最小権限)。公開APIの数が意図的に管理されている</t>
        </is>
      </c>
      <c r="G54" s="4" t="inlineStr">
        <is>
          <t>内部実装の意図せぬ公開は外部から依存され、以後の内部変更がすべて破壊的変更になる。公開面の最小化は将来の変更の自由を守る。</t>
        </is>
      </c>
      <c r="H54" s="4" t="inlineStr">
        <is>
          <t>swebok-v4a.pdf ch04 Software Construction &gt; 4-4.1 API Design and Use / 4-1.2 Anticipating Change</t>
        </is>
      </c>
      <c r="I54" s="4" t="inlineStr">
        <is>
          <t>CORE</t>
        </is>
      </c>
      <c r="J54" s="4" t="inlineStr">
        <is>
          <t>原則適用。案件スコープ・成果物・規制・リスク上非該当の場合はN/A根拠を記録。</t>
        </is>
      </c>
      <c r="K54" s="4" t="inlineStr">
        <is>
          <t>SRC-SWEBOK-V4A</t>
        </is>
      </c>
      <c r="L54" s="4" t="inlineStr"/>
      <c r="M54" s="4" t="n"/>
      <c r="N54" s="4" t="n"/>
      <c r="O54" s="4" t="n"/>
      <c r="P54" s="4" t="n"/>
      <c r="Q54" s="4" t="n"/>
      <c r="R54" s="4" t="n"/>
      <c r="S54" s="4" t="n"/>
      <c r="T54" s="4" t="n"/>
      <c r="U54" s="4" t="n"/>
      <c r="V54" s="4" t="n"/>
      <c r="W54" s="4" t="n"/>
    </row>
    <row r="55">
      <c r="A55" s="5" t="inlineStr">
        <is>
          <t>CON-074</t>
        </is>
      </c>
      <c r="B55" s="5" t="inlineStr">
        <is>
          <t>SWEBOK</t>
        </is>
      </c>
      <c r="C55" s="4" t="inlineStr">
        <is>
          <t>8. API設計・インタフェース(SWEBOK 4-4.1)</t>
        </is>
      </c>
      <c r="D55" s="10" t="inlineStr">
        <is>
          <t>Medium</t>
        </is>
      </c>
      <c r="E55" s="4" t="inlineStr">
        <is>
          <t>入出力の契約が安定している</t>
        </is>
      </c>
      <c r="F55" s="4" t="inlineStr">
        <is>
          <t>戻り値のnull/空コレクションの規約が統一され、可変オブジェクトの内部状態を直接返却・受領していない(防御的コピーまたは不変型)</t>
        </is>
      </c>
      <c r="G55" s="4" t="inlineStr">
        <is>
          <t>可変内部状態の直接返却は呼び出し側からの意図せぬ書き換えという遠隔作用バグを許す。null/空の規約不統一は呼び出し側の防御コードの漏れを誘う。</t>
        </is>
      </c>
      <c r="H55" s="4" t="inlineStr">
        <is>
          <t>swebok-v4a.pdf ch04 Software Construction &gt; 4-4.1 API Design and Use / 4-4.4 Design by Contract</t>
        </is>
      </c>
      <c r="I55" s="4" t="inlineStr">
        <is>
          <t>CORE</t>
        </is>
      </c>
      <c r="J55" s="4" t="inlineStr">
        <is>
          <t>原則適用。案件スコープ・成果物・規制・リスク上非該当の場合はN/A根拠を記録。</t>
        </is>
      </c>
      <c r="K55" s="4" t="inlineStr">
        <is>
          <t>SRC-SWEBOK-V4A</t>
        </is>
      </c>
      <c r="L55" s="4" t="inlineStr"/>
      <c r="M55" s="4" t="n"/>
      <c r="N55" s="4" t="n"/>
      <c r="O55" s="4" t="n"/>
      <c r="P55" s="4" t="n"/>
      <c r="Q55" s="4" t="n"/>
      <c r="R55" s="4" t="n"/>
      <c r="S55" s="4" t="n"/>
      <c r="T55" s="4" t="n"/>
      <c r="U55" s="4" t="n"/>
      <c r="V55" s="4" t="n"/>
      <c r="W55" s="4" t="n"/>
    </row>
    <row r="56">
      <c r="A56" s="5" t="inlineStr">
        <is>
          <t>CON-075</t>
        </is>
      </c>
      <c r="B56" s="5" t="inlineStr">
        <is>
          <t>SWEBOK</t>
        </is>
      </c>
      <c r="C56" s="4" t="inlineStr">
        <is>
          <t>8. API設計・インタフェース(SWEBOK 4-4.1)</t>
        </is>
      </c>
      <c r="D56" s="10" t="inlineStr">
        <is>
          <t>Medium</t>
        </is>
      </c>
      <c r="E56" s="4" t="inlineStr">
        <is>
          <t>エラー応答が仕様化されている</t>
        </is>
      </c>
      <c r="F56" s="4" t="inlineStr">
        <is>
          <t>APIのエラー時の応答(エラーコード体系・メッセージ形式・HTTPステータス)が定義され、実装と一致している</t>
        </is>
      </c>
      <c r="G56" s="4" t="inlineStr">
        <is>
          <t>エラー応答が未仕様だとクライアントはエラーの機械判定ができず、障害時に「リトライすべきか・諦めるべきか」を誤って二次被害を広げる。</t>
        </is>
      </c>
      <c r="H56" s="4" t="inlineStr">
        <is>
          <t>swebok-v4a.pdf ch04 Software Construction &gt; 4-4.1 API Design and Use / 4-4.5 Error Handling(例外報告の標準化)</t>
        </is>
      </c>
      <c r="I56" s="4" t="inlineStr">
        <is>
          <t>CORE</t>
        </is>
      </c>
      <c r="J56" s="4" t="inlineStr">
        <is>
          <t>原則適用。案件スコープ・成果物・規制・リスク上非該当の場合はN/A根拠を記録。</t>
        </is>
      </c>
      <c r="K56" s="4" t="inlineStr">
        <is>
          <t>SRC-SWEBOK-V4A</t>
        </is>
      </c>
      <c r="L56" s="4" t="inlineStr"/>
      <c r="M56" s="4" t="n"/>
      <c r="N56" s="4" t="n"/>
      <c r="O56" s="4" t="n"/>
      <c r="P56" s="4" t="n"/>
      <c r="Q56" s="4" t="n"/>
      <c r="R56" s="4" t="n"/>
      <c r="S56" s="4" t="n"/>
      <c r="T56" s="4" t="n"/>
      <c r="U56" s="4" t="n"/>
      <c r="V56" s="4" t="n"/>
      <c r="W56" s="4" t="n"/>
    </row>
    <row r="57">
      <c r="A57" s="5" t="inlineStr">
        <is>
          <t>CON-902</t>
        </is>
      </c>
      <c r="B57" s="5" t="inlineStr">
        <is>
          <t>追加承認</t>
        </is>
      </c>
      <c r="C57" s="4" t="inlineStr">
        <is>
          <t>8. API設計・インタフェース(SWEBOK 4-4.1)</t>
        </is>
      </c>
      <c r="D57" s="10" t="inlineStr">
        <is>
          <t>Medium</t>
        </is>
      </c>
      <c r="E57" s="4" t="inlineStr">
        <is>
          <t>再利用を意図した共通部品が再利用可能な品質で構築されている</t>
        </is>
      </c>
      <c r="F57" s="4" t="inlineStr">
        <is>
          <t>共通ライブラリ・共有モジュールとして提供されるコードは、可変点がパラメータ・設定・拡張ポイントとして明示され、特定プロジェクト固有のロジックのハードコードがなく、利用方法の文書と可変性を検証するテストがある</t>
        </is>
      </c>
      <c r="G57" s="4" t="inlineStr">
        <is>
          <t>特定案件の都合が焼き込まれた「共通部品」は他所で使えず、コピーして改変されてクローン増殖の起点になる。作る側の可変性設計と文書化を確認して再利用を成立させる。</t>
        </is>
      </c>
      <c r="H57" s="4" t="inlineStr">
        <is>
          <t>swebok-v4a.pdf ch04 Software Construction &gt; 3.5 Reuse in Construction — 再利用のための構築(可変性の実装・カプセル化・再利用資産の記述と公開)</t>
        </is>
      </c>
      <c r="I57" s="4" t="inlineStr">
        <is>
          <t>CORE</t>
        </is>
      </c>
      <c r="J57" s="4" t="inlineStr">
        <is>
          <t>原則適用。案件スコープ・成果物・規制・リスク上非該当の場合はN/A根拠を記録。</t>
        </is>
      </c>
      <c r="K57" s="4" t="inlineStr">
        <is>
          <t>SRC-SWEBOK-V4A</t>
        </is>
      </c>
      <c r="L57" s="4" t="inlineStr"/>
      <c r="M57" s="4" t="n"/>
      <c r="N57" s="4" t="n"/>
      <c r="O57" s="4" t="n"/>
      <c r="P57" s="4" t="n"/>
      <c r="Q57" s="4" t="n"/>
      <c r="R57" s="4" t="n"/>
      <c r="S57" s="4" t="n"/>
      <c r="T57" s="4" t="n"/>
      <c r="U57" s="4" t="n"/>
      <c r="V57" s="4" t="n"/>
      <c r="W57" s="4" t="n"/>
    </row>
    <row r="58">
      <c r="A58" s="5" t="inlineStr">
        <is>
          <t>CON-904</t>
        </is>
      </c>
      <c r="B58" s="5" t="inlineStr">
        <is>
          <t>追加承認</t>
        </is>
      </c>
      <c r="C58" s="4" t="inlineStr">
        <is>
          <t>8. API設計・インタフェース(SWEBOK 4-4.1)</t>
        </is>
      </c>
      <c r="D58" s="11" t="inlineStr">
        <is>
          <t>Low</t>
        </is>
      </c>
      <c r="E58" s="4" t="inlineStr">
        <is>
          <t>プラットフォーム依存コードが分離されている</t>
        </is>
      </c>
      <c r="F58" s="4" t="inlineStr">
        <is>
          <t>複数プラットフォーム(OS・ブラウザ・実行環境)対応が要件の場合、プラットフォーム固有API・非標準機能の使用箇所が抽象化層・アダプタに隔離され、ビジネスロジックが標準API(POSIX、Web標準等)の範囲で記述されている</t>
        </is>
      </c>
      <c r="G58" s="4" t="inlineStr">
        <is>
          <t>プラットフォーム依存コードが全体に散在すると、対応環境の追加・変更時に全面書き換えとなり、特定環境でのみ再現する欠陥の温床にもなる。</t>
        </is>
      </c>
      <c r="H58" s="4" t="inlineStr">
        <is>
          <t>swebok-v4a.pdf ch04 Software Construction &gt; 3.8 Cross-Platform Development / 4.15 Platform Standards(クロスプラットフォーム開発とプラットフォーム標準)</t>
        </is>
      </c>
      <c r="I58" s="4" t="inlineStr">
        <is>
          <t>CORE</t>
        </is>
      </c>
      <c r="J58" s="4" t="inlineStr">
        <is>
          <t>原則適用。案件スコープ・成果物・規制・リスク上非該当の場合はN/A根拠を記録。</t>
        </is>
      </c>
      <c r="K58" s="4" t="inlineStr">
        <is>
          <t>SRC-SWEBOK-V4A</t>
        </is>
      </c>
      <c r="L58" s="4" t="inlineStr"/>
      <c r="M58" s="4" t="n"/>
      <c r="N58" s="4" t="n"/>
      <c r="O58" s="4" t="n"/>
      <c r="P58" s="4" t="n"/>
      <c r="Q58" s="4" t="n"/>
      <c r="R58" s="4" t="n"/>
      <c r="S58" s="4" t="n"/>
      <c r="T58" s="4" t="n"/>
      <c r="U58" s="4" t="n"/>
      <c r="V58" s="4" t="n"/>
      <c r="W58" s="4" t="n"/>
    </row>
    <row r="59">
      <c r="A59" s="5" t="inlineStr">
        <is>
          <t>CON-080</t>
        </is>
      </c>
      <c r="B59" s="5" t="inlineStr">
        <is>
          <t>SWEBOK</t>
        </is>
      </c>
      <c r="C59" s="4" t="inlineStr">
        <is>
          <t>9. 単体テスト・テストファースト(SWEBOK 4-1.3, 4-3.4, 4-4.16)</t>
        </is>
      </c>
      <c r="D59" s="8" t="inlineStr">
        <is>
          <t>Critical</t>
        </is>
      </c>
      <c r="E59" s="4" t="inlineStr">
        <is>
          <t>新規・変更コードに単体テストがある</t>
        </is>
      </c>
      <c r="F59" s="4" t="inlineStr">
        <is>
          <t>追加・変更されたすべての公開関数・分岐に対応するテストケースが存在する(変更行のテスト実行率がプロジェクト目標値以上)</t>
        </is>
      </c>
      <c r="G59" s="4" t="inlineStr">
        <is>
          <t>構築時テストの目的は欠陥混入から検出までの時間差を縮め修正コストを下げること。テストのない変更は欠陥を後工程(結合・本番)まで持ち越し、修正コストを桁違いにする。</t>
        </is>
      </c>
      <c r="H59" s="4" t="inlineStr">
        <is>
          <t>swebok-v4a.pdf ch04 Software Construction &gt; 4-3.4 Construction Testing / 4-1.3 Constructing for Verification</t>
        </is>
      </c>
      <c r="I59" s="4" t="inlineStr">
        <is>
          <t>CORE</t>
        </is>
      </c>
      <c r="J59" s="4" t="inlineStr">
        <is>
          <t>原則適用。案件スコープ・成果物・規制・リスク上非該当の場合はN/A根拠を記録。</t>
        </is>
      </c>
      <c r="K59" s="4" t="inlineStr">
        <is>
          <t>SRC-SWEBOK-V4A</t>
        </is>
      </c>
      <c r="L59" s="4" t="inlineStr"/>
      <c r="M59" s="4" t="n"/>
      <c r="N59" s="4" t="n"/>
      <c r="O59" s="4" t="n"/>
      <c r="P59" s="4" t="n"/>
      <c r="Q59" s="4" t="n"/>
      <c r="R59" s="4" t="n"/>
      <c r="S59" s="4" t="n"/>
      <c r="T59" s="4" t="n"/>
      <c r="U59" s="4" t="n"/>
      <c r="V59" s="4" t="n"/>
      <c r="W59" s="4" t="n"/>
    </row>
    <row r="60">
      <c r="A60" s="5" t="inlineStr">
        <is>
          <t>CON-081</t>
        </is>
      </c>
      <c r="B60" s="5" t="inlineStr">
        <is>
          <t>SWEBOK</t>
        </is>
      </c>
      <c r="C60" s="4" t="inlineStr">
        <is>
          <t>9. 単体テスト・テストファースト(SWEBOK 4-1.3, 4-3.4, 4-4.16)</t>
        </is>
      </c>
      <c r="D60" s="9" t="inlineStr">
        <is>
          <t>High</t>
        </is>
      </c>
      <c r="E60" s="4" t="inlineStr">
        <is>
          <t>異常系・境界値がテストされている</t>
        </is>
      </c>
      <c r="F60" s="4" t="inlineStr">
        <is>
          <t>正常系に加え、境界値(0/上限/空/null)と異常系(例外経路・不正入力)のテストケースが存在する</t>
        </is>
      </c>
      <c r="G60" s="4" t="inlineStr">
        <is>
          <t>欠陥は境界値と異常系に集中する。正常系のみのテストは「動くことの確認」であって「壊れないことの確認」になっておらず、カバレッジ数値の見かけだけを上げる。</t>
        </is>
      </c>
      <c r="H60" s="4" t="inlineStr">
        <is>
          <t>swebok-v4a.pdf ch04 Software Construction &gt; 4-3.4 Construction Testing / 4-4.4(不正入力の扱い)</t>
        </is>
      </c>
      <c r="I60" s="4" t="inlineStr">
        <is>
          <t>CORE</t>
        </is>
      </c>
      <c r="J60" s="4" t="inlineStr">
        <is>
          <t>原則適用。案件スコープ・成果物・規制・リスク上非該当の場合はN/A根拠を記録。</t>
        </is>
      </c>
      <c r="K60" s="4" t="inlineStr">
        <is>
          <t>SRC-SWEBOK-V4A</t>
        </is>
      </c>
      <c r="L60" s="4" t="inlineStr"/>
      <c r="M60" s="4" t="n"/>
      <c r="N60" s="4" t="n"/>
      <c r="O60" s="4" t="n"/>
      <c r="P60" s="4" t="n"/>
      <c r="Q60" s="4" t="n"/>
      <c r="R60" s="4" t="n"/>
      <c r="S60" s="4" t="n"/>
      <c r="T60" s="4" t="n"/>
      <c r="U60" s="4" t="n"/>
      <c r="V60" s="4" t="n"/>
      <c r="W60" s="4" t="n"/>
    </row>
    <row r="61">
      <c r="A61" s="5" t="inlineStr">
        <is>
          <t>CON-082</t>
        </is>
      </c>
      <c r="B61" s="5" t="inlineStr">
        <is>
          <t>SWEBOK</t>
        </is>
      </c>
      <c r="C61" s="4" t="inlineStr">
        <is>
          <t>9. 単体テスト・テストファースト(SWEBOK 4-1.3, 4-3.4, 4-4.16)</t>
        </is>
      </c>
      <c r="D61" s="9" t="inlineStr">
        <is>
          <t>High</t>
        </is>
      </c>
      <c r="E61" s="4" t="inlineStr">
        <is>
          <t>テストが独立・再現可能である</t>
        </is>
      </c>
      <c r="F61" s="4" t="inlineStr">
        <is>
          <t>各テストが実行順序・共有状態・実時刻・乱数・外部サービスに依存せず、単独でも全件でも同じ結果になる(外部依存はモック/スタブ化)</t>
        </is>
      </c>
      <c r="G61" s="4" t="inlineStr">
        <is>
          <t>順序・時刻・外部サービスに依存するテストは間欠的に失敗(flaky)し、チームが赤いCIを無視する習慣を作って本物の欠陥検出まで無効化する。</t>
        </is>
      </c>
      <c r="H61" s="4" t="inlineStr">
        <is>
          <t>swebok-v4a.pdf ch04 Software Construction &gt; 4-5.3 Unit Testing Tools(分離された単体検証)</t>
        </is>
      </c>
      <c r="I61" s="4" t="inlineStr">
        <is>
          <t>CORE</t>
        </is>
      </c>
      <c r="J61" s="4" t="inlineStr">
        <is>
          <t>原則適用。案件スコープ・成果物・規制・リスク上非該当の場合はN/A根拠を記録。</t>
        </is>
      </c>
      <c r="K61" s="4" t="inlineStr">
        <is>
          <t>SRC-SWEBOK-V4A</t>
        </is>
      </c>
      <c r="L61" s="4" t="inlineStr"/>
      <c r="M61" s="4" t="n"/>
      <c r="N61" s="4" t="n"/>
      <c r="O61" s="4" t="n"/>
      <c r="P61" s="4" t="n"/>
      <c r="Q61" s="4" t="n"/>
      <c r="R61" s="4" t="n"/>
      <c r="S61" s="4" t="n"/>
      <c r="T61" s="4" t="n"/>
      <c r="U61" s="4" t="n"/>
      <c r="V61" s="4" t="n"/>
      <c r="W61" s="4" t="n"/>
    </row>
    <row r="62">
      <c r="A62" s="5" t="inlineStr">
        <is>
          <t>CON-083</t>
        </is>
      </c>
      <c r="B62" s="5" t="inlineStr">
        <is>
          <t>SWEBOK</t>
        </is>
      </c>
      <c r="C62" s="4" t="inlineStr">
        <is>
          <t>9. 単体テスト・テストファースト(SWEBOK 4-1.3, 4-3.4, 4-4.16)</t>
        </is>
      </c>
      <c r="D62" s="9" t="inlineStr">
        <is>
          <t>High</t>
        </is>
      </c>
      <c r="E62" s="4" t="inlineStr">
        <is>
          <t>テストの検証が具体的である</t>
        </is>
      </c>
      <c r="F62" s="4" t="inlineStr">
        <is>
          <t>各テストに意味のあるアサーションがあり、期待値が具体的(実行して例外が出ないだけのテスト、期待値を実装出力からコピーしただけのテストがない)</t>
        </is>
      </c>
      <c r="G62" s="4" t="inlineStr">
        <is>
          <t>アサーションの緩いテストは欠陥があってもパスする「偽の安心」を生み、カバレッジ指標を汚染してテスト投資の意味を失わせる。</t>
        </is>
      </c>
      <c r="H62" s="4" t="inlineStr">
        <is>
          <t>swebok-v4a.pdf ch04 Software Construction &gt; 4-5.3 Unit Testing Tools(データセットごとの正しさ検証基準のコード化)</t>
        </is>
      </c>
      <c r="I62" s="4" t="inlineStr">
        <is>
          <t>CORE</t>
        </is>
      </c>
      <c r="J62" s="4" t="inlineStr">
        <is>
          <t>原則適用。案件スコープ・成果物・規制・リスク上非該当の場合はN/A根拠を記録。</t>
        </is>
      </c>
      <c r="K62" s="4" t="inlineStr">
        <is>
          <t>SRC-SWEBOK-V4A</t>
        </is>
      </c>
      <c r="L62" s="4" t="inlineStr"/>
      <c r="M62" s="4" t="n"/>
      <c r="N62" s="4" t="n"/>
      <c r="O62" s="4" t="n"/>
      <c r="P62" s="4" t="n"/>
      <c r="Q62" s="4" t="n"/>
      <c r="R62" s="4" t="n"/>
      <c r="S62" s="4" t="n"/>
      <c r="T62" s="4" t="n"/>
      <c r="U62" s="4" t="n"/>
      <c r="V62" s="4" t="n"/>
      <c r="W62" s="4" t="n"/>
    </row>
    <row r="63">
      <c r="A63" s="5" t="inlineStr">
        <is>
          <t>CON-084</t>
        </is>
      </c>
      <c r="B63" s="5" t="inlineStr">
        <is>
          <t>SWEBOK</t>
        </is>
      </c>
      <c r="C63" s="4" t="inlineStr">
        <is>
          <t>9. 単体テスト・テストファースト(SWEBOK 4-1.3, 4-3.4, 4-4.16)</t>
        </is>
      </c>
      <c r="D63" s="10" t="inlineStr">
        <is>
          <t>Medium</t>
        </is>
      </c>
      <c r="E63" s="4" t="inlineStr">
        <is>
          <t>テストが構造化され命名されている</t>
        </is>
      </c>
      <c r="F63" s="4" t="inlineStr">
        <is>
          <t>テストがArrange-Act-Assert(Given-When-Then)構造を持ち、テスト名から対象と期待挙動が読み取れる</t>
        </is>
      </c>
      <c r="G63" s="4" t="inlineStr">
        <is>
          <t>構造化されていないテストは失敗時に「何を検証していたか」の解読から始まり、修正もテスト自体の欠陥混入も起きやすい。テストは仕様の実行可能な文書でもある。</t>
        </is>
      </c>
      <c r="H63" s="4" t="inlineStr">
        <is>
          <t>swebok-v4a.pdf ch04 Software Construction &gt; 4-3.4 Construction Testing(実務補完: xUnitパターン)</t>
        </is>
      </c>
      <c r="I63" s="4" t="inlineStr">
        <is>
          <t>CORE</t>
        </is>
      </c>
      <c r="J63" s="4" t="inlineStr">
        <is>
          <t>原則適用。案件スコープ・成果物・規制・リスク上非該当の場合はN/A根拠を記録。</t>
        </is>
      </c>
      <c r="K63" s="4" t="inlineStr">
        <is>
          <t>SRC-SWEBOK-V4A;SRC-PRACTICE</t>
        </is>
      </c>
      <c r="L63" s="4" t="inlineStr"/>
      <c r="M63" s="4" t="n"/>
      <c r="N63" s="4" t="n"/>
      <c r="O63" s="4" t="n"/>
      <c r="P63" s="4" t="n"/>
      <c r="Q63" s="4" t="n"/>
      <c r="R63" s="4" t="n"/>
      <c r="S63" s="4" t="n"/>
      <c r="T63" s="4" t="n"/>
      <c r="U63" s="4" t="n"/>
      <c r="V63" s="4" t="n"/>
      <c r="W63" s="4" t="n"/>
    </row>
    <row r="64">
      <c r="A64" s="5" t="inlineStr">
        <is>
          <t>CON-085</t>
        </is>
      </c>
      <c r="B64" s="5" t="inlineStr">
        <is>
          <t>SWEBOK</t>
        </is>
      </c>
      <c r="C64" s="4" t="inlineStr">
        <is>
          <t>9. 単体テスト・テストファースト(SWEBOK 4-1.3, 4-3.4, 4-4.16)</t>
        </is>
      </c>
      <c r="D64" s="9" t="inlineStr">
        <is>
          <t>High</t>
        </is>
      </c>
      <c r="E64" s="4" t="inlineStr">
        <is>
          <t>全テストがCIで自動実行されている</t>
        </is>
      </c>
      <c r="F64" s="4" t="inlineStr">
        <is>
          <t>単体テストがビルドパイプラインに組み込まれ、失敗時にマージがブロックされる設定である</t>
        </is>
      </c>
      <c r="G64" s="4" t="inlineStr">
        <is>
          <t>手動実行のテストは必ず実行されなくなる。CIでのブロックにより「テストが通らないコードは統合されない」を仕組みとして保証する。</t>
        </is>
      </c>
      <c r="H64" s="4" t="inlineStr">
        <is>
          <t>swebok-v4a.pdf ch04 Software Construction &gt; 4-3.7 Integration(CIパイプラインによるビルド・テスト自動化)</t>
        </is>
      </c>
      <c r="I64" s="4" t="inlineStr">
        <is>
          <t>CORE</t>
        </is>
      </c>
      <c r="J64" s="4" t="inlineStr">
        <is>
          <t>原則適用。案件スコープ・成果物・規制・リスク上非該当の場合はN/A根拠を記録。</t>
        </is>
      </c>
      <c r="K64" s="4" t="inlineStr">
        <is>
          <t>SRC-SWEBOK-V4A</t>
        </is>
      </c>
      <c r="L64" s="4" t="inlineStr"/>
      <c r="M64" s="4" t="n"/>
      <c r="N64" s="4" t="n"/>
      <c r="O64" s="4" t="n"/>
      <c r="P64" s="4" t="n"/>
      <c r="Q64" s="4" t="n"/>
      <c r="R64" s="4" t="n"/>
      <c r="S64" s="4" t="n"/>
      <c r="T64" s="4" t="n"/>
      <c r="U64" s="4" t="n"/>
      <c r="V64" s="4" t="n"/>
      <c r="W64" s="4" t="n"/>
    </row>
    <row r="65">
      <c r="A65" s="5" t="inlineStr">
        <is>
          <t>CON-086</t>
        </is>
      </c>
      <c r="B65" s="5" t="inlineStr">
        <is>
          <t>SWEBOK</t>
        </is>
      </c>
      <c r="C65" s="4" t="inlineStr">
        <is>
          <t>9. 単体テスト・テストファースト(SWEBOK 4-1.3, 4-3.4, 4-4.16)</t>
        </is>
      </c>
      <c r="D65" s="10" t="inlineStr">
        <is>
          <t>Medium</t>
        </is>
      </c>
      <c r="E65" s="4" t="inlineStr">
        <is>
          <t>テスト容易性が確保されている</t>
        </is>
      </c>
      <c r="F65" s="4" t="inlineStr">
        <is>
          <t>テスト対象が依存注入等で外部依存を差し替え可能であり、privateメソッドをリフレクションで直接テストするような回避策がない</t>
        </is>
      </c>
      <c r="G65" s="4" t="inlineStr">
        <is>
          <t>テスト容易性の低い構造(差し替え不能な外部依存・密結合)はテスト自体を書けなくし、検証可能性というSWEBOK構築原則を設計レベルで損なう。</t>
        </is>
      </c>
      <c r="H65" s="4" t="inlineStr">
        <is>
          <t>swebok-v4a.pdf ch04 Software Construction &gt; 4-1.3 Constructing for Verification(自動テストを支えるコード編成)</t>
        </is>
      </c>
      <c r="I65" s="4" t="inlineStr">
        <is>
          <t>CORE</t>
        </is>
      </c>
      <c r="J65" s="4" t="inlineStr">
        <is>
          <t>原則適用。案件スコープ・成果物・規制・リスク上非該当の場合はN/A根拠を記録。</t>
        </is>
      </c>
      <c r="K65" s="4" t="inlineStr">
        <is>
          <t>SRC-SWEBOK-V4A</t>
        </is>
      </c>
      <c r="L65" s="4" t="inlineStr"/>
      <c r="M65" s="4" t="n"/>
      <c r="N65" s="4" t="n"/>
      <c r="O65" s="4" t="n"/>
      <c r="P65" s="4" t="n"/>
      <c r="Q65" s="4" t="n"/>
      <c r="R65" s="4" t="n"/>
      <c r="S65" s="4" t="n"/>
      <c r="T65" s="4" t="n"/>
      <c r="U65" s="4" t="n"/>
      <c r="V65" s="4" t="n"/>
      <c r="W65" s="4" t="n"/>
    </row>
    <row r="66">
      <c r="A66" s="5" t="inlineStr">
        <is>
          <t>CON-087</t>
        </is>
      </c>
      <c r="B66" s="5" t="inlineStr">
        <is>
          <t>SWEBOK</t>
        </is>
      </c>
      <c r="C66" s="4" t="inlineStr">
        <is>
          <t>9. 単体テスト・テストファースト(SWEBOK 4-1.3, 4-3.4, 4-4.16)</t>
        </is>
      </c>
      <c r="D66" s="10" t="inlineStr">
        <is>
          <t>Medium</t>
        </is>
      </c>
      <c r="E66" s="4" t="inlineStr">
        <is>
          <t>無効化されたテストが管理されている</t>
        </is>
      </c>
      <c r="F66" s="4" t="inlineStr">
        <is>
          <t>skip/ignore されたテストすべてに理由と課題番号が記録されている</t>
        </is>
      </c>
      <c r="G66" s="4" t="inlineStr">
        <is>
          <t>理由なくskipされたテストは「一時的のつもりが永久」になり、その領域の退行検出が静かに失われる。追跡番号の義務化で無効化を可視化・期限管理する。</t>
        </is>
      </c>
      <c r="H66" s="4" t="inlineStr">
        <is>
          <t>swebok-v4a.pdf ch04 Software Construction &gt; 4-3.4 Construction Testing(実務補完: テスト運用規律)</t>
        </is>
      </c>
      <c r="I66" s="4" t="inlineStr">
        <is>
          <t>CORE</t>
        </is>
      </c>
      <c r="J66" s="4" t="inlineStr">
        <is>
          <t>原則適用。案件スコープ・成果物・規制・リスク上非該当の場合はN/A根拠を記録。</t>
        </is>
      </c>
      <c r="K66" s="4" t="inlineStr">
        <is>
          <t>SRC-SWEBOK-V4A;SRC-PRACTICE</t>
        </is>
      </c>
      <c r="L66" s="4" t="inlineStr"/>
      <c r="M66" s="4" t="n"/>
      <c r="N66" s="4" t="n"/>
      <c r="O66" s="4" t="n"/>
      <c r="P66" s="4" t="n"/>
      <c r="Q66" s="4" t="n"/>
      <c r="R66" s="4" t="n"/>
      <c r="S66" s="4" t="n"/>
      <c r="T66" s="4" t="n"/>
      <c r="U66" s="4" t="n"/>
      <c r="V66" s="4" t="n"/>
      <c r="W66" s="4" t="n"/>
    </row>
    <row r="67">
      <c r="A67" s="5" t="inlineStr">
        <is>
          <t>CON-090</t>
        </is>
      </c>
      <c r="B67" s="5" t="inlineStr">
        <is>
          <t>SWEBOK</t>
        </is>
      </c>
      <c r="C67" s="4" t="inlineStr">
        <is>
          <t>10. ビルド・依存関係管理(SWEBOK 4-2.4)</t>
        </is>
      </c>
      <c r="D67" s="8" t="inlineStr">
        <is>
          <t>Critical</t>
        </is>
      </c>
      <c r="E67" s="4" t="inlineStr">
        <is>
          <t>ビルドが再現可能である</t>
        </is>
      </c>
      <c r="F67" s="4" t="inlineStr">
        <is>
          <t>依存のバージョンがマニフェスト+ロックファイルで固定され、クリーン環境(CI)で同一手順により同一成果物がビルドできる</t>
        </is>
      </c>
      <c r="G67" s="4" t="inlineStr">
        <is>
          <t>ビルドが再現不能だと「自分の環境では動く」問題と、依存の暗黙更新による無変更デグレードが起きる。ロックファイルとクリーン環境ビルドで成果物を決定的にする。</t>
        </is>
      </c>
      <c r="H67" s="4" t="inlineStr">
        <is>
          <t>swebok-v4a.pdf ch04 Software Construction &gt; 4-2.4 Managing Dependencies(パッケージマネージャによる依存管理)</t>
        </is>
      </c>
      <c r="I67" s="4" t="inlineStr">
        <is>
          <t>CORE</t>
        </is>
      </c>
      <c r="J67" s="4" t="inlineStr">
        <is>
          <t>原則適用。案件スコープ・成果物・規制・リスク上非該当の場合はN/A根拠を記録。</t>
        </is>
      </c>
      <c r="K67" s="4" t="inlineStr">
        <is>
          <t>SRC-SWEBOK-V4A</t>
        </is>
      </c>
      <c r="L67" s="4" t="inlineStr"/>
      <c r="M67" s="4" t="n"/>
      <c r="N67" s="4" t="n"/>
      <c r="O67" s="4" t="n"/>
      <c r="P67" s="4" t="n"/>
      <c r="Q67" s="4" t="n"/>
      <c r="R67" s="4" t="n"/>
      <c r="S67" s="4" t="n"/>
      <c r="T67" s="4" t="n"/>
      <c r="U67" s="4" t="n"/>
      <c r="V67" s="4" t="n"/>
      <c r="W67" s="4" t="n"/>
    </row>
    <row r="68">
      <c r="A68" s="5" t="inlineStr">
        <is>
          <t>CON-091</t>
        </is>
      </c>
      <c r="B68" s="5" t="inlineStr">
        <is>
          <t>SWEBOK</t>
        </is>
      </c>
      <c r="C68" s="4" t="inlineStr">
        <is>
          <t>10. ビルド・依存関係管理(SWEBOK 4-2.4)</t>
        </is>
      </c>
      <c r="D68" s="8" t="inlineStr">
        <is>
          <t>Critical</t>
        </is>
      </c>
      <c r="E68" s="4" t="inlineStr">
        <is>
          <t>既知の重大脆弱性を持つ依存がない</t>
        </is>
      </c>
      <c r="F68" s="4" t="inlineStr">
        <is>
          <t>依存関係の脆弱性スキャンが実行され、Critical/High の脆弱性が残存しない(残存する場合はリスク受容の記録がある)</t>
        </is>
      </c>
      <c r="G68" s="4" t="inlineStr">
        <is>
          <t>SWEBOKは依存サプライチェーンの脆弱性伝播の防止を明示している。推移的依存の既知脆弱性は自プロダクトの脆弱性そのものであり、スキャンなしでは存在にすら気づけない。</t>
        </is>
      </c>
      <c r="H68" s="4" t="inlineStr">
        <is>
          <t>swebok-v4a.pdf ch04 Software Construction &gt; 4-2.4 Managing Dependencies(脆弱性の伝播防止)</t>
        </is>
      </c>
      <c r="I68" s="4" t="inlineStr">
        <is>
          <t>CORE</t>
        </is>
      </c>
      <c r="J68" s="4" t="inlineStr">
        <is>
          <t>原則適用。案件スコープ・成果物・規制・リスク上非該当の場合はN/A根拠を記録。</t>
        </is>
      </c>
      <c r="K68" s="4" t="inlineStr">
        <is>
          <t>SRC-SWEBOK-V4A</t>
        </is>
      </c>
      <c r="L68" s="4" t="inlineStr">
        <is>
          <t>SEC-SUPPLY-CHAIN</t>
        </is>
      </c>
      <c r="M68" s="4" t="n"/>
      <c r="N68" s="4" t="n"/>
      <c r="O68" s="4" t="n"/>
      <c r="P68" s="4" t="n"/>
      <c r="Q68" s="4" t="n"/>
      <c r="R68" s="4" t="n"/>
      <c r="S68" s="4" t="n"/>
      <c r="T68" s="4" t="n"/>
      <c r="U68" s="4" t="n"/>
      <c r="V68" s="4" t="n"/>
      <c r="W68" s="4" t="n"/>
    </row>
    <row r="69">
      <c r="A69" s="5" t="inlineStr">
        <is>
          <t>CON-092</t>
        </is>
      </c>
      <c r="B69" s="5" t="inlineStr">
        <is>
          <t>SWEBOK</t>
        </is>
      </c>
      <c r="C69" s="4" t="inlineStr">
        <is>
          <t>10. ビルド・依存関係管理(SWEBOK 4-2.4)</t>
        </is>
      </c>
      <c r="D69" s="9" t="inlineStr">
        <is>
          <t>High</t>
        </is>
      </c>
      <c r="E69" s="4" t="inlineStr">
        <is>
          <t>依存のライセンスが確認されている</t>
        </is>
      </c>
      <c r="F69" s="4" t="inlineStr">
        <is>
          <t>全依存(推移的依存を含む)のライセンスが把握され、プロジェクトの配布形態と競合するライセンスがない</t>
        </is>
      </c>
      <c r="G69" s="4" t="inlineStr">
        <is>
          <t>SWEBOKが明示する依存のライセンス競合回避。コピーレフト等との競合は出荷後に発覚するとソース公開義務や販売停止など法務リスクに直結する。</t>
        </is>
      </c>
      <c r="H69" s="4" t="inlineStr">
        <is>
          <t>swebok-v4a.pdf ch04 Software Construction &gt; 4-2.4 Managing Dependencies(ライセンス競合の回避)</t>
        </is>
      </c>
      <c r="I69" s="4" t="inlineStr">
        <is>
          <t>CORE</t>
        </is>
      </c>
      <c r="J69" s="4" t="inlineStr">
        <is>
          <t>原則適用。案件スコープ・成果物・規制・リスク上非該当の場合はN/A根拠を記録。</t>
        </is>
      </c>
      <c r="K69" s="4" t="inlineStr">
        <is>
          <t>SRC-SWEBOK-V4A</t>
        </is>
      </c>
      <c r="L69" s="4" t="inlineStr"/>
      <c r="M69" s="4" t="n"/>
      <c r="N69" s="4" t="n"/>
      <c r="O69" s="4" t="n"/>
      <c r="P69" s="4" t="n"/>
      <c r="Q69" s="4" t="n"/>
      <c r="R69" s="4" t="n"/>
      <c r="S69" s="4" t="n"/>
      <c r="T69" s="4" t="n"/>
      <c r="U69" s="4" t="n"/>
      <c r="V69" s="4" t="n"/>
      <c r="W69" s="4" t="n"/>
    </row>
    <row r="70">
      <c r="A70" s="5" t="inlineStr">
        <is>
          <t>CON-093</t>
        </is>
      </c>
      <c r="B70" s="5" t="inlineStr">
        <is>
          <t>SWEBOK</t>
        </is>
      </c>
      <c r="C70" s="4" t="inlineStr">
        <is>
          <t>10. ビルド・依存関係管理(SWEBOK 4-2.4)</t>
        </is>
      </c>
      <c r="D70" s="10" t="inlineStr">
        <is>
          <t>Medium</t>
        </is>
      </c>
      <c r="E70" s="4" t="inlineStr">
        <is>
          <t>不要な依存がない</t>
        </is>
      </c>
      <c r="F70" s="4" t="inlineStr">
        <is>
          <t>未使用の依存がマニフェストに残っていない。小さな機能のために大型ライブラリを追加していない(追加時の選定理由が記録されている)</t>
        </is>
      </c>
      <c r="G70" s="4" t="inlineStr">
        <is>
          <t>SWEBOKは不要依存の回避によるビルド効率改善を明示する。不要依存は攻撃対象面積・脆弱性対応工数・ビルド時間を無意味に増やす。</t>
        </is>
      </c>
      <c r="H70" s="4" t="inlineStr">
        <is>
          <t>swebok-v4a.pdf ch04 Software Construction &gt; 4-2.4 Managing Dependencies(不要な依存の回避)</t>
        </is>
      </c>
      <c r="I70" s="4" t="inlineStr">
        <is>
          <t>CORE</t>
        </is>
      </c>
      <c r="J70" s="4" t="inlineStr">
        <is>
          <t>原則適用。案件スコープ・成果物・規制・リスク上非該当の場合はN/A根拠を記録。</t>
        </is>
      </c>
      <c r="K70" s="4" t="inlineStr">
        <is>
          <t>SRC-SWEBOK-V4A</t>
        </is>
      </c>
      <c r="L70" s="4" t="inlineStr"/>
      <c r="M70" s="4" t="n"/>
      <c r="N70" s="4" t="n"/>
      <c r="O70" s="4" t="n"/>
      <c r="P70" s="4" t="n"/>
      <c r="Q70" s="4" t="n"/>
      <c r="R70" s="4" t="n"/>
      <c r="S70" s="4" t="n"/>
      <c r="T70" s="4" t="n"/>
      <c r="U70" s="4" t="n"/>
      <c r="V70" s="4" t="n"/>
      <c r="W70" s="4" t="n"/>
    </row>
    <row r="71">
      <c r="A71" s="5" t="inlineStr">
        <is>
          <t>CON-094</t>
        </is>
      </c>
      <c r="B71" s="5" t="inlineStr">
        <is>
          <t>SWEBOK</t>
        </is>
      </c>
      <c r="C71" s="4" t="inlineStr">
        <is>
          <t>10. ビルド・依存関係管理(SWEBOK 4-2.4)</t>
        </is>
      </c>
      <c r="D71" s="9" t="inlineStr">
        <is>
          <t>High</t>
        </is>
      </c>
      <c r="E71" s="4" t="inlineStr">
        <is>
          <t>ビルドスクリプトが環境非依存である</t>
        </is>
      </c>
      <c r="F71" s="4" t="inlineStr">
        <is>
          <t>ビルドが特定個人の環境(絶対パス・ローカル固有ツール・手作業手順)に依存せず、必要なツールとバージョンがコード化されている</t>
        </is>
      </c>
      <c r="G71" s="4" t="inlineStr">
        <is>
          <t>特定個人の環境に依存したビルドは、その人の不在・PC交換で誰もリリースできなくなる属人化リスクの典型。ツールとバージョンのコード化で誰でも再現可能にする。</t>
        </is>
      </c>
      <c r="H71" s="4" t="inlineStr">
        <is>
          <t>swebok-v4a.pdf ch04 Software Construction &gt; 4-1.5 Applying Standards / 4-3.7 Integration(実務補完: ビルド自動化)</t>
        </is>
      </c>
      <c r="I71" s="4" t="inlineStr">
        <is>
          <t>CORE</t>
        </is>
      </c>
      <c r="J71" s="4" t="inlineStr">
        <is>
          <t>原則適用。案件スコープ・成果物・規制・リスク上非該当の場合はN/A根拠を記録。</t>
        </is>
      </c>
      <c r="K71" s="4" t="inlineStr">
        <is>
          <t>SRC-SWEBOK-V4A;SRC-PRACTICE</t>
        </is>
      </c>
      <c r="L71" s="4" t="inlineStr"/>
      <c r="M71" s="4" t="n"/>
      <c r="N71" s="4" t="n"/>
      <c r="O71" s="4" t="n"/>
      <c r="P71" s="4" t="n"/>
      <c r="Q71" s="4" t="n"/>
      <c r="R71" s="4" t="n"/>
      <c r="S71" s="4" t="n"/>
      <c r="T71" s="4" t="n"/>
      <c r="U71" s="4" t="n"/>
      <c r="V71" s="4" t="n"/>
      <c r="W71" s="4" t="n"/>
    </row>
    <row r="72">
      <c r="A72" s="5" t="inlineStr">
        <is>
          <t>CON-095</t>
        </is>
      </c>
      <c r="B72" s="5" t="inlineStr">
        <is>
          <t>SWEBOK</t>
        </is>
      </c>
      <c r="C72" s="4" t="inlineStr">
        <is>
          <t>10. ビルド・依存関係管理(SWEBOK 4-2.4)</t>
        </is>
      </c>
      <c r="D72" s="10" t="inlineStr">
        <is>
          <t>Medium</t>
        </is>
      </c>
      <c r="E72" s="4" t="inlineStr">
        <is>
          <t>ビルド警告が管理されている</t>
        </is>
      </c>
      <c r="F72" s="4" t="inlineStr">
        <is>
          <t>コンパイラ/リンタの警告がゼロ、または警告をエラー扱いにする設定が有効(例外は明示的に抑制+理由記載)</t>
        </is>
      </c>
      <c r="G72" s="4" t="inlineStr">
        <is>
          <t>放置された警告の山は「警告は見なくてよい」という文化を作り、その中に埋もれた本物の欠陥予兆(未初期化・型不一致等)を見逃させる。</t>
        </is>
      </c>
      <c r="H72" s="4" t="inlineStr">
        <is>
          <t>swebok-v4a.pdf ch04 Software Construction &gt; 4-3.6 Construction Quality(静的解析)</t>
        </is>
      </c>
      <c r="I72" s="4" t="inlineStr">
        <is>
          <t>CORE</t>
        </is>
      </c>
      <c r="J72" s="4" t="inlineStr">
        <is>
          <t>原則適用。案件スコープ・成果物・規制・リスク上非該当の場合はN/A根拠を記録。</t>
        </is>
      </c>
      <c r="K72" s="4" t="inlineStr">
        <is>
          <t>SRC-SWEBOK-V4A</t>
        </is>
      </c>
      <c r="L72" s="4" t="inlineStr"/>
      <c r="M72" s="4" t="n"/>
      <c r="N72" s="4" t="n"/>
      <c r="O72" s="4" t="n"/>
      <c r="P72" s="4" t="n"/>
      <c r="Q72" s="4" t="n"/>
      <c r="R72" s="4" t="n"/>
      <c r="S72" s="4" t="n"/>
      <c r="T72" s="4" t="n"/>
      <c r="U72" s="4" t="n"/>
      <c r="V72" s="4" t="n"/>
      <c r="W72" s="4" t="n"/>
    </row>
    <row r="73">
      <c r="A73" s="5" t="inlineStr">
        <is>
          <t>CON-096</t>
        </is>
      </c>
      <c r="B73" s="5" t="inlineStr">
        <is>
          <t>SWEBOK</t>
        </is>
      </c>
      <c r="C73" s="4" t="inlineStr">
        <is>
          <t>10. ビルド・依存関係管理(SWEBOK 4-2.4)</t>
        </is>
      </c>
      <c r="D73" s="10" t="inlineStr">
        <is>
          <t>Medium</t>
        </is>
      </c>
      <c r="E73" s="4" t="inlineStr">
        <is>
          <t>依存の取得元が管理されている</t>
        </is>
      </c>
      <c r="F73" s="4" t="inlineStr">
        <is>
          <t>パッケージの取得元レジストリが明示され、内部パッケージの名前空間が保護されている(依存関係かく乱・typosquatting への考慮がある)</t>
        </is>
      </c>
      <c r="G73" s="4" t="inlineStr">
        <is>
          <t>SWEBOKが明示する「信頼できない外部依存の導入防止の規制・監視」。取得元が無管理だと依存関係かく乱・typosquattingで悪意あるパッケージが混入し得る。</t>
        </is>
      </c>
      <c r="H73" s="4" t="inlineStr">
        <is>
          <t>swebok-v4a.pdf ch04 Software Construction &gt; 4-2.4 Managing Dependencies(信頼できない外部依存の導入防止)</t>
        </is>
      </c>
      <c r="I73" s="4" t="inlineStr">
        <is>
          <t>CORE</t>
        </is>
      </c>
      <c r="J73" s="4" t="inlineStr">
        <is>
          <t>原則適用。案件スコープ・成果物・規制・リスク上非該当の場合はN/A根拠を記録。</t>
        </is>
      </c>
      <c r="K73" s="4" t="inlineStr">
        <is>
          <t>SRC-SWEBOK-V4A</t>
        </is>
      </c>
      <c r="L73" s="4" t="inlineStr"/>
      <c r="M73" s="4" t="n"/>
      <c r="N73" s="4" t="n"/>
      <c r="O73" s="4" t="n"/>
      <c r="P73" s="4" t="n"/>
      <c r="Q73" s="4" t="n"/>
      <c r="R73" s="4" t="n"/>
      <c r="S73" s="4" t="n"/>
      <c r="T73" s="4" t="n"/>
      <c r="U73" s="4" t="n"/>
      <c r="V73" s="4" t="n"/>
      <c r="W73" s="4" t="n"/>
    </row>
    <row r="74">
      <c r="A74" s="5" t="inlineStr">
        <is>
          <t>CON-100</t>
        </is>
      </c>
      <c r="B74" s="5" t="inlineStr">
        <is>
          <t>SWEBOK</t>
        </is>
      </c>
      <c r="C74" s="4" t="inlineStr">
        <is>
          <t>11. 統合・CI(SWEBOK 4-3.7, 4-4.17)</t>
        </is>
      </c>
      <c r="D74" s="8" t="inlineStr">
        <is>
          <t>Critical</t>
        </is>
      </c>
      <c r="E74" s="4" t="inlineStr">
        <is>
          <t>継続的インテグレーションが構成されている</t>
        </is>
      </c>
      <c r="F74" s="4" t="inlineStr">
        <is>
          <t>全コミット(またはPR)に対しビルド・静的解析・単体テストが自動実行され、結果が可視化されている</t>
        </is>
      </c>
      <c r="G74" s="4" t="inlineStr">
        <is>
          <t>CIがないと統合の失敗が数週間分まとめて発覚し、原因コミットの特定に膨大な時間を要する。SWEBOKはCIによる1日複数回の統合と高速フィードバックを標準実践とする。</t>
        </is>
      </c>
      <c r="H74" s="4" t="inlineStr">
        <is>
          <t>swebok-v4a.pdf ch04 Software Construction &gt; 4-3.7 Integration(継続的インテグレーション)</t>
        </is>
      </c>
      <c r="I74" s="4" t="inlineStr">
        <is>
          <t>CORE</t>
        </is>
      </c>
      <c r="J74" s="4" t="inlineStr">
        <is>
          <t>原則適用。案件スコープ・成果物・規制・リスク上非該当の場合はN/A根拠を記録。</t>
        </is>
      </c>
      <c r="K74" s="4" t="inlineStr">
        <is>
          <t>SRC-SWEBOK-V4A</t>
        </is>
      </c>
      <c r="L74" s="4" t="inlineStr"/>
      <c r="M74" s="4" t="n"/>
      <c r="N74" s="4" t="n"/>
      <c r="O74" s="4" t="n"/>
      <c r="P74" s="4" t="n"/>
      <c r="Q74" s="4" t="n"/>
      <c r="R74" s="4" t="n"/>
      <c r="S74" s="4" t="n"/>
      <c r="T74" s="4" t="n"/>
      <c r="U74" s="4" t="n"/>
      <c r="V74" s="4" t="n"/>
      <c r="W74" s="4" t="n"/>
    </row>
    <row r="75">
      <c r="A75" s="5" t="inlineStr">
        <is>
          <t>CON-101</t>
        </is>
      </c>
      <c r="B75" s="5" t="inlineStr">
        <is>
          <t>SWEBOK</t>
        </is>
      </c>
      <c r="C75" s="4" t="inlineStr">
        <is>
          <t>11. 統合・CI(SWEBOK 4-3.7, 4-4.17)</t>
        </is>
      </c>
      <c r="D75" s="9" t="inlineStr">
        <is>
          <t>High</t>
        </is>
      </c>
      <c r="E75" s="4" t="inlineStr">
        <is>
          <t>インクリメンタル統合になっている</t>
        </is>
      </c>
      <c r="F75" s="4" t="inlineStr">
        <is>
          <t>変更が小さい単位(目安: PRが数百行以内)で頻繁に統合され、長期間未統合のブランチ(目安: 2週間超)がない</t>
        </is>
      </c>
      <c r="G75" s="4" t="inlineStr">
        <is>
          <t>SWEBOKはインクリメンタル統合の利点(エラー位置特定の容易さ・早期フィードバック)をフェーズド(ビッグバン)統合と対比して明示する。巨大PRと長命ブランチはレビュー精度低下とマージ地獄を招く。</t>
        </is>
      </c>
      <c r="H75" s="4" t="inlineStr">
        <is>
          <t>swebok-v4a.pdf ch04 Software Construction &gt; 4-3.7 Integration(インクリメンタル統合 vs フェーズド統合)</t>
        </is>
      </c>
      <c r="I75" s="4" t="inlineStr">
        <is>
          <t>CORE</t>
        </is>
      </c>
      <c r="J75" s="4" t="inlineStr">
        <is>
          <t>原則適用。案件スコープ・成果物・規制・リスク上非該当の場合はN/A根拠を記録。</t>
        </is>
      </c>
      <c r="K75" s="4" t="inlineStr">
        <is>
          <t>SRC-SWEBOK-V4A</t>
        </is>
      </c>
      <c r="L75" s="4" t="inlineStr"/>
      <c r="M75" s="4" t="n"/>
      <c r="N75" s="4" t="n"/>
      <c r="O75" s="4" t="n"/>
      <c r="P75" s="4" t="n"/>
      <c r="Q75" s="4" t="n"/>
      <c r="R75" s="4" t="n"/>
      <c r="S75" s="4" t="n"/>
      <c r="T75" s="4" t="n"/>
      <c r="U75" s="4" t="n"/>
      <c r="V75" s="4" t="n"/>
      <c r="W75" s="4" t="n"/>
    </row>
    <row r="76">
      <c r="A76" s="5" t="inlineStr">
        <is>
          <t>CON-102</t>
        </is>
      </c>
      <c r="B76" s="5" t="inlineStr">
        <is>
          <t>SWEBOK</t>
        </is>
      </c>
      <c r="C76" s="4" t="inlineStr">
        <is>
          <t>11. 統合・CI(SWEBOK 4-3.7, 4-4.17)</t>
        </is>
      </c>
      <c r="D76" s="9" t="inlineStr">
        <is>
          <t>High</t>
        </is>
      </c>
      <c r="E76" s="4" t="inlineStr">
        <is>
          <t>メインブランチがグリーンに保たれている</t>
        </is>
      </c>
      <c r="F76" s="4" t="inlineStr">
        <is>
          <t>メインブランチのビルド・テスト失敗が放置されず、失敗時の対応(即修正または差し戻し)のルールが運用されている</t>
        </is>
      </c>
      <c r="G76" s="4" t="inlineStr">
        <is>
          <t>壊れたメインブランチの放置は全員の作業のベースを汚染し、「失敗は普通」という割れ窓状態を作ってCIの欠陥検出機能を無効化する。</t>
        </is>
      </c>
      <c r="H76" s="4" t="inlineStr">
        <is>
          <t>swebok-v4a.pdf ch04 Software Construction &gt; 4-3.7 Integration / 4-4.17 Feedback Loop for Construction</t>
        </is>
      </c>
      <c r="I76" s="4" t="inlineStr">
        <is>
          <t>CORE</t>
        </is>
      </c>
      <c r="J76" s="4" t="inlineStr">
        <is>
          <t>原則適用。案件スコープ・成果物・規制・リスク上非該当の場合はN/A根拠を記録。</t>
        </is>
      </c>
      <c r="K76" s="4" t="inlineStr">
        <is>
          <t>SRC-SWEBOK-V4A</t>
        </is>
      </c>
      <c r="L76" s="4" t="inlineStr"/>
      <c r="M76" s="4" t="n"/>
      <c r="N76" s="4" t="n"/>
      <c r="O76" s="4" t="n"/>
      <c r="P76" s="4" t="n"/>
      <c r="Q76" s="4" t="n"/>
      <c r="R76" s="4" t="n"/>
      <c r="S76" s="4" t="n"/>
      <c r="T76" s="4" t="n"/>
      <c r="U76" s="4" t="n"/>
      <c r="V76" s="4" t="n"/>
      <c r="W76" s="4" t="n"/>
    </row>
    <row r="77">
      <c r="A77" s="5" t="inlineStr">
        <is>
          <t>CON-103</t>
        </is>
      </c>
      <c r="B77" s="5" t="inlineStr">
        <is>
          <t>SWEBOK</t>
        </is>
      </c>
      <c r="C77" s="4" t="inlineStr">
        <is>
          <t>11. 統合・CI(SWEBOK 4-3.7, 4-4.17)</t>
        </is>
      </c>
      <c r="D77" s="10" t="inlineStr">
        <is>
          <t>Medium</t>
        </is>
      </c>
      <c r="E77" s="4" t="inlineStr">
        <is>
          <t>統合順序・スタブ方針が計画されている</t>
        </is>
      </c>
      <c r="F77" s="4" t="inlineStr">
        <is>
          <t>未完成コンポーネントとの結合にスタブ/モック/フィーチャーフラグの方針があり、統合の順序が構築計画に記述されている</t>
        </is>
      </c>
      <c r="G77" s="4" t="inlineStr">
        <is>
          <t>SWEBOKは統合順序の計画とスタブ・ドライバ・モック等の足場作りを統合の主要関心事に挙げる。無計画な結合は未完成部品待ちの手空きとビッグバン統合への逆戻りを生む。</t>
        </is>
      </c>
      <c r="H77" s="4" t="inlineStr">
        <is>
          <t>swebok-v4a.pdf ch04 Software Construction &gt; 4-3.7 Integration(統合順序の計画・スキャフォールディング)/ 4-2.2 Construction Planning</t>
        </is>
      </c>
      <c r="I77" s="4" t="inlineStr">
        <is>
          <t>CORE</t>
        </is>
      </c>
      <c r="J77" s="4" t="inlineStr">
        <is>
          <t>原則適用。案件スコープ・成果物・規制・リスク上非該当の場合はN/A根拠を記録。</t>
        </is>
      </c>
      <c r="K77" s="4" t="inlineStr">
        <is>
          <t>SRC-SWEBOK-V4A</t>
        </is>
      </c>
      <c r="L77" s="4" t="inlineStr"/>
      <c r="M77" s="4" t="n"/>
      <c r="N77" s="4" t="n"/>
      <c r="O77" s="4" t="n"/>
      <c r="P77" s="4" t="n"/>
      <c r="Q77" s="4" t="n"/>
      <c r="R77" s="4" t="n"/>
      <c r="S77" s="4" t="n"/>
      <c r="T77" s="4" t="n"/>
      <c r="U77" s="4" t="n"/>
      <c r="V77" s="4" t="n"/>
      <c r="W77" s="4" t="n"/>
    </row>
    <row r="78">
      <c r="A78" s="5" t="inlineStr">
        <is>
          <t>CON-104</t>
        </is>
      </c>
      <c r="B78" s="5" t="inlineStr">
        <is>
          <t>SWEBOK</t>
        </is>
      </c>
      <c r="C78" s="4" t="inlineStr">
        <is>
          <t>11. 統合・CI(SWEBOK 4-3.7, 4-4.17)</t>
        </is>
      </c>
      <c r="D78" s="10" t="inlineStr">
        <is>
          <t>Medium</t>
        </is>
      </c>
      <c r="E78" s="4" t="inlineStr">
        <is>
          <t>静的解析がパイプラインに含まれる</t>
        </is>
      </c>
      <c r="F78" s="4" t="inlineStr">
        <is>
          <t>静的解析ツールがCIで実行され、新規指摘の増加がブロックされる(ベースライン管理されている)</t>
        </is>
      </c>
      <c r="G78" s="4" t="inlineStr">
        <is>
          <t>静的解析は実行せずに欠陥・脆弱性を検出できる構築品質の主要技法。CIに組み込まれていないと実行が任意になり、指摘の蓄積で誰も見なくなる。</t>
        </is>
      </c>
      <c r="H78" s="4" t="inlineStr">
        <is>
          <t>swebok-v4a.pdf ch04 Software Construction &gt; 4-3.6 Construction Quality(静的解析・セキュリティ弱点の自動解析)</t>
        </is>
      </c>
      <c r="I78" s="4" t="inlineStr">
        <is>
          <t>CORE</t>
        </is>
      </c>
      <c r="J78" s="4" t="inlineStr">
        <is>
          <t>原則適用。案件スコープ・成果物・規制・リスク上非該当の場合はN/A根拠を記録。</t>
        </is>
      </c>
      <c r="K78" s="4" t="inlineStr">
        <is>
          <t>SRC-SWEBOK-V4A</t>
        </is>
      </c>
      <c r="L78" s="4" t="inlineStr"/>
      <c r="M78" s="4" t="n"/>
      <c r="N78" s="4" t="n"/>
      <c r="O78" s="4" t="n"/>
      <c r="P78" s="4" t="n"/>
      <c r="Q78" s="4" t="n"/>
      <c r="R78" s="4" t="n"/>
      <c r="S78" s="4" t="n"/>
      <c r="T78" s="4" t="n"/>
      <c r="U78" s="4" t="n"/>
      <c r="V78" s="4" t="n"/>
      <c r="W78" s="4" t="n"/>
    </row>
    <row r="79">
      <c r="A79" s="5" t="inlineStr">
        <is>
          <t>CON-105</t>
        </is>
      </c>
      <c r="B79" s="5" t="inlineStr">
        <is>
          <t>SWEBOK</t>
        </is>
      </c>
      <c r="C79" s="4" t="inlineStr">
        <is>
          <t>11. 統合・CI(SWEBOK 4-3.7, 4-4.17)</t>
        </is>
      </c>
      <c r="D79" s="11" t="inlineStr">
        <is>
          <t>Low</t>
        </is>
      </c>
      <c r="E79" s="4" t="inlineStr">
        <is>
          <t>ビルド時間が管理されている</t>
        </is>
      </c>
      <c r="F79" s="4" t="inlineStr">
        <is>
          <t>CIの所要時間が計測されており、フィードバックループを損なう遅延(目安: 単体テストまで15分超)に対する改善計画がある</t>
        </is>
      </c>
      <c r="G79" s="4" t="inlineStr">
        <is>
          <t>CIの高速フィードバックは構築の欠陥検出コストを下げる根幹。ビルドが遅いと開発者は結果を待たずに次へ進み、失敗対応が遅れて統合頻度も下がる。</t>
        </is>
      </c>
      <c r="H79" s="4" t="inlineStr">
        <is>
          <t>swebok-v4a.pdf ch04 Software Construction &gt; 4-4.17 Feedback Loop for Construction(高速フィードバック)</t>
        </is>
      </c>
      <c r="I79" s="4" t="inlineStr">
        <is>
          <t>CORE</t>
        </is>
      </c>
      <c r="J79" s="4" t="inlineStr">
        <is>
          <t>原則適用。案件スコープ・成果物・規制・リスク上非該当の場合はN/A根拠を記録。</t>
        </is>
      </c>
      <c r="K79" s="4" t="inlineStr">
        <is>
          <t>SRC-SWEBOK-V4A</t>
        </is>
      </c>
      <c r="L79" s="4" t="inlineStr"/>
      <c r="M79" s="4" t="n"/>
      <c r="N79" s="4" t="n"/>
      <c r="O79" s="4" t="n"/>
      <c r="P79" s="4" t="n"/>
      <c r="Q79" s="4" t="n"/>
      <c r="R79" s="4" t="n"/>
      <c r="S79" s="4" t="n"/>
      <c r="T79" s="4" t="n"/>
      <c r="U79" s="4" t="n"/>
      <c r="V79" s="4" t="n"/>
      <c r="W79" s="4" t="n"/>
    </row>
    <row r="80">
      <c r="A80" s="5" t="inlineStr">
        <is>
          <t>CON-901</t>
        </is>
      </c>
      <c r="B80" s="5" t="inlineStr">
        <is>
          <t>追加承認</t>
        </is>
      </c>
      <c r="C80" s="4" t="inlineStr">
        <is>
          <t>11. 統合・CI(SWEBOK 4-3.7, 4-4.17)</t>
        </is>
      </c>
      <c r="D80" s="10" t="inlineStr">
        <is>
          <t>Medium</t>
        </is>
      </c>
      <c r="E80" s="4" t="inlineStr">
        <is>
          <t>構築活動の計測が仕組み化されている</t>
        </is>
      </c>
      <c r="F80" s="4" t="inlineStr">
        <is>
          <t>コード規模・複雑度・テストカバレッジ・静的解析指摘数などの構築メトリクスがCI等で自動収集され、推移が参照可能である(ダッシュボードまたは定期レポートが存在する)</t>
        </is>
      </c>
      <c r="G80" s="4" t="inlineStr">
        <is>
          <t>計測がないと複雑度や欠陥率の悪化に誰も気づかず、品質劣化が障害の増加という形で初めて発覚する。自動収集で構築品質を継続的に可視化する。</t>
        </is>
      </c>
      <c r="H80" s="4" t="inlineStr">
        <is>
          <t>swebok-v4a.pdf ch04 Software Construction &gt; 2.3 Construction Measurement(構築の計測)</t>
        </is>
      </c>
      <c r="I80" s="4" t="inlineStr">
        <is>
          <t>CORE</t>
        </is>
      </c>
      <c r="J80" s="4" t="inlineStr">
        <is>
          <t>原則適用。案件スコープ・成果物・規制・リスク上非該当の場合はN/A根拠を記録。</t>
        </is>
      </c>
      <c r="K80" s="4" t="inlineStr">
        <is>
          <t>SRC-SWEBOK-V4A</t>
        </is>
      </c>
      <c r="L80" s="4" t="inlineStr"/>
      <c r="M80" s="4" t="n"/>
      <c r="N80" s="4" t="n"/>
      <c r="O80" s="4" t="n"/>
      <c r="P80" s="4" t="n"/>
      <c r="Q80" s="4" t="n"/>
      <c r="R80" s="4" t="n"/>
      <c r="S80" s="4" t="n"/>
      <c r="T80" s="4" t="n"/>
      <c r="U80" s="4" t="n"/>
      <c r="V80" s="4" t="n"/>
      <c r="W80" s="4" t="n"/>
    </row>
    <row r="81">
      <c r="A81" s="5" t="inlineStr">
        <is>
          <t>CON-110</t>
        </is>
      </c>
      <c r="B81" s="5" t="inlineStr">
        <is>
          <t>SWEBOK</t>
        </is>
      </c>
      <c r="C81" s="4" t="inlineStr">
        <is>
          <t>12. コード文書化・レビュー記録(SWEBOK 4-3.3, IEEE 1028)</t>
        </is>
      </c>
      <c r="D81" s="9" t="inlineStr">
        <is>
          <t>High</t>
        </is>
      </c>
      <c r="E81" s="4" t="inlineStr">
        <is>
          <t>コメントが「なぜ」を説明している</t>
        </is>
      </c>
      <c r="F81" s="4" t="inlineStr">
        <is>
          <t>コードから自明な「何をしているか」の反復でなく、意図・制約・回避策の理由が書かれている。コードと矛盾する古いコメントがない</t>
        </is>
      </c>
      <c r="G81" s="4" t="inlineStr">
        <is>
          <t>「何をしているか」の反復コメントはコード変更に追随せず嘘をつき始める。「なぜ」(意図・制約・回避策の理由)は将来の保守者が安全でない書き換えをする事故を防ぐ。</t>
        </is>
      </c>
      <c r="H81" s="4" t="inlineStr">
        <is>
          <t>swebok-v4a.pdf ch04 Software Construction &gt; 4-3.3 Coding(コード文書化)</t>
        </is>
      </c>
      <c r="I81" s="4" t="inlineStr">
        <is>
          <t>CORE</t>
        </is>
      </c>
      <c r="J81" s="4" t="inlineStr">
        <is>
          <t>原則適用。案件スコープ・成果物・規制・リスク上非該当の場合はN/A根拠を記録。</t>
        </is>
      </c>
      <c r="K81" s="4" t="inlineStr">
        <is>
          <t>SRC-SWEBOK-V4A</t>
        </is>
      </c>
      <c r="L81" s="4" t="inlineStr"/>
      <c r="M81" s="4" t="n"/>
      <c r="N81" s="4" t="n"/>
      <c r="O81" s="4" t="n"/>
      <c r="P81" s="4" t="n"/>
      <c r="Q81" s="4" t="n"/>
      <c r="R81" s="4" t="n"/>
      <c r="S81" s="4" t="n"/>
      <c r="T81" s="4" t="n"/>
      <c r="U81" s="4" t="n"/>
      <c r="V81" s="4" t="n"/>
      <c r="W81" s="4" t="n"/>
    </row>
    <row r="82">
      <c r="A82" s="5" t="inlineStr">
        <is>
          <t>CON-111</t>
        </is>
      </c>
      <c r="B82" s="5" t="inlineStr">
        <is>
          <t>SWEBOK</t>
        </is>
      </c>
      <c r="C82" s="4" t="inlineStr">
        <is>
          <t>12. コード文書化・レビュー記録(SWEBOK 4-3.3, IEEE 1028)</t>
        </is>
      </c>
      <c r="D82" s="10" t="inlineStr">
        <is>
          <t>Medium</t>
        </is>
      </c>
      <c r="E82" s="4" t="inlineStr">
        <is>
          <t>TODO/FIXMEが追跡されている</t>
        </is>
      </c>
      <c r="F82" s="4" t="inlineStr">
        <is>
          <t>TODO/FIXME/HACK コメントすべてに課題管理番号または担当・期限が併記されている</t>
        </is>
      </c>
      <c r="G82" s="4" t="inlineStr">
        <is>
          <t>追跡されないTODO/FIXMEは既知の欠陥・技術的負債が課題管理の外で放置される抜け道になり、リリース判定でリスクとして評価されないまま出荷される。</t>
        </is>
      </c>
      <c r="H82" s="4" t="inlineStr">
        <is>
          <t>swebok-v4a.pdf ch04 Software Construction &gt; 4-3.3 Coding(コード文書化)/ 実務補完(技術的負債管理)</t>
        </is>
      </c>
      <c r="I82" s="4" t="inlineStr">
        <is>
          <t>CORE</t>
        </is>
      </c>
      <c r="J82" s="4" t="inlineStr">
        <is>
          <t>原則適用。案件スコープ・成果物・規制・リスク上非該当の場合はN/A根拠を記録。</t>
        </is>
      </c>
      <c r="K82" s="4" t="inlineStr">
        <is>
          <t>SRC-SWEBOK-V4A;SRC-PRACTICE</t>
        </is>
      </c>
      <c r="L82" s="4" t="inlineStr"/>
      <c r="M82" s="4" t="n"/>
      <c r="N82" s="4" t="n"/>
      <c r="O82" s="4" t="n"/>
      <c r="P82" s="4" t="n"/>
      <c r="Q82" s="4" t="n"/>
      <c r="R82" s="4" t="n"/>
      <c r="S82" s="4" t="n"/>
      <c r="T82" s="4" t="n"/>
      <c r="U82" s="4" t="n"/>
      <c r="V82" s="4" t="n"/>
      <c r="W82" s="4" t="n"/>
    </row>
    <row r="83">
      <c r="A83" s="5" t="inlineStr">
        <is>
          <t>CON-112</t>
        </is>
      </c>
      <c r="B83" s="5" t="inlineStr">
        <is>
          <t>SWEBOK</t>
        </is>
      </c>
      <c r="C83" s="4" t="inlineStr">
        <is>
          <t>12. コード文書化・レビュー記録(SWEBOK 4-3.3, IEEE 1028)</t>
        </is>
      </c>
      <c r="D83" s="9" t="inlineStr">
        <is>
          <t>High</t>
        </is>
      </c>
      <c r="E83" s="4" t="inlineStr">
        <is>
          <t>コードレビューが実施され記録がある</t>
        </is>
      </c>
      <c r="F83" s="4" t="inlineStr">
        <is>
          <t>対象変更にレビュー記録(レビュアー・日付・指摘・対応結果)があり、セルフマージ(レビューなしの取り込み)がない</t>
        </is>
      </c>
      <c r="G83" s="4" t="inlineStr">
        <is>
          <t>レビューはSWEBOKが挙げる構築品質の主要技法であり、記録がなければ実施の証明も指摘の追跡もできない。セルフマージは第三者の目を通らない欠陥・不正の混入経路になる。</t>
        </is>
      </c>
      <c r="H83" s="4" t="inlineStr">
        <is>
          <t>swebok-v4a.pdf ch04 Software Construction &gt; 4-3.6 Construction Quality(インスペクション・技術レビュー)/ IEEE 1028</t>
        </is>
      </c>
      <c r="I83" s="4" t="inlineStr">
        <is>
          <t>CORE</t>
        </is>
      </c>
      <c r="J83" s="4" t="inlineStr">
        <is>
          <t>原則適用。案件スコープ・成果物・規制・リスク上非該当の場合はN/A根拠を記録。</t>
        </is>
      </c>
      <c r="K83" s="4" t="inlineStr">
        <is>
          <t>SRC-SWEBOK-V4A</t>
        </is>
      </c>
      <c r="L83" s="4" t="inlineStr"/>
      <c r="M83" s="4" t="n"/>
      <c r="N83" s="4" t="n"/>
      <c r="O83" s="4" t="n"/>
      <c r="P83" s="4" t="n"/>
      <c r="Q83" s="4" t="n"/>
      <c r="R83" s="4" t="n"/>
      <c r="S83" s="4" t="n"/>
      <c r="T83" s="4" t="n"/>
      <c r="U83" s="4" t="n"/>
      <c r="V83" s="4" t="n"/>
      <c r="W83" s="4" t="n"/>
    </row>
    <row r="84">
      <c r="A84" s="5" t="inlineStr">
        <is>
          <t>CON-113</t>
        </is>
      </c>
      <c r="B84" s="5" t="inlineStr">
        <is>
          <t>SWEBOK</t>
        </is>
      </c>
      <c r="C84" s="4" t="inlineStr">
        <is>
          <t>12. コード文書化・レビュー記録(SWEBOK 4-3.3, IEEE 1028)</t>
        </is>
      </c>
      <c r="D84" s="9" t="inlineStr">
        <is>
          <t>High</t>
        </is>
      </c>
      <c r="E84" s="4" t="inlineStr">
        <is>
          <t>Critical/High指摘が解消されている</t>
        </is>
      </c>
      <c r="F84" s="4" t="inlineStr">
        <is>
          <t>レビュー指摘のうち重要度 Critical/High がすべて修正済みまたは正当な理由付きでクローズされている</t>
        </is>
      </c>
      <c r="G84" s="4" t="inlineStr">
        <is>
          <t>指摘して修正されなければレビューは儀式に堕ちる。Critical/High指摘の未解消マージは、発見済みの重大欠陥を承知で出荷することを意味する。</t>
        </is>
      </c>
      <c r="H84" s="4" t="inlineStr">
        <is>
          <t>swebok-v4a.pdf ch04 Software Construction &gt; 4-3.6 Construction Quality(レビュー指摘の解消)/ IEEE 1028</t>
        </is>
      </c>
      <c r="I84" s="4" t="inlineStr">
        <is>
          <t>CORE</t>
        </is>
      </c>
      <c r="J84" s="4" t="inlineStr">
        <is>
          <t>原則適用。案件スコープ・成果物・規制・リスク上非該当の場合はN/A根拠を記録。</t>
        </is>
      </c>
      <c r="K84" s="4" t="inlineStr">
        <is>
          <t>SRC-SWEBOK-V4A</t>
        </is>
      </c>
      <c r="L84" s="4" t="inlineStr"/>
      <c r="M84" s="4" t="n"/>
      <c r="N84" s="4" t="n"/>
      <c r="O84" s="4" t="n"/>
      <c r="P84" s="4" t="n"/>
      <c r="Q84" s="4" t="n"/>
      <c r="R84" s="4" t="n"/>
      <c r="S84" s="4" t="n"/>
      <c r="T84" s="4" t="n"/>
      <c r="U84" s="4" t="n"/>
      <c r="V84" s="4" t="n"/>
      <c r="W84" s="4" t="n"/>
    </row>
    <row r="85">
      <c r="A85" s="5" t="inlineStr">
        <is>
          <t>CON-114</t>
        </is>
      </c>
      <c r="B85" s="5" t="inlineStr">
        <is>
          <t>SWEBOK</t>
        </is>
      </c>
      <c r="C85" s="4" t="inlineStr">
        <is>
          <t>12. コード文書化・レビュー記録(SWEBOK 4-3.3, IEEE 1028)</t>
        </is>
      </c>
      <c r="D85" s="10" t="inlineStr">
        <is>
          <t>Medium</t>
        </is>
      </c>
      <c r="E85" s="4" t="inlineStr">
        <is>
          <t>コミット履歴が追跡可能である</t>
        </is>
      </c>
      <c r="F85" s="4" t="inlineStr">
        <is>
          <t>コミットメッセージが変更内容と理由を説明し、課題管理システムのIDと関連付けられている</t>
        </is>
      </c>
      <c r="G85" s="4" t="inlineStr">
        <is>
          <t>変更理由の追えないコミット履歴は、障害調査時の「なぜこうなっているか」を考古学にし、構成管理・監査の要求(変更の追跡可能性)も満たせない。</t>
        </is>
      </c>
      <c r="H85" s="4" t="inlineStr">
        <is>
          <t>swebok-v4a.pdf ch04 Software Construction &gt; 4-2.3 Construction Measurement(実務補完: SCMトレーサビリティ)</t>
        </is>
      </c>
      <c r="I85" s="4" t="inlineStr">
        <is>
          <t>CORE</t>
        </is>
      </c>
      <c r="J85" s="4" t="inlineStr">
        <is>
          <t>原則適用。案件スコープ・成果物・規制・リスク上非該当の場合はN/A根拠を記録。</t>
        </is>
      </c>
      <c r="K85" s="4" t="inlineStr">
        <is>
          <t>SRC-SWEBOK-V4A;SRC-PRACTICE</t>
        </is>
      </c>
      <c r="L85" s="4" t="inlineStr"/>
      <c r="M85" s="4" t="n"/>
      <c r="N85" s="4" t="n"/>
      <c r="O85" s="4" t="n"/>
      <c r="P85" s="4" t="n"/>
      <c r="Q85" s="4" t="n"/>
      <c r="R85" s="4" t="n"/>
      <c r="S85" s="4" t="n"/>
      <c r="T85" s="4" t="n"/>
      <c r="U85" s="4" t="n"/>
      <c r="V85" s="4" t="n"/>
      <c r="W85" s="4" t="n"/>
    </row>
    <row r="86">
      <c r="A86" s="5" t="inlineStr">
        <is>
          <t>CON-115</t>
        </is>
      </c>
      <c r="B86" s="5" t="inlineStr">
        <is>
          <t>SWEBOK</t>
        </is>
      </c>
      <c r="C86" s="4" t="inlineStr">
        <is>
          <t>12. コード文書化・レビュー記録(SWEBOK 4-3.3, IEEE 1028)</t>
        </is>
      </c>
      <c r="D86" s="11" t="inlineStr">
        <is>
          <t>Low</t>
        </is>
      </c>
      <c r="E86" s="4" t="inlineStr">
        <is>
          <t>READMEと構築手順が最新である</t>
        </is>
      </c>
      <c r="F86" s="4" t="inlineStr">
        <is>
          <t>ビルド・テスト・実行手順の記述が現状のコードで再現でき、新規参画者が手順どおりに環境構築できる</t>
        </is>
      </c>
      <c r="G86" s="4" t="inlineStr">
        <is>
          <t>陳腐化した構築手順は新規参画者の立ち上げを数日単位で浪費させ、緊急時に「ビルド方法が分からない」という最悪の事態を招く。</t>
        </is>
      </c>
      <c r="H86" s="4" t="inlineStr">
        <is>
          <t>swebok-v4a.pdf ch04 Software Construction &gt; 4-1.5 Applying Standards(文書標準)/ 実務補完(オンボーディング)</t>
        </is>
      </c>
      <c r="I86" s="4" t="inlineStr">
        <is>
          <t>CORE</t>
        </is>
      </c>
      <c r="J86" s="4" t="inlineStr">
        <is>
          <t>原則適用。案件スコープ・成果物・規制・リスク上非該当の場合はN/A根拠を記録。</t>
        </is>
      </c>
      <c r="K86" s="4" t="inlineStr">
        <is>
          <t>SRC-SWEBOK-V4A;SRC-PRACTICE</t>
        </is>
      </c>
      <c r="L86" s="4" t="inlineStr"/>
      <c r="M86" s="4" t="n"/>
      <c r="N86" s="4" t="n"/>
      <c r="O86" s="4" t="n"/>
      <c r="P86" s="4" t="n"/>
      <c r="Q86" s="4" t="n"/>
      <c r="R86" s="4" t="n"/>
      <c r="S86" s="4" t="n"/>
      <c r="T86" s="4" t="n"/>
      <c r="U86" s="4" t="n"/>
      <c r="V86" s="4" t="n"/>
      <c r="W86" s="4" t="n"/>
    </row>
  </sheetData>
  <autoFilter ref="A1:W86"/>
  <conditionalFormatting sqref="O2:O2000">
    <cfRule type="cellIs" priority="1" operator="equal" dxfId="0">
      <formula>"Fail"</formula>
    </cfRule>
    <cfRule type="cellIs" priority="2" operator="equal" dxfId="1">
      <formula>"Pass"</formula>
    </cfRule>
    <cfRule type="cellIs" priority="4" operator="equal" dxfId="0">
      <formula>"Fail"</formula>
    </cfRule>
    <cfRule type="cellIs" priority="5" operator="equal" dxfId="1">
      <formula>"Pass"</formula>
    </cfRule>
    <cfRule type="cellIs" priority="7" operator="equal" dxfId="0">
      <formula>"Fail"</formula>
    </cfRule>
    <cfRule type="cellIs" priority="8" operator="equal" dxfId="1">
      <formula>"Pass"</formula>
    </cfRule>
    <cfRule type="cellIs" priority="10" operator="equal" dxfId="0">
      <formula>"Fail"</formula>
    </cfRule>
    <cfRule type="cellIs" priority="11" operator="equal" dxfId="1">
      <formula>"Pass"</formula>
    </cfRule>
    <cfRule type="cellIs" priority="13" operator="equal" dxfId="0">
      <formula>"Fail"</formula>
    </cfRule>
    <cfRule type="cellIs" priority="14" operator="equal" dxfId="1">
      <formula>"Pass"</formula>
    </cfRule>
  </conditionalFormatting>
  <conditionalFormatting sqref="N2:N2000">
    <cfRule type="cellIs" priority="3" operator="equal" dxfId="2">
      <formula>"N/A"</formula>
    </cfRule>
    <cfRule type="cellIs" priority="6" operator="equal" dxfId="2">
      <formula>"N/A"</formula>
    </cfRule>
    <cfRule type="cellIs" priority="9" operator="equal" dxfId="2">
      <formula>"N/A"</formula>
    </cfRule>
    <cfRule type="cellIs" priority="12" operator="equal" dxfId="2">
      <formula>"N/A"</formula>
    </cfRule>
    <cfRule type="cellIs" priority="15" operator="equal" dxfId="2">
      <formula>"N/A"</formula>
    </cfRule>
  </conditionalFormatting>
  <dataValidations count="20">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s>
  <pageMargins left="0.75" right="0.75" top="1" bottom="1" header="0.5" footer="0.5"/>
  <pageSetup orientation="landscape" fitToWidth="1"/>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fitToPage="1"/>
  </sheetPr>
  <dimension ref="A1:W91"/>
  <sheetViews>
    <sheetView workbookViewId="0">
      <pane xSplit="4" ySplit="1" topLeftCell="E2"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4" customWidth="1" min="1" max="1"/>
    <col width="14" customWidth="1" min="2" max="2"/>
    <col width="28" customWidth="1" min="3" max="3"/>
    <col width="12" customWidth="1" min="4" max="4"/>
    <col width="46" customWidth="1" min="5" max="5"/>
    <col width="52" customWidth="1" min="6" max="6"/>
    <col width="48" customWidth="1" min="7" max="7"/>
    <col width="46" customWidth="1" min="8" max="8"/>
    <col width="18" customWidth="1" min="9" max="9"/>
    <col width="38" customWidth="1" min="10" max="10"/>
    <col width="28" customWidth="1" min="11" max="11"/>
    <col width="25" customWidth="1" min="12" max="12"/>
    <col width="13" customWidth="1" min="13" max="13"/>
    <col width="12" customWidth="1" min="14" max="14"/>
    <col width="12" customWidth="1" min="15" max="15"/>
    <col width="38" customWidth="1" min="16" max="16"/>
    <col width="24" customWidth="1" min="17" max="17"/>
    <col width="30" customWidth="1" min="18" max="18"/>
    <col width="23" customWidth="1" min="19" max="19"/>
    <col width="15" customWidth="1" min="20" max="20"/>
    <col width="18" customWidth="1" min="21" max="21"/>
    <col width="15" customWidth="1" min="22" max="22"/>
    <col width="15" customWidth="1" min="23" max="23"/>
  </cols>
  <sheetData>
    <row r="1">
      <c r="A1" s="3" t="inlineStr">
        <is>
          <t>ID</t>
        </is>
      </c>
      <c r="B1" s="3" t="inlineStr">
        <is>
          <t>区分</t>
        </is>
      </c>
      <c r="C1" s="3" t="inlineStr">
        <is>
          <t>カテゴリ</t>
        </is>
      </c>
      <c r="D1" s="3" t="inlineStr">
        <is>
          <t>基準重要度</t>
        </is>
      </c>
      <c r="E1" s="3" t="inlineStr">
        <is>
          <t>チェック項目</t>
        </is>
      </c>
      <c r="F1" s="3" t="inlineStr">
        <is>
          <t>合格基準</t>
        </is>
      </c>
      <c r="G1" s="3" t="inlineStr">
        <is>
          <t>意図(なぜ確認するか)</t>
        </is>
      </c>
      <c r="H1" s="3" t="inlineStr">
        <is>
          <t>対象ドキュメント(参照箇所)</t>
        </is>
      </c>
      <c r="I1" s="21" t="inlineStr">
        <is>
          <t>適用プロファイル</t>
        </is>
      </c>
      <c r="J1" s="21" t="inlineStr">
        <is>
          <t>適用条件</t>
        </is>
      </c>
      <c r="K1" s="21" t="inlineStr">
        <is>
          <t>出典ID</t>
        </is>
      </c>
      <c r="L1" s="21" t="inlineStr">
        <is>
          <t>重複統制グループ</t>
        </is>
      </c>
      <c r="M1" s="21" t="inlineStr">
        <is>
          <t>案件重要度</t>
        </is>
      </c>
      <c r="N1" s="21" t="inlineStr">
        <is>
          <t>適用判定</t>
        </is>
      </c>
      <c r="O1" s="21" t="inlineStr">
        <is>
          <t>判定</t>
        </is>
      </c>
      <c r="P1" s="21" t="inlineStr">
        <is>
          <t>証跡・参照箇所</t>
        </is>
      </c>
      <c r="Q1" s="21" t="inlineStr">
        <is>
          <t>指摘・Issue ID</t>
        </is>
      </c>
      <c r="R1" s="21" t="inlineStr">
        <is>
          <t>対応方針</t>
        </is>
      </c>
      <c r="S1" s="21" t="inlineStr">
        <is>
          <t>例外・リスク受容承認者</t>
        </is>
      </c>
      <c r="T1" s="21" t="inlineStr">
        <is>
          <t>是正期限</t>
        </is>
      </c>
      <c r="U1" s="21" t="inlineStr">
        <is>
          <t>レビュアー</t>
        </is>
      </c>
      <c r="V1" s="21" t="inlineStr">
        <is>
          <t>レビュー日</t>
        </is>
      </c>
      <c r="W1" s="21" t="inlineStr">
        <is>
          <t>再確認結果</t>
        </is>
      </c>
    </row>
    <row r="2">
      <c r="A2" s="5" t="inlineStr">
        <is>
          <t>TST-001</t>
        </is>
      </c>
      <c r="B2" s="5" t="inlineStr">
        <is>
          <t>SWEBOK</t>
        </is>
      </c>
      <c r="C2" s="4" t="inlineStr">
        <is>
          <t>1. テスト計画(TST-001〜)</t>
        </is>
      </c>
      <c r="D2" s="8" t="inlineStr">
        <is>
          <t>Critical</t>
        </is>
      </c>
      <c r="E2" s="4" t="inlineStr">
        <is>
          <t>テスト対象のスコープが定義されている</t>
        </is>
      </c>
      <c r="F2" s="4" t="inlineStr">
        <is>
          <t>対象と対象外の両方が機能・コンポーネント単位で列挙され、対象外には根拠が付記されている</t>
        </is>
      </c>
      <c r="G2" s="4" t="inlineStr">
        <is>
          <t>スコープが曖昧なまま進むと、対象外のはずの領域の障害流出や、逆に不要なテストへの工数浪費が起きる。悉皆テストは不可能というSWEBOKの前提の下、何を捨てるかの判断を明示させるための項目。</t>
        </is>
      </c>
      <c r="H2" s="4" t="inlineStr">
        <is>
          <t>swebok-v4a.pdf ch05 Software Testing &gt; 5.1.2 Test Guides and Organizational Process / 5.2.1 Test Planning Process</t>
        </is>
      </c>
      <c r="I2" s="4" t="inlineStr">
        <is>
          <t>CORE</t>
        </is>
      </c>
      <c r="J2" s="4" t="inlineStr">
        <is>
          <t>原則適用。案件スコープ・成果物・規制・リスク上非該当の場合はN/A根拠を記録。</t>
        </is>
      </c>
      <c r="K2" s="4" t="inlineStr">
        <is>
          <t>SRC-SWEBOK-V4A</t>
        </is>
      </c>
      <c r="L2" s="4" t="inlineStr"/>
      <c r="M2" s="4" t="n"/>
      <c r="N2" s="4" t="n"/>
      <c r="O2" s="4" t="n"/>
      <c r="P2" s="4" t="n"/>
      <c r="Q2" s="4" t="n"/>
      <c r="R2" s="4" t="n"/>
      <c r="S2" s="4" t="n"/>
      <c r="T2" s="4" t="n"/>
      <c r="U2" s="4" t="n"/>
      <c r="V2" s="4" t="n"/>
      <c r="W2" s="4" t="n"/>
    </row>
    <row r="3">
      <c r="A3" s="5" t="inlineStr">
        <is>
          <t>TST-002</t>
        </is>
      </c>
      <c r="B3" s="5" t="inlineStr">
        <is>
          <t>SWEBOK</t>
        </is>
      </c>
      <c r="C3" s="4" t="inlineStr">
        <is>
          <t>1. テスト計画(TST-001〜)</t>
        </is>
      </c>
      <c r="D3" s="8" t="inlineStr">
        <is>
          <t>Critical</t>
        </is>
      </c>
      <c r="E3" s="4" t="inlineStr">
        <is>
          <t>テストレベル構成が定義されている</t>
        </is>
      </c>
      <c r="F3" s="4" t="inlineStr">
        <is>
          <t>単体/統合/システム/受入の各レベルについて、対象・目的・担当・使用環境が表等で明記されている</t>
        </is>
      </c>
      <c r="G3" s="4" t="inlineStr">
        <is>
          <t>レベル構成が未定義だと、単体で捕まえるべき欠陥がシステムテストまで持ち越されて修正コストが跳ね上がり、責任の押し付け合いも生じる。4段階の目的・担当を先に固定して欠陥検出の場所を最適化する。</t>
        </is>
      </c>
      <c r="H3" s="4" t="inlineStr">
        <is>
          <t>swebok-v4a.pdf ch05 Software Testing &gt; 2.1 The Target of the Test</t>
        </is>
      </c>
      <c r="I3" s="4" t="inlineStr">
        <is>
          <t>CORE</t>
        </is>
      </c>
      <c r="J3" s="4" t="inlineStr">
        <is>
          <t>原則適用。案件スコープ・成果物・規制・リスク上非該当の場合はN/A根拠を記録。</t>
        </is>
      </c>
      <c r="K3" s="4" t="inlineStr">
        <is>
          <t>SRC-SWEBOK-V4A</t>
        </is>
      </c>
      <c r="L3" s="4" t="inlineStr"/>
      <c r="M3" s="4" t="n"/>
      <c r="N3" s="4" t="n"/>
      <c r="O3" s="4" t="n"/>
      <c r="P3" s="4" t="n"/>
      <c r="Q3" s="4" t="n"/>
      <c r="R3" s="4" t="n"/>
      <c r="S3" s="4" t="n"/>
      <c r="T3" s="4" t="n"/>
      <c r="U3" s="4" t="n"/>
      <c r="V3" s="4" t="n"/>
      <c r="W3" s="4" t="n"/>
    </row>
    <row r="4">
      <c r="A4" s="5" t="inlineStr">
        <is>
          <t>TST-003</t>
        </is>
      </c>
      <c r="B4" s="5" t="inlineStr">
        <is>
          <t>SWEBOK</t>
        </is>
      </c>
      <c r="C4" s="4" t="inlineStr">
        <is>
          <t>1. テスト計画(TST-001〜)</t>
        </is>
      </c>
      <c r="D4" s="8" t="inlineStr">
        <is>
          <t>Critical</t>
        </is>
      </c>
      <c r="E4" s="4" t="inlineStr">
        <is>
          <t>終了基準(Exit Criteria)が測定可能に定義されている</t>
        </is>
      </c>
      <c r="F4" s="4" t="inlineStr">
        <is>
          <t>「全 Critical 障害修正済み」「分岐網羅率 80% 以上」等、数値または二値判定可能な条件で記述され、「十分にテストする」等の曖昧表現がない</t>
        </is>
      </c>
      <c r="G4" s="4" t="inlineStr">
        <is>
          <t>「どこまでやれば十分か」を測定可能に定義しないと、終了判断が声の大きさや納期都合で決まり、品質根拠のないリリースや際限のないテスト継続を招く。</t>
        </is>
      </c>
      <c r="H4" s="4" t="inlineStr">
        <is>
          <t>swebok-v4a.pdf ch05 Software Testing &gt; 1.2.2 Test Selection and Adequacy Criteria / 5.1.8 Test Completion</t>
        </is>
      </c>
      <c r="I4" s="4" t="inlineStr">
        <is>
          <t>CORE</t>
        </is>
      </c>
      <c r="J4" s="4" t="inlineStr">
        <is>
          <t>原則適用。案件スコープ・成果物・規制・リスク上非該当の場合はN/A根拠を記録。</t>
        </is>
      </c>
      <c r="K4" s="4" t="inlineStr">
        <is>
          <t>SRC-SWEBOK-V4A</t>
        </is>
      </c>
      <c r="L4" s="4" t="inlineStr"/>
      <c r="M4" s="4" t="n"/>
      <c r="N4" s="4" t="n"/>
      <c r="O4" s="4" t="n"/>
      <c r="P4" s="4" t="n"/>
      <c r="Q4" s="4" t="n"/>
      <c r="R4" s="4" t="n"/>
      <c r="S4" s="4" t="n"/>
      <c r="T4" s="4" t="n"/>
      <c r="U4" s="4" t="n"/>
      <c r="V4" s="4" t="n"/>
      <c r="W4" s="4" t="n"/>
    </row>
    <row r="5">
      <c r="A5" s="5" t="inlineStr">
        <is>
          <t>TST-004</t>
        </is>
      </c>
      <c r="B5" s="5" t="inlineStr">
        <is>
          <t>SWEBOK</t>
        </is>
      </c>
      <c r="C5" s="4" t="inlineStr">
        <is>
          <t>1. テスト計画(TST-001〜)</t>
        </is>
      </c>
      <c r="D5" s="9" t="inlineStr">
        <is>
          <t>High</t>
        </is>
      </c>
      <c r="E5" s="4" t="inlineStr">
        <is>
          <t>開始基準(Entry Criteria)が定義されている</t>
        </is>
      </c>
      <c r="F5" s="4" t="inlineStr">
        <is>
          <t>各テストレベルの開始条件(前工程成果物の完成、環境準備完了等)が判定可能な形で列挙されている</t>
        </is>
      </c>
      <c r="G5" s="4" t="inlineStr">
        <is>
          <t>開始条件が曖昧だと、未完成のビルドや未準備の環境でテストを始めて大量のBlockedと手戻りが発生し、実行工数が空費される。</t>
        </is>
      </c>
      <c r="H5" s="4" t="inlineStr">
        <is>
          <t>swebok-v4a.pdf ch05 Software Testing &gt; 5.2.1 Test Planning Process(実務補完: ISO/IEC/IEEE 29119-3)</t>
        </is>
      </c>
      <c r="I5" s="4" t="inlineStr">
        <is>
          <t>CORE</t>
        </is>
      </c>
      <c r="J5" s="4" t="inlineStr">
        <is>
          <t>原則適用。案件スコープ・成果物・規制・リスク上非該当の場合はN/A根拠を記録。</t>
        </is>
      </c>
      <c r="K5" s="4" t="inlineStr">
        <is>
          <t>SRC-SWEBOK-V4A;SRC-ISO-GENERAL;SRC-PRACTICE</t>
        </is>
      </c>
      <c r="L5" s="4" t="inlineStr"/>
      <c r="M5" s="4" t="n"/>
      <c r="N5" s="4" t="n"/>
      <c r="O5" s="4" t="n"/>
      <c r="P5" s="4" t="n"/>
      <c r="Q5" s="4" t="n"/>
      <c r="R5" s="4" t="n"/>
      <c r="S5" s="4" t="n"/>
      <c r="T5" s="4" t="n"/>
      <c r="U5" s="4" t="n"/>
      <c r="V5" s="4" t="n"/>
      <c r="W5" s="4" t="n"/>
    </row>
    <row r="6">
      <c r="A6" s="5" t="inlineStr">
        <is>
          <t>TST-005</t>
        </is>
      </c>
      <c r="B6" s="5" t="inlineStr">
        <is>
          <t>SWEBOK</t>
        </is>
      </c>
      <c r="C6" s="4" t="inlineStr">
        <is>
          <t>1. テスト計画(TST-001〜)</t>
        </is>
      </c>
      <c r="D6" s="9" t="inlineStr">
        <is>
          <t>High</t>
        </is>
      </c>
      <c r="E6" s="4" t="inlineStr">
        <is>
          <t>中断・再開基準が定義されている</t>
        </is>
      </c>
      <c r="F6" s="4" t="inlineStr">
        <is>
          <t>テスト中断に至る条件(Blocked 率、環境障害等)と再開条件が記述されている</t>
        </is>
      </c>
      <c r="G6" s="4" t="inlineStr">
        <is>
          <t>中断基準がないと、環境障害や先行欠陥の多発時に無意味な実行を続けて結果の信頼性を損ない、再開時にどこからやり直すかで混乱する。</t>
        </is>
      </c>
      <c r="H6" s="4" t="inlineStr">
        <is>
          <t>実務補完(ISO/IEC/IEEE 29119-3、IEEE 829系のテスト計画実務)</t>
        </is>
      </c>
      <c r="I6" s="4" t="inlineStr">
        <is>
          <t>CORE</t>
        </is>
      </c>
      <c r="J6" s="4" t="inlineStr">
        <is>
          <t>原則適用。案件スコープ・成果物・規制・リスク上非該当の場合はN/A根拠を記録。</t>
        </is>
      </c>
      <c r="K6" s="4" t="inlineStr">
        <is>
          <t>SRC-ISO-GENERAL;SRC-PRACTICE</t>
        </is>
      </c>
      <c r="L6" s="4" t="inlineStr"/>
      <c r="M6" s="4" t="n"/>
      <c r="N6" s="4" t="n"/>
      <c r="O6" s="4" t="n"/>
      <c r="P6" s="4" t="n"/>
      <c r="Q6" s="4" t="n"/>
      <c r="R6" s="4" t="n"/>
      <c r="S6" s="4" t="n"/>
      <c r="T6" s="4" t="n"/>
      <c r="U6" s="4" t="n"/>
      <c r="V6" s="4" t="n"/>
      <c r="W6" s="4" t="n"/>
    </row>
    <row r="7">
      <c r="A7" s="5" t="inlineStr">
        <is>
          <t>TST-006</t>
        </is>
      </c>
      <c r="B7" s="5" t="inlineStr">
        <is>
          <t>SWEBOK</t>
        </is>
      </c>
      <c r="C7" s="4" t="inlineStr">
        <is>
          <t>1. テスト計画(TST-001〜)</t>
        </is>
      </c>
      <c r="D7" s="8" t="inlineStr">
        <is>
          <t>Critical</t>
        </is>
      </c>
      <c r="E7" s="4" t="inlineStr">
        <is>
          <t>リスク分析に基づく重点化が行われている</t>
        </is>
      </c>
      <c r="F7" s="4" t="inlineStr">
        <is>
          <t>プロダクトリスクが発生確率と影響度で評価され、リスクの高い領域へのテスト重点配分(技法・工数・優先度)が計画に反映されている</t>
        </is>
      </c>
      <c r="G7" s="4" t="inlineStr">
        <is>
          <t>テストは常に限られた資源と無限のテスト要求のトレードオフであり、リスクに基づく重点化がないと低リスク領域に工数を均等散布して重大障害を見逃す。</t>
        </is>
      </c>
      <c r="H7" s="4" t="inlineStr">
        <is>
          <t>swebok-v4a.pdf ch05 Software Testing &gt; 5.1.2 Test Guides(リスクベースドテスト)/ 5.2.1 Test Planning Process(リスク計画)</t>
        </is>
      </c>
      <c r="I7" s="4" t="inlineStr">
        <is>
          <t>CORE</t>
        </is>
      </c>
      <c r="J7" s="4" t="inlineStr">
        <is>
          <t>原則適用。案件スコープ・成果物・規制・リスク上非該当の場合はN/A根拠を記録。</t>
        </is>
      </c>
      <c r="K7" s="4" t="inlineStr">
        <is>
          <t>SRC-SWEBOK-V4A</t>
        </is>
      </c>
      <c r="L7" s="4" t="inlineStr"/>
      <c r="M7" s="4" t="n"/>
      <c r="N7" s="4" t="n"/>
      <c r="O7" s="4" t="n"/>
      <c r="P7" s="4" t="n"/>
      <c r="Q7" s="4" t="n"/>
      <c r="R7" s="4" t="n"/>
      <c r="S7" s="4" t="n"/>
      <c r="T7" s="4" t="n"/>
      <c r="U7" s="4" t="n"/>
      <c r="V7" s="4" t="n"/>
      <c r="W7" s="4" t="n"/>
    </row>
    <row r="8">
      <c r="A8" s="5" t="inlineStr">
        <is>
          <t>TST-007</t>
        </is>
      </c>
      <c r="B8" s="5" t="inlineStr">
        <is>
          <t>SWEBOK</t>
        </is>
      </c>
      <c r="C8" s="4" t="inlineStr">
        <is>
          <t>1. テスト計画(TST-001〜)</t>
        </is>
      </c>
      <c r="D8" s="9" t="inlineStr">
        <is>
          <t>High</t>
        </is>
      </c>
      <c r="E8" s="4" t="inlineStr">
        <is>
          <t>テスト体制とロールが定義されている</t>
        </is>
      </c>
      <c r="F8" s="4" t="inlineStr">
        <is>
          <t>テスト管理者・設計者・実行者等のロールと担当者(またはアサイン方針)、独立性の程度が記述されている</t>
        </is>
      </c>
      <c r="G8" s="4" t="inlineStr">
        <is>
          <t>ロールと独立性が未定義だと、実装者バイアスで欠陥が見逃されたり、テスト実行の責任者不在で進捗が停滞したりする。</t>
        </is>
      </c>
      <c r="H8" s="4" t="inlineStr">
        <is>
          <t>swebok-v4a.pdf ch05 Software Testing &gt; 5.1.5 Test Team / 5.3 Staffing</t>
        </is>
      </c>
      <c r="I8" s="4" t="inlineStr">
        <is>
          <t>CORE</t>
        </is>
      </c>
      <c r="J8" s="4" t="inlineStr">
        <is>
          <t>原則適用。案件スコープ・成果物・規制・リスク上非該当の場合はN/A根拠を記録。</t>
        </is>
      </c>
      <c r="K8" s="4" t="inlineStr">
        <is>
          <t>SRC-SWEBOK-V4A</t>
        </is>
      </c>
      <c r="L8" s="4" t="inlineStr"/>
      <c r="M8" s="4" t="n"/>
      <c r="N8" s="4" t="n"/>
      <c r="O8" s="4" t="n"/>
      <c r="P8" s="4" t="n"/>
      <c r="Q8" s="4" t="n"/>
      <c r="R8" s="4" t="n"/>
      <c r="S8" s="4" t="n"/>
      <c r="T8" s="4" t="n"/>
      <c r="U8" s="4" t="n"/>
      <c r="V8" s="4" t="n"/>
      <c r="W8" s="4" t="n"/>
    </row>
    <row r="9">
      <c r="A9" s="5" t="inlineStr">
        <is>
          <t>TST-008</t>
        </is>
      </c>
      <c r="B9" s="5" t="inlineStr">
        <is>
          <t>SWEBOK</t>
        </is>
      </c>
      <c r="C9" s="4" t="inlineStr">
        <is>
          <t>1. テスト計画(TST-001〜)</t>
        </is>
      </c>
      <c r="D9" s="9" t="inlineStr">
        <is>
          <t>High</t>
        </is>
      </c>
      <c r="E9" s="4" t="inlineStr">
        <is>
          <t>スケジュールが工程と整合している</t>
        </is>
      </c>
      <c r="F9" s="4" t="inlineStr">
        <is>
          <t>テスト設計・環境構築・実行・報告の各活動に期間が割り当てられ、開発スケジュールとの依存関係が示されている</t>
        </is>
      </c>
      <c r="G9" s="4" t="inlineStr">
        <is>
          <t>テストが開発スケジュールと独立に立てられると、開発遅延のしわ寄せでテスト期間だけが圧縮され、計画したテストが実施されないままリリースされる。</t>
        </is>
      </c>
      <c r="H9" s="4" t="inlineStr">
        <is>
          <t>swebok-v4a.pdf ch05 Software Testing &gt; 5.2.1 Test Planning Process</t>
        </is>
      </c>
      <c r="I9" s="4" t="inlineStr">
        <is>
          <t>CORE</t>
        </is>
      </c>
      <c r="J9" s="4" t="inlineStr">
        <is>
          <t>原則適用。案件スコープ・成果物・規制・リスク上非該当の場合はN/A根拠を記録。</t>
        </is>
      </c>
      <c r="K9" s="4" t="inlineStr">
        <is>
          <t>SRC-SWEBOK-V4A</t>
        </is>
      </c>
      <c r="L9" s="4" t="inlineStr"/>
      <c r="M9" s="4" t="n"/>
      <c r="N9" s="4" t="n"/>
      <c r="O9" s="4" t="n"/>
      <c r="P9" s="4" t="n"/>
      <c r="Q9" s="4" t="n"/>
      <c r="R9" s="4" t="n"/>
      <c r="S9" s="4" t="n"/>
      <c r="T9" s="4" t="n"/>
      <c r="U9" s="4" t="n"/>
      <c r="V9" s="4" t="n"/>
      <c r="W9" s="4" t="n"/>
    </row>
    <row r="10">
      <c r="A10" s="5" t="inlineStr">
        <is>
          <t>TST-009</t>
        </is>
      </c>
      <c r="B10" s="5" t="inlineStr">
        <is>
          <t>SWEBOK</t>
        </is>
      </c>
      <c r="C10" s="4" t="inlineStr">
        <is>
          <t>1. テスト計画(TST-001〜)</t>
        </is>
      </c>
      <c r="D10" s="10" t="inlineStr">
        <is>
          <t>Medium</t>
        </is>
      </c>
      <c r="E10" s="4" t="inlineStr">
        <is>
          <t>自動化方針が定義されている</t>
        </is>
      </c>
      <c r="F10" s="4" t="inlineStr">
        <is>
          <t>自動化する範囲(回帰テスト等)と手動で行う範囲、使用ツール、CI への組込み方針が記述されている</t>
        </is>
      </c>
      <c r="G10" s="4" t="inlineStr">
        <is>
          <t>自動化範囲を決めずに始めると、回帰テストが手動のまま肥大化して変更のたびに実行しきれなくなるか、費用対効果の低い箇所を自動化して保守負債になる。</t>
        </is>
      </c>
      <c r="H10" s="4" t="inlineStr">
        <is>
          <t>swebok-v4a.pdf ch05 Software Testing &gt; 1.2.11 Test Execution and Automation / 6.1.2 Testing in Line with Shift-Left Movement</t>
        </is>
      </c>
      <c r="I10" s="4" t="inlineStr">
        <is>
          <t>CORE</t>
        </is>
      </c>
      <c r="J10" s="4" t="inlineStr">
        <is>
          <t>原則適用。案件スコープ・成果物・規制・リスク上非該当の場合はN/A根拠を記録。</t>
        </is>
      </c>
      <c r="K10" s="4" t="inlineStr">
        <is>
          <t>SRC-SWEBOK-V4A</t>
        </is>
      </c>
      <c r="L10" s="4" t="inlineStr"/>
      <c r="M10" s="4" t="n"/>
      <c r="N10" s="4" t="n"/>
      <c r="O10" s="4" t="n"/>
      <c r="P10" s="4" t="n"/>
      <c r="Q10" s="4" t="n"/>
      <c r="R10" s="4" t="n"/>
      <c r="S10" s="4" t="n"/>
      <c r="T10" s="4" t="n"/>
      <c r="U10" s="4" t="n"/>
      <c r="V10" s="4" t="n"/>
      <c r="W10" s="4" t="n"/>
    </row>
    <row r="11">
      <c r="A11" s="5" t="inlineStr">
        <is>
          <t>TST-010</t>
        </is>
      </c>
      <c r="B11" s="5" t="inlineStr">
        <is>
          <t>SWEBOK</t>
        </is>
      </c>
      <c r="C11" s="4" t="inlineStr">
        <is>
          <t>1. テスト計画(TST-001〜)</t>
        </is>
      </c>
      <c r="D11" s="10" t="inlineStr">
        <is>
          <t>Medium</t>
        </is>
      </c>
      <c r="E11" s="4" t="inlineStr">
        <is>
          <t>テスト成果物の管理方法が定義されている</t>
        </is>
      </c>
      <c r="F11" s="4" t="inlineStr">
        <is>
          <t>テストケース・結果・インシデントの管理場所(ツール/リポジトリ)と版管理の方法が記述されている</t>
        </is>
      </c>
      <c r="G11" s="4" t="inlineStr">
        <is>
          <t>テスト成果物が構成管理されていないと、どの版の仕様に対するテスト結果か追跡できず、監査時に品質の証跡を示せなくなる。</t>
        </is>
      </c>
      <c r="H11" s="4" t="inlineStr">
        <is>
          <t>swebok-v4a.pdf ch05 Software Testing &gt; 5.1.4 Test Documentation(テスト文書はSCM管理下に置く)</t>
        </is>
      </c>
      <c r="I11" s="4" t="inlineStr">
        <is>
          <t>CORE</t>
        </is>
      </c>
      <c r="J11" s="4" t="inlineStr">
        <is>
          <t>原則適用。案件スコープ・成果物・規制・リスク上非該当の場合はN/A根拠を記録。</t>
        </is>
      </c>
      <c r="K11" s="4" t="inlineStr">
        <is>
          <t>SRC-SWEBOK-V4A</t>
        </is>
      </c>
      <c r="L11" s="4" t="inlineStr"/>
      <c r="M11" s="4" t="n"/>
      <c r="N11" s="4" t="n"/>
      <c r="O11" s="4" t="n"/>
      <c r="P11" s="4" t="n"/>
      <c r="Q11" s="4" t="n"/>
      <c r="R11" s="4" t="n"/>
      <c r="S11" s="4" t="n"/>
      <c r="T11" s="4" t="n"/>
      <c r="U11" s="4" t="n"/>
      <c r="V11" s="4" t="n"/>
      <c r="W11" s="4" t="n"/>
    </row>
    <row r="12">
      <c r="A12" s="5" t="inlineStr">
        <is>
          <t>TST-011</t>
        </is>
      </c>
      <c r="B12" s="5" t="inlineStr">
        <is>
          <t>SWEBOK</t>
        </is>
      </c>
      <c r="C12" s="4" t="inlineStr">
        <is>
          <t>1. テスト計画(TST-001〜)</t>
        </is>
      </c>
      <c r="D12" s="10" t="inlineStr">
        <is>
          <t>Medium</t>
        </is>
      </c>
      <c r="E12" s="4" t="inlineStr">
        <is>
          <t>非機能テストの計画が含まれている</t>
        </is>
      </c>
      <c r="F12" s="4" t="inlineStr">
        <is>
          <t>性能・負荷・セキュリティ等、要求に存在する非機能特性についてテストの実施有無と方法が明記され、実施しない場合は根拠がある</t>
        </is>
      </c>
      <c r="G12" s="4" t="inlineStr">
        <is>
          <t>非機能テストは計画時に環境・ツール・期間の手当てが必要で、後付けでは実施不能になりやすい。性能・セキュリティ問題は本番で初めて顕在化すると被害が大きい。</t>
        </is>
      </c>
      <c r="H12" s="4" t="inlineStr">
        <is>
          <t>swebok-v4a.pdf ch05 Software Testing &gt; 2.2.7 Non-functional Testing / 2.2.8 Security Testing</t>
        </is>
      </c>
      <c r="I12" s="4" t="inlineStr">
        <is>
          <t>CORE</t>
        </is>
      </c>
      <c r="J12" s="4" t="inlineStr">
        <is>
          <t>原則適用。案件スコープ・成果物・規制・リスク上非該当の場合はN/A根拠を記録。</t>
        </is>
      </c>
      <c r="K12" s="4" t="inlineStr">
        <is>
          <t>SRC-SWEBOK-V4A</t>
        </is>
      </c>
      <c r="L12" s="4" t="inlineStr"/>
      <c r="M12" s="4" t="n"/>
      <c r="N12" s="4" t="n"/>
      <c r="O12" s="4" t="n"/>
      <c r="P12" s="4" t="n"/>
      <c r="Q12" s="4" t="n"/>
      <c r="R12" s="4" t="n"/>
      <c r="S12" s="4" t="n"/>
      <c r="T12" s="4" t="n"/>
      <c r="U12" s="4" t="n"/>
      <c r="V12" s="4" t="n"/>
      <c r="W12" s="4" t="n"/>
    </row>
    <row r="13">
      <c r="A13" s="5" t="inlineStr">
        <is>
          <t>TST-012</t>
        </is>
      </c>
      <c r="B13" s="5" t="inlineStr">
        <is>
          <t>SWEBOK</t>
        </is>
      </c>
      <c r="C13" s="4" t="inlineStr">
        <is>
          <t>1. テスト計画(TST-001〜)</t>
        </is>
      </c>
      <c r="D13" s="11" t="inlineStr">
        <is>
          <t>Low</t>
        </is>
      </c>
      <c r="E13" s="4" t="inlineStr">
        <is>
          <t>テスト計画書自体のレビュー・承認記録がある</t>
        </is>
      </c>
      <c r="F13" s="4" t="inlineStr">
        <is>
          <t>計画書にレビュー実施者・承認者・日付が記録されている</t>
        </is>
      </c>
      <c r="G13" s="4" t="inlineStr">
        <is>
          <t>計画自体の欠陥(スコープ漏れ、非現実的な基準)は下流の全テスト活動を歪めるため、承認記録により関係者合意と説明責任を担保する。</t>
        </is>
      </c>
      <c r="H13" s="4" t="inlineStr">
        <is>
          <t>実務補完(ISO/IEC/IEEE 29119-3 テスト計画の承認実務)</t>
        </is>
      </c>
      <c r="I13" s="4" t="inlineStr">
        <is>
          <t>CORE</t>
        </is>
      </c>
      <c r="J13" s="4" t="inlineStr">
        <is>
          <t>原則適用。案件スコープ・成果物・規制・リスク上非該当の場合はN/A根拠を記録。</t>
        </is>
      </c>
      <c r="K13" s="4" t="inlineStr">
        <is>
          <t>SRC-ISO-GENERAL;SRC-PRACTICE</t>
        </is>
      </c>
      <c r="L13" s="4" t="inlineStr"/>
      <c r="M13" s="4" t="n"/>
      <c r="N13" s="4" t="n"/>
      <c r="O13" s="4" t="n"/>
      <c r="P13" s="4" t="n"/>
      <c r="Q13" s="4" t="n"/>
      <c r="R13" s="4" t="n"/>
      <c r="S13" s="4" t="n"/>
      <c r="T13" s="4" t="n"/>
      <c r="U13" s="4" t="n"/>
      <c r="V13" s="4" t="n"/>
      <c r="W13" s="4" t="n"/>
    </row>
    <row r="14">
      <c r="A14" s="5" t="inlineStr">
        <is>
          <t>TST-902</t>
        </is>
      </c>
      <c r="B14" s="5" t="inlineStr">
        <is>
          <t>追加承認</t>
        </is>
      </c>
      <c r="C14" s="4" t="inlineStr">
        <is>
          <t>1. テスト計画(TST-001〜)</t>
        </is>
      </c>
      <c r="D14" s="10" t="inlineStr">
        <is>
          <t>Medium</t>
        </is>
      </c>
      <c r="E14" s="4" t="inlineStr">
        <is>
          <t>テスト容易性の要求・制約が計画で扱われている</t>
        </is>
      </c>
      <c r="F14" s="4" t="inlineStr">
        <is>
          <t>SUTの制御性・観測性(テスト用フック、ログ、状態注入手段、スタブ差替点等)に関する要求または制約が識別され、テスト容易性が低い箇所への対応方針(設計へのフィードバック、代替手段)が記録されている</t>
        </is>
      </c>
      <c r="G14" s="4" t="inlineStr">
        <is>
          <t>テスト容易性を計画段階で扱わないと、観測も制御もできないコンポーネントが実装後に判明し、テスト不能領域の残存や自動化コストの爆発を招く。</t>
        </is>
      </c>
      <c r="H14" s="4" t="inlineStr">
        <is>
          <t>swebok-v4a.pdf ch05 Software Testing &gt; 1.2.10 Testability(テスト容易性)</t>
        </is>
      </c>
      <c r="I14" s="4" t="inlineStr">
        <is>
          <t>CORE</t>
        </is>
      </c>
      <c r="J14" s="4" t="inlineStr">
        <is>
          <t>原則適用。案件スコープ・成果物・規制・リスク上非該当の場合はN/A根拠を記録。</t>
        </is>
      </c>
      <c r="K14" s="4" t="inlineStr">
        <is>
          <t>SRC-SWEBOK-V4A</t>
        </is>
      </c>
      <c r="L14" s="4" t="inlineStr"/>
      <c r="M14" s="4" t="n"/>
      <c r="N14" s="4" t="n"/>
      <c r="O14" s="4" t="n"/>
      <c r="P14" s="4" t="n"/>
      <c r="Q14" s="4" t="n"/>
      <c r="R14" s="4" t="n"/>
      <c r="S14" s="4" t="n"/>
      <c r="T14" s="4" t="n"/>
      <c r="U14" s="4" t="n"/>
      <c r="V14" s="4" t="n"/>
      <c r="W14" s="4" t="n"/>
    </row>
    <row r="15">
      <c r="A15" s="5" t="inlineStr">
        <is>
          <t>TST-905</t>
        </is>
      </c>
      <c r="B15" s="5" t="inlineStr">
        <is>
          <t>追加承認</t>
        </is>
      </c>
      <c r="C15" s="4" t="inlineStr">
        <is>
          <t>1. テスト計画(TST-001〜)</t>
        </is>
      </c>
      <c r="D15" s="11" t="inlineStr">
        <is>
          <t>Low</t>
        </is>
      </c>
      <c r="E15" s="4" t="inlineStr">
        <is>
          <t>テストツールの選定根拠が記録されている</t>
        </is>
      </c>
      <c r="F15" s="4" t="inlineStr">
        <is>
          <t>使用するテストツール(管理・生成・実行・カバレッジ・欠陥追跡等)について、選定基準(開発技術との適合、評価目的、実行環境、コスト)に基づく選定根拠が記録されている</t>
        </is>
      </c>
      <c r="G15" s="4" t="inlineStr">
        <is>
          <t>根拠なきツール選定は、SUTの技術構成に合わないツールへの投資や、プロジェクト途中でのツール乗換えによる資産(スクリプト・記録)の廃棄を招く。</t>
        </is>
      </c>
      <c r="H15" s="4" t="inlineStr">
        <is>
          <t>swebok-v4a.pdf ch05 Software Testing &gt; 8.1 Testing Tool Support and Selection(テストツールの選定)</t>
        </is>
      </c>
      <c r="I15" s="4" t="inlineStr">
        <is>
          <t>CORE</t>
        </is>
      </c>
      <c r="J15" s="4" t="inlineStr">
        <is>
          <t>原則適用。案件スコープ・成果物・規制・リスク上非該当の場合はN/A根拠を記録。</t>
        </is>
      </c>
      <c r="K15" s="4" t="inlineStr">
        <is>
          <t>SRC-SWEBOK-V4A</t>
        </is>
      </c>
      <c r="L15" s="4" t="inlineStr"/>
      <c r="M15" s="4" t="n"/>
      <c r="N15" s="4" t="n"/>
      <c r="O15" s="4" t="n"/>
      <c r="P15" s="4" t="n"/>
      <c r="Q15" s="4" t="n"/>
      <c r="R15" s="4" t="n"/>
      <c r="S15" s="4" t="n"/>
      <c r="T15" s="4" t="n"/>
      <c r="U15" s="4" t="n"/>
      <c r="V15" s="4" t="n"/>
      <c r="W15" s="4" t="n"/>
    </row>
    <row r="16">
      <c r="A16" s="5" t="inlineStr">
        <is>
          <t>TST-101</t>
        </is>
      </c>
      <c r="B16" s="5" t="inlineStr">
        <is>
          <t>SWEBOK</t>
        </is>
      </c>
      <c r="C16" s="4" t="inlineStr">
        <is>
          <t>2. テストレベル(TST-101〜)</t>
        </is>
      </c>
      <c r="D16" s="8" t="inlineStr">
        <is>
          <t>Critical</t>
        </is>
      </c>
      <c r="E16" s="4" t="inlineStr">
        <is>
          <t>単体テストの範囲と責務が定義されている</t>
        </is>
      </c>
      <c r="F16" s="4" t="inlineStr">
        <is>
          <t>単体テストの対象単位(関数/クラス/モジュール)、担当(通常は実装者)、合格基準(カバレッジ等)が明記されている</t>
        </is>
      </c>
      <c r="G16" s="4" t="inlineStr">
        <is>
          <t>単体テストの対象単位と合格基準が曖昧だと、分離テスト可能な要素の欠陥が統合後に発見され、原因切り分けコストが大幅に増える。</t>
        </is>
      </c>
      <c r="H16" s="4" t="inlineStr">
        <is>
          <t>swebok-v4a.pdf ch05 Software Testing &gt; 2.1.1 Unit Testing</t>
        </is>
      </c>
      <c r="I16" s="4" t="inlineStr">
        <is>
          <t>CORE</t>
        </is>
      </c>
      <c r="J16" s="4" t="inlineStr">
        <is>
          <t>原則適用。案件スコープ・成果物・規制・リスク上非該当の場合はN/A根拠を記録。</t>
        </is>
      </c>
      <c r="K16" s="4" t="inlineStr">
        <is>
          <t>SRC-SWEBOK-V4A</t>
        </is>
      </c>
      <c r="L16" s="4" t="inlineStr"/>
      <c r="M16" s="4" t="n"/>
      <c r="N16" s="4" t="n"/>
      <c r="O16" s="4" t="n"/>
      <c r="P16" s="4" t="n"/>
      <c r="Q16" s="4" t="n"/>
      <c r="R16" s="4" t="n"/>
      <c r="S16" s="4" t="n"/>
      <c r="T16" s="4" t="n"/>
      <c r="U16" s="4" t="n"/>
      <c r="V16" s="4" t="n"/>
      <c r="W16" s="4" t="n"/>
    </row>
    <row r="17">
      <c r="A17" s="5" t="inlineStr">
        <is>
          <t>TST-102</t>
        </is>
      </c>
      <c r="B17" s="5" t="inlineStr">
        <is>
          <t>SWEBOK</t>
        </is>
      </c>
      <c r="C17" s="4" t="inlineStr">
        <is>
          <t>2. テストレベル(TST-101〜)</t>
        </is>
      </c>
      <c r="D17" s="8" t="inlineStr">
        <is>
          <t>Critical</t>
        </is>
      </c>
      <c r="E17" s="4" t="inlineStr">
        <is>
          <t>統合テストの戦略が定義されている</t>
        </is>
      </c>
      <c r="F17" s="4" t="inlineStr">
        <is>
          <t>統合の順序・方式(トップダウン/ボトムアップ/ビッグバン等)と、コンポーネント間インタフェースの検証方法が記述されている</t>
        </is>
      </c>
      <c r="G17" s="4" t="inlineStr">
        <is>
          <t>統合戦略なしのビッグバン統合は、インタフェース欠陥が一斉に噴出して原因特定が困難になる。段階的な統合順序を決めて欠陥の局所化を可能にする。</t>
        </is>
      </c>
      <c r="H17" s="4" t="inlineStr">
        <is>
          <t>swebok-v4a.pdf ch05 Software Testing &gt; 2.1.2 Integration Testing</t>
        </is>
      </c>
      <c r="I17" s="4" t="inlineStr">
        <is>
          <t>CORE</t>
        </is>
      </c>
      <c r="J17" s="4" t="inlineStr">
        <is>
          <t>原則適用。案件スコープ・成果物・規制・リスク上非該当の場合はN/A根拠を記録。</t>
        </is>
      </c>
      <c r="K17" s="4" t="inlineStr">
        <is>
          <t>SRC-SWEBOK-V4A</t>
        </is>
      </c>
      <c r="L17" s="4" t="inlineStr"/>
      <c r="M17" s="4" t="n"/>
      <c r="N17" s="4" t="n"/>
      <c r="O17" s="4" t="n"/>
      <c r="P17" s="4" t="n"/>
      <c r="Q17" s="4" t="n"/>
      <c r="R17" s="4" t="n"/>
      <c r="S17" s="4" t="n"/>
      <c r="T17" s="4" t="n"/>
      <c r="U17" s="4" t="n"/>
      <c r="V17" s="4" t="n"/>
      <c r="W17" s="4" t="n"/>
    </row>
    <row r="18">
      <c r="A18" s="5" t="inlineStr">
        <is>
          <t>TST-103</t>
        </is>
      </c>
      <c r="B18" s="5" t="inlineStr">
        <is>
          <t>SWEBOK</t>
        </is>
      </c>
      <c r="C18" s="4" t="inlineStr">
        <is>
          <t>2. テストレベル(TST-101〜)</t>
        </is>
      </c>
      <c r="D18" s="8" t="inlineStr">
        <is>
          <t>Critical</t>
        </is>
      </c>
      <c r="E18" s="4" t="inlineStr">
        <is>
          <t>システムテストの範囲が要求全体をカバーする</t>
        </is>
      </c>
      <c r="F18" s="4" t="inlineStr">
        <is>
          <t>システムテストの観点が機能要求全体および主要な非機能要求に対応付けられている</t>
        </is>
      </c>
      <c r="G18" s="4" t="inlineStr">
        <is>
          <t>システムテストの観点が要求全体と対応していないと、実装済みだが未検証の要求が残り、非機能要求の未達が受入直前に発覚する。</t>
        </is>
      </c>
      <c r="H18" s="4" t="inlineStr">
        <is>
          <t>swebok-v4a.pdf ch05 Software Testing &gt; 2.1.3 System Testing</t>
        </is>
      </c>
      <c r="I18" s="4" t="inlineStr">
        <is>
          <t>CORE</t>
        </is>
      </c>
      <c r="J18" s="4" t="inlineStr">
        <is>
          <t>原則適用。案件スコープ・成果物・規制・リスク上非該当の場合はN/A根拠を記録。</t>
        </is>
      </c>
      <c r="K18" s="4" t="inlineStr">
        <is>
          <t>SRC-SWEBOK-V4A</t>
        </is>
      </c>
      <c r="L18" s="4" t="inlineStr"/>
      <c r="M18" s="4" t="n"/>
      <c r="N18" s="4" t="n"/>
      <c r="O18" s="4" t="n"/>
      <c r="P18" s="4" t="n"/>
      <c r="Q18" s="4" t="n"/>
      <c r="R18" s="4" t="n"/>
      <c r="S18" s="4" t="n"/>
      <c r="T18" s="4" t="n"/>
      <c r="U18" s="4" t="n"/>
      <c r="V18" s="4" t="n"/>
      <c r="W18" s="4" t="n"/>
    </row>
    <row r="19">
      <c r="A19" s="5" t="inlineStr">
        <is>
          <t>TST-104</t>
        </is>
      </c>
      <c r="B19" s="5" t="inlineStr">
        <is>
          <t>SWEBOK</t>
        </is>
      </c>
      <c r="C19" s="4" t="inlineStr">
        <is>
          <t>2. テストレベル(TST-101〜)</t>
        </is>
      </c>
      <c r="D19" s="8" t="inlineStr">
        <is>
          <t>Critical</t>
        </is>
      </c>
      <c r="E19" s="4" t="inlineStr">
        <is>
          <t>受入テストの基準が利用者視点で定義されている</t>
        </is>
      </c>
      <c r="F19" s="4" t="inlineStr">
        <is>
          <t>受入基準が発注者/利用者の業務シナリオまたは受入条件に基づいて定義され、実施主体が明記されている</t>
        </is>
      </c>
      <c r="G19" s="4" t="inlineStr">
        <is>
          <t>受入基準が開発者視点のままだと、仕様には合致するが業務では使えないシステムを納品してしまい、検収拒否や運用開始後の紛争に発展する。</t>
        </is>
      </c>
      <c r="H19" s="4" t="inlineStr">
        <is>
          <t>swebok-v4a.pdf ch05 Software Testing &gt; 2.1.4 Acceptance Testing</t>
        </is>
      </c>
      <c r="I19" s="4" t="inlineStr">
        <is>
          <t>CORE</t>
        </is>
      </c>
      <c r="J19" s="4" t="inlineStr">
        <is>
          <t>原則適用。案件スコープ・成果物・規制・リスク上非該当の場合はN/A根拠を記録。</t>
        </is>
      </c>
      <c r="K19" s="4" t="inlineStr">
        <is>
          <t>SRC-SWEBOK-V4A</t>
        </is>
      </c>
      <c r="L19" s="4" t="inlineStr"/>
      <c r="M19" s="4" t="n"/>
      <c r="N19" s="4" t="n"/>
      <c r="O19" s="4" t="n"/>
      <c r="P19" s="4" t="n"/>
      <c r="Q19" s="4" t="n"/>
      <c r="R19" s="4" t="n"/>
      <c r="S19" s="4" t="n"/>
      <c r="T19" s="4" t="n"/>
      <c r="U19" s="4" t="n"/>
      <c r="V19" s="4" t="n"/>
      <c r="W19" s="4" t="n"/>
    </row>
    <row r="20">
      <c r="A20" s="5" t="inlineStr">
        <is>
          <t>TST-105</t>
        </is>
      </c>
      <c r="B20" s="5" t="inlineStr">
        <is>
          <t>SWEBOK</t>
        </is>
      </c>
      <c r="C20" s="4" t="inlineStr">
        <is>
          <t>2. テストレベル(TST-101〜)</t>
        </is>
      </c>
      <c r="D20" s="9" t="inlineStr">
        <is>
          <t>High</t>
        </is>
      </c>
      <c r="E20" s="4" t="inlineStr">
        <is>
          <t>各レベル間の役割分担に重複・漏れがない</t>
        </is>
      </c>
      <c r="F20" s="4" t="inlineStr">
        <is>
          <t>同一観点が複数レベルで無根拠に重複せず、どのレベルでも検証されない要求が存在しない(トレーサビリティで確認可能)</t>
        </is>
      </c>
      <c r="G20" s="4" t="inlineStr">
        <is>
          <t>レベル間の分担が曖昧だと、同じ観点を重複実行して工数を浪費する一方、どのレベルも拾わない検証の空白地帯から障害が流出する。</t>
        </is>
      </c>
      <c r="H20" s="4" t="inlineStr">
        <is>
          <t>swebok-v4a.pdf ch05 Software Testing &gt; 2.1 The Target of the Test / 1.2.2 Test Selection and Adequacy Criteria</t>
        </is>
      </c>
      <c r="I20" s="4" t="inlineStr">
        <is>
          <t>CORE</t>
        </is>
      </c>
      <c r="J20" s="4" t="inlineStr">
        <is>
          <t>原則適用。案件スコープ・成果物・規制・リスク上非該当の場合はN/A根拠を記録。</t>
        </is>
      </c>
      <c r="K20" s="4" t="inlineStr">
        <is>
          <t>SRC-SWEBOK-V4A</t>
        </is>
      </c>
      <c r="L20" s="4" t="inlineStr"/>
      <c r="M20" s="4" t="n"/>
      <c r="N20" s="4" t="n"/>
      <c r="O20" s="4" t="n"/>
      <c r="P20" s="4" t="n"/>
      <c r="Q20" s="4" t="n"/>
      <c r="R20" s="4" t="n"/>
      <c r="S20" s="4" t="n"/>
      <c r="T20" s="4" t="n"/>
      <c r="U20" s="4" t="n"/>
      <c r="V20" s="4" t="n"/>
      <c r="W20" s="4" t="n"/>
    </row>
    <row r="21">
      <c r="A21" s="5" t="inlineStr">
        <is>
          <t>TST-106</t>
        </is>
      </c>
      <c r="B21" s="5" t="inlineStr">
        <is>
          <t>SWEBOK</t>
        </is>
      </c>
      <c r="C21" s="4" t="inlineStr">
        <is>
          <t>2. テストレベル(TST-101〜)</t>
        </is>
      </c>
      <c r="D21" s="9" t="inlineStr">
        <is>
          <t>High</t>
        </is>
      </c>
      <c r="E21" s="4" t="inlineStr">
        <is>
          <t>回帰テストの方針が定義されている</t>
        </is>
      </c>
      <c r="F21" s="4" t="inlineStr">
        <is>
          <t>変更発生時に再実行するテストの選定基準(影響範囲分析、スモークセット等)が記述されている</t>
        </is>
      </c>
      <c r="G21" s="4" t="inlineStr">
        <is>
          <t>回帰テストの選定基準がないと、変更のたびに全件再実行するか勘で間引くかの二択になり、修正による意図しない副作用(デグレード)を見逃す。</t>
        </is>
      </c>
      <c r="H21" s="4" t="inlineStr">
        <is>
          <t>swebok-v4a.pdf ch05 Software Testing &gt; 2.2.5 Regression Testing / 1.2.3 Prioritization/Minimization</t>
        </is>
      </c>
      <c r="I21" s="4" t="inlineStr">
        <is>
          <t>CORE</t>
        </is>
      </c>
      <c r="J21" s="4" t="inlineStr">
        <is>
          <t>原則適用。案件スコープ・成果物・規制・リスク上非該当の場合はN/A根拠を記録。</t>
        </is>
      </c>
      <c r="K21" s="4" t="inlineStr">
        <is>
          <t>SRC-SWEBOK-V4A</t>
        </is>
      </c>
      <c r="L21" s="4" t="inlineStr"/>
      <c r="M21" s="4" t="n"/>
      <c r="N21" s="4" t="n"/>
      <c r="O21" s="4" t="n"/>
      <c r="P21" s="4" t="n"/>
      <c r="Q21" s="4" t="n"/>
      <c r="R21" s="4" t="n"/>
      <c r="S21" s="4" t="n"/>
      <c r="T21" s="4" t="n"/>
      <c r="U21" s="4" t="n"/>
      <c r="V21" s="4" t="n"/>
      <c r="W21" s="4" t="n"/>
    </row>
    <row r="22">
      <c r="A22" s="5" t="inlineStr">
        <is>
          <t>TST-107</t>
        </is>
      </c>
      <c r="B22" s="5" t="inlineStr">
        <is>
          <t>SWEBOK</t>
        </is>
      </c>
      <c r="C22" s="4" t="inlineStr">
        <is>
          <t>2. テストレベル(TST-101〜)</t>
        </is>
      </c>
      <c r="D22" s="10" t="inlineStr">
        <is>
          <t>Medium</t>
        </is>
      </c>
      <c r="E22" s="4" t="inlineStr">
        <is>
          <t>インタフェース/API テストが計画されている</t>
        </is>
      </c>
      <c r="F22" s="4" t="inlineStr">
        <is>
          <t>外部システム・API との接続部分について、正常応答・異常応答・タイムアウトの検証が計画されている</t>
        </is>
      </c>
      <c r="G22" s="4" t="inlineStr">
        <is>
          <t>インタフェース欠陥は複雑なシステムで最も多発する欠陥種別であり、異常応答・タイムアウトを検証しないと相手システムの障害時に連鎖障害を起こす。</t>
        </is>
      </c>
      <c r="H22" s="4" t="inlineStr">
        <is>
          <t>swebok-v4a.pdf ch05 Software Testing &gt; 2.2.10 Interface and Application Program Interface (API) Testing</t>
        </is>
      </c>
      <c r="I22" s="4" t="inlineStr">
        <is>
          <t>CORE</t>
        </is>
      </c>
      <c r="J22" s="4" t="inlineStr">
        <is>
          <t>原則適用。案件スコープ・成果物・規制・リスク上非該当の場合はN/A根拠を記録。</t>
        </is>
      </c>
      <c r="K22" s="4" t="inlineStr">
        <is>
          <t>SRC-SWEBOK-V4A</t>
        </is>
      </c>
      <c r="L22" s="4" t="inlineStr"/>
      <c r="M22" s="4" t="n"/>
      <c r="N22" s="4" t="n"/>
      <c r="O22" s="4" t="n"/>
      <c r="P22" s="4" t="n"/>
      <c r="Q22" s="4" t="n"/>
      <c r="R22" s="4" t="n"/>
      <c r="S22" s="4" t="n"/>
      <c r="T22" s="4" t="n"/>
      <c r="U22" s="4" t="n"/>
      <c r="V22" s="4" t="n"/>
      <c r="W22" s="4" t="n"/>
    </row>
    <row r="23">
      <c r="A23" s="5" t="inlineStr">
        <is>
          <t>TST-108</t>
        </is>
      </c>
      <c r="B23" s="5" t="inlineStr">
        <is>
          <t>SWEBOK</t>
        </is>
      </c>
      <c r="C23" s="4" t="inlineStr">
        <is>
          <t>2. テストレベル(TST-101〜)</t>
        </is>
      </c>
      <c r="D23" s="10" t="inlineStr">
        <is>
          <t>Medium</t>
        </is>
      </c>
      <c r="E23" s="4" t="inlineStr">
        <is>
          <t>構成/インストールテストの要否が判断されている</t>
        </is>
      </c>
      <c r="F23" s="4" t="inlineStr">
        <is>
          <t>複数環境(OS・ブラウザ・デバイス等)での動作確認、またはインストール/デプロイ手順の検証について、実施有無と根拠が記述されている</t>
        </is>
      </c>
      <c r="G23" s="4" t="inlineStr">
        <is>
          <t>開発環境では動くが本番構成・特定ブラウザでは動かない障害は、リリース直後に集中発生する。構成・インストール検証の要否を事前に判断させる。</t>
        </is>
      </c>
      <c r="H23" s="4" t="inlineStr">
        <is>
          <t>swebok-v4a.pdf ch05 Software Testing &gt; 2.2.3 Installation Testing / 2.2.11 Configuration Testing</t>
        </is>
      </c>
      <c r="I23" s="4" t="inlineStr">
        <is>
          <t>CORE</t>
        </is>
      </c>
      <c r="J23" s="4" t="inlineStr">
        <is>
          <t>原則適用。案件スコープ・成果物・規制・リスク上非該当の場合はN/A根拠を記録。</t>
        </is>
      </c>
      <c r="K23" s="4" t="inlineStr">
        <is>
          <t>SRC-SWEBOK-V4A</t>
        </is>
      </c>
      <c r="L23" s="4" t="inlineStr"/>
      <c r="M23" s="4" t="n"/>
      <c r="N23" s="4" t="n"/>
      <c r="O23" s="4" t="n"/>
      <c r="P23" s="4" t="n"/>
      <c r="Q23" s="4" t="n"/>
      <c r="R23" s="4" t="n"/>
      <c r="S23" s="4" t="n"/>
      <c r="T23" s="4" t="n"/>
      <c r="U23" s="4" t="n"/>
      <c r="V23" s="4" t="n"/>
      <c r="W23" s="4" t="n"/>
    </row>
    <row r="24">
      <c r="A24" s="5" t="inlineStr">
        <is>
          <t>TST-903</t>
        </is>
      </c>
      <c r="B24" s="5" t="inlineStr">
        <is>
          <t>追加承認</t>
        </is>
      </c>
      <c r="C24" s="4" t="inlineStr">
        <is>
          <t>2. テストレベル(TST-101〜)</t>
        </is>
      </c>
      <c r="D24" s="10" t="inlineStr">
        <is>
          <t>Medium</t>
        </is>
      </c>
      <c r="E24" s="4" t="inlineStr">
        <is>
          <t>標準・法規制への適合テストの要否が判断されている</t>
        </is>
      </c>
      <c r="F24" s="4" t="inlineStr">
        <is>
          <t>SUTに適用される標準・規格・法規制(業界標準、アクセシビリティ、個人情報保護法制等)が列挙され、それぞれに対する適合検証の実施有無・方法・根拠が記録されている</t>
        </is>
      </c>
      <c r="G24" s="4" t="inlineStr">
        <is>
          <t>規制適合の検証漏れは、リリース後に是正命令・認証取消・法的責任という技術的障害より重い結果を招く。適用規制の棚卸しと検証要否の判断を明示的に行わせる。</t>
        </is>
      </c>
      <c r="H24" s="4" t="inlineStr">
        <is>
          <t>swebok-v4a.pdf ch05 Software Testing &gt; 2.2.1 Conformance Testing / 2.2.2 Compliance Testing(標準・法規制への適合テスト)</t>
        </is>
      </c>
      <c r="I24" s="4" t="inlineStr">
        <is>
          <t>CORE</t>
        </is>
      </c>
      <c r="J24" s="4" t="inlineStr">
        <is>
          <t>原則適用。案件スコープ・成果物・規制・リスク上非該当の場合はN/A根拠を記録。</t>
        </is>
      </c>
      <c r="K24" s="4" t="inlineStr">
        <is>
          <t>SRC-SWEBOK-V4A</t>
        </is>
      </c>
      <c r="L24" s="4" t="inlineStr"/>
      <c r="M24" s="4" t="n"/>
      <c r="N24" s="4" t="n"/>
      <c r="O24" s="4" t="n"/>
      <c r="P24" s="4" t="n"/>
      <c r="Q24" s="4" t="n"/>
      <c r="R24" s="4" t="n"/>
      <c r="S24" s="4" t="n"/>
      <c r="T24" s="4" t="n"/>
      <c r="U24" s="4" t="n"/>
      <c r="V24" s="4" t="n"/>
      <c r="W24" s="4" t="n"/>
    </row>
    <row r="25">
      <c r="A25" s="5" t="inlineStr">
        <is>
          <t>TST-904</t>
        </is>
      </c>
      <c r="B25" s="5" t="inlineStr">
        <is>
          <t>追加承認</t>
        </is>
      </c>
      <c r="C25" s="4" t="inlineStr">
        <is>
          <t>2. テストレベル(TST-101〜)</t>
        </is>
      </c>
      <c r="D25" s="11" t="inlineStr">
        <is>
          <t>Low</t>
        </is>
      </c>
      <c r="E25" s="4" t="inlineStr">
        <is>
          <t>アルファ/ベータテスト等の実利用者試行の要否が検討されている</t>
        </is>
      </c>
      <c r="F25" s="4" t="inlineStr">
        <is>
          <t>リリース前に実利用者(選抜ユーザー、パイロット部門、クラウドテスター等)へ試行提供する活動の実施有無と根拠、実施する場合はフィードバック収集・反映の方法が記録されている</t>
        </is>
      </c>
      <c r="G25" s="4" t="inlineStr">
        <is>
          <t>統制されたテスト環境では、実利用者の多様な環境・使い方・期待とのずれを検出できない。試行提供の検討を怠ると、リリース直後にユーザー起点の問題が集中発生する。</t>
        </is>
      </c>
      <c r="H25" s="4" t="inlineStr">
        <is>
          <t>swebok-v4a.pdf ch05 Software Testing &gt; 2.2.4 Alpha and Beta Testing / 7.2 Testing Through Crowdsourcing(実利用者による試行)</t>
        </is>
      </c>
      <c r="I25" s="4" t="inlineStr">
        <is>
          <t>CORE</t>
        </is>
      </c>
      <c r="J25" s="4" t="inlineStr">
        <is>
          <t>原則適用。案件スコープ・成果物・規制・リスク上非該当の場合はN/A根拠を記録。</t>
        </is>
      </c>
      <c r="K25" s="4" t="inlineStr">
        <is>
          <t>SRC-SWEBOK-V4A</t>
        </is>
      </c>
      <c r="L25" s="4" t="inlineStr"/>
      <c r="M25" s="4" t="n"/>
      <c r="N25" s="4" t="n"/>
      <c r="O25" s="4" t="n"/>
      <c r="P25" s="4" t="n"/>
      <c r="Q25" s="4" t="n"/>
      <c r="R25" s="4" t="n"/>
      <c r="S25" s="4" t="n"/>
      <c r="T25" s="4" t="n"/>
      <c r="U25" s="4" t="n"/>
      <c r="V25" s="4" t="n"/>
      <c r="W25" s="4" t="n"/>
    </row>
    <row r="26">
      <c r="A26" s="5" t="inlineStr">
        <is>
          <t>TST-201</t>
        </is>
      </c>
      <c r="B26" s="5" t="inlineStr">
        <is>
          <t>SWEBOK</t>
        </is>
      </c>
      <c r="C26" s="4" t="inlineStr">
        <is>
          <t>3. テスト観点・技法選定(TST-201〜)</t>
        </is>
      </c>
      <c r="D26" s="8" t="inlineStr">
        <is>
          <t>Critical</t>
        </is>
      </c>
      <c r="E26" s="4" t="inlineStr">
        <is>
          <t>テスト観点一覧が作成されている</t>
        </is>
      </c>
      <c r="F26" s="4" t="inlineStr">
        <is>
          <t>何を確認するか(観点)が機能・非機能にわたり一覧化され、要求・仕様と対応付けられている</t>
        </is>
      </c>
      <c r="G26" s="4" t="inlineStr">
        <is>
          <t>テスト目的を明示せずにケースを書き始めると、確認すべき性質(機能正当性、性能、信頼性等)の抜けに設計段階で気づけない。目的があって初めてテストスイートを生成・評価できる。</t>
        </is>
      </c>
      <c r="H26" s="4" t="inlineStr">
        <is>
          <t>swebok-v4a.pdf ch05 Software Testing &gt; 2.2 Objectives of Testing / 1.2.4 Purpose of Testing</t>
        </is>
      </c>
      <c r="I26" s="4" t="inlineStr">
        <is>
          <t>CORE</t>
        </is>
      </c>
      <c r="J26" s="4" t="inlineStr">
        <is>
          <t>原則適用。案件スコープ・成果物・規制・リスク上非該当の場合はN/A根拠を記録。</t>
        </is>
      </c>
      <c r="K26" s="4" t="inlineStr">
        <is>
          <t>SRC-SWEBOK-V4A</t>
        </is>
      </c>
      <c r="L26" s="4" t="inlineStr"/>
      <c r="M26" s="4" t="n"/>
      <c r="N26" s="4" t="n"/>
      <c r="O26" s="4" t="n"/>
      <c r="P26" s="4" t="n"/>
      <c r="Q26" s="4" t="n"/>
      <c r="R26" s="4" t="n"/>
      <c r="S26" s="4" t="n"/>
      <c r="T26" s="4" t="n"/>
      <c r="U26" s="4" t="n"/>
      <c r="V26" s="4" t="n"/>
      <c r="W26" s="4" t="n"/>
    </row>
    <row r="27">
      <c r="A27" s="5" t="inlineStr">
        <is>
          <t>TST-202</t>
        </is>
      </c>
      <c r="B27" s="5" t="inlineStr">
        <is>
          <t>SWEBOK</t>
        </is>
      </c>
      <c r="C27" s="4" t="inlineStr">
        <is>
          <t>3. テスト観点・技法選定(TST-201〜)</t>
        </is>
      </c>
      <c r="D27" s="8" t="inlineStr">
        <is>
          <t>Critical</t>
        </is>
      </c>
      <c r="E27" s="4" t="inlineStr">
        <is>
          <t>観点ごとに技法が選定され根拠がある</t>
        </is>
      </c>
      <c r="F27" s="4" t="inlineStr">
        <is>
          <t>各観点に適用する技法(同値分割、境界値分析、決定表、状態遷移、ペアワイズ等)が明記され、選定根拠(入力の性質・条件の構造)が説明されている</t>
        </is>
      </c>
      <c r="G27" s="4" t="inlineStr">
        <is>
          <t>選択基準が異なれば欠陥検出の効果は大きく変わる。技法選定の根拠がないと、入力や条件の構造に合わない技法で網羅したつもりになり、検出漏れが体系的に生じる。</t>
        </is>
      </c>
      <c r="H27" s="4" t="inlineStr">
        <is>
          <t>swebok-v4a.pdf ch05 Software Testing &gt; 3.7 Selecting and Combining Techniques / 1.2.2 Test Selection and Adequacy Criteria</t>
        </is>
      </c>
      <c r="I27" s="4" t="inlineStr">
        <is>
          <t>CORE</t>
        </is>
      </c>
      <c r="J27" s="4" t="inlineStr">
        <is>
          <t>原則適用。案件スコープ・成果物・規制・リスク上非該当の場合はN/A根拠を記録。</t>
        </is>
      </c>
      <c r="K27" s="4" t="inlineStr">
        <is>
          <t>SRC-SWEBOK-V4A</t>
        </is>
      </c>
      <c r="L27" s="4" t="inlineStr"/>
      <c r="M27" s="4" t="n"/>
      <c r="N27" s="4" t="n"/>
      <c r="O27" s="4" t="n"/>
      <c r="P27" s="4" t="n"/>
      <c r="Q27" s="4" t="n"/>
      <c r="R27" s="4" t="n"/>
      <c r="S27" s="4" t="n"/>
      <c r="T27" s="4" t="n"/>
      <c r="U27" s="4" t="n"/>
      <c r="V27" s="4" t="n"/>
      <c r="W27" s="4" t="n"/>
    </row>
    <row r="28">
      <c r="A28" s="5" t="inlineStr">
        <is>
          <t>TST-203</t>
        </is>
      </c>
      <c r="B28" s="5" t="inlineStr">
        <is>
          <t>SWEBOK</t>
        </is>
      </c>
      <c r="C28" s="4" t="inlineStr">
        <is>
          <t>3. テスト観点・技法選定(TST-201〜)</t>
        </is>
      </c>
      <c r="D28" s="8" t="inlineStr">
        <is>
          <t>Critical</t>
        </is>
      </c>
      <c r="E28" s="4" t="inlineStr">
        <is>
          <t>値域を持つ入力に同値分割が適用されている</t>
        </is>
      </c>
      <c r="F28" s="4" t="inlineStr">
        <is>
          <t>入力領域が有効同値クラスと無効同値クラスに分割され、各クラスから代表値が選ばれている</t>
        </is>
      </c>
      <c r="G28" s="4" t="inlineStr">
        <is>
          <t>同値分割を適用しないと、同じ振る舞いの入力を重複テストして工数を浪費する一方、無効クラス(エラー処理系)の検証が抜け落ちる。</t>
        </is>
      </c>
      <c r="H28" s="4" t="inlineStr">
        <is>
          <t>swebok-v4a.pdf ch05 Software Testing &gt; 3.1.1 Equivalence Partitioning</t>
        </is>
      </c>
      <c r="I28" s="4" t="inlineStr">
        <is>
          <t>CORE</t>
        </is>
      </c>
      <c r="J28" s="4" t="inlineStr">
        <is>
          <t>原則適用。案件スコープ・成果物・規制・リスク上非該当の場合はN/A根拠を記録。</t>
        </is>
      </c>
      <c r="K28" s="4" t="inlineStr">
        <is>
          <t>SRC-SWEBOK-V4A</t>
        </is>
      </c>
      <c r="L28" s="4" t="inlineStr"/>
      <c r="M28" s="4" t="n"/>
      <c r="N28" s="4" t="n"/>
      <c r="O28" s="4" t="n"/>
      <c r="P28" s="4" t="n"/>
      <c r="Q28" s="4" t="n"/>
      <c r="R28" s="4" t="n"/>
      <c r="S28" s="4" t="n"/>
      <c r="T28" s="4" t="n"/>
      <c r="U28" s="4" t="n"/>
      <c r="V28" s="4" t="n"/>
      <c r="W28" s="4" t="n"/>
    </row>
    <row r="29">
      <c r="A29" s="5" t="inlineStr">
        <is>
          <t>TST-204</t>
        </is>
      </c>
      <c r="B29" s="5" t="inlineStr">
        <is>
          <t>SWEBOK</t>
        </is>
      </c>
      <c r="C29" s="4" t="inlineStr">
        <is>
          <t>3. テスト観点・技法選定(TST-201〜)</t>
        </is>
      </c>
      <c r="D29" s="8" t="inlineStr">
        <is>
          <t>Critical</t>
        </is>
      </c>
      <c r="E29" s="4" t="inlineStr">
        <is>
          <t>境界値分析が適用されている</t>
        </is>
      </c>
      <c r="F29" s="4" t="inlineStr">
        <is>
          <t>値域の境界について、境界上の値と境界の直外の値の双方がテスト条件に含まれている</t>
        </is>
      </c>
      <c r="G29" s="4" t="inlineStr">
        <is>
          <t>欠陥は入力の極値近傍に集中するというのが境界値分析の根拠であり、境界の直外(off-by-one)を試さないと最頻出の欠陥パターンを取りこぼす。</t>
        </is>
      </c>
      <c r="H29" s="4" t="inlineStr">
        <is>
          <t>swebok-v4a.pdf ch05 Software Testing &gt; 3.1.2 Boundary Value Analysis</t>
        </is>
      </c>
      <c r="I29" s="4" t="inlineStr">
        <is>
          <t>CORE</t>
        </is>
      </c>
      <c r="J29" s="4" t="inlineStr">
        <is>
          <t>原則適用。案件スコープ・成果物・規制・リスク上非該当の場合はN/A根拠を記録。</t>
        </is>
      </c>
      <c r="K29" s="4" t="inlineStr">
        <is>
          <t>SRC-SWEBOK-V4A</t>
        </is>
      </c>
      <c r="L29" s="4" t="inlineStr"/>
      <c r="M29" s="4" t="n"/>
      <c r="N29" s="4" t="n"/>
      <c r="O29" s="4" t="n"/>
      <c r="P29" s="4" t="n"/>
      <c r="Q29" s="4" t="n"/>
      <c r="R29" s="4" t="n"/>
      <c r="S29" s="4" t="n"/>
      <c r="T29" s="4" t="n"/>
      <c r="U29" s="4" t="n"/>
      <c r="V29" s="4" t="n"/>
      <c r="W29" s="4" t="n"/>
    </row>
    <row r="30">
      <c r="A30" s="5" t="inlineStr">
        <is>
          <t>TST-205</t>
        </is>
      </c>
      <c r="B30" s="5" t="inlineStr">
        <is>
          <t>SWEBOK</t>
        </is>
      </c>
      <c r="C30" s="4" t="inlineStr">
        <is>
          <t>3. テスト観点・技法選定(TST-201〜)</t>
        </is>
      </c>
      <c r="D30" s="9" t="inlineStr">
        <is>
          <t>High</t>
        </is>
      </c>
      <c r="E30" s="4" t="inlineStr">
        <is>
          <t>条件の組合せに決定表または組合せ技法が適用されている</t>
        </is>
      </c>
      <c r="F30" s="4" t="inlineStr">
        <is>
          <t>複数条件の組合せで動作が変わる仕様に対し、決定表・原因結果グラフ・ペアワイズ(直交表)のいずれかが適用され、組合せの網羅方針が明記されている</t>
        </is>
      </c>
      <c r="G30" s="4" t="inlineStr">
        <is>
          <t>複数条件の組合せで動作が変わる仕様は、単一条件のテストだけでは特定の組合せでのみ発現する欠陥を検出できない。網羅方針(全組合せ/ペアワイズ等)の明示で爆発と漏れの均衡を取る。</t>
        </is>
      </c>
      <c r="H30" s="4" t="inlineStr">
        <is>
          <t>swebok-v4a.pdf ch05 Software Testing &gt; 3.1.4 Combinatorial Test Techniques / 3.1.5 Decision Table / 3.1.6 Cause-Effect Graphing</t>
        </is>
      </c>
      <c r="I30" s="4" t="inlineStr">
        <is>
          <t>CORE</t>
        </is>
      </c>
      <c r="J30" s="4" t="inlineStr">
        <is>
          <t>原則適用。案件スコープ・成果物・規制・リスク上非該当の場合はN/A根拠を記録。</t>
        </is>
      </c>
      <c r="K30" s="4" t="inlineStr">
        <is>
          <t>SRC-SWEBOK-V4A;SRC-CIS</t>
        </is>
      </c>
      <c r="L30" s="4" t="inlineStr"/>
      <c r="M30" s="4" t="n"/>
      <c r="N30" s="4" t="n"/>
      <c r="O30" s="4" t="n"/>
      <c r="P30" s="4" t="n"/>
      <c r="Q30" s="4" t="n"/>
      <c r="R30" s="4" t="n"/>
      <c r="S30" s="4" t="n"/>
      <c r="T30" s="4" t="n"/>
      <c r="U30" s="4" t="n"/>
      <c r="V30" s="4" t="n"/>
      <c r="W30" s="4" t="n"/>
    </row>
    <row r="31">
      <c r="A31" s="5" t="inlineStr">
        <is>
          <t>TST-206</t>
        </is>
      </c>
      <c r="B31" s="5" t="inlineStr">
        <is>
          <t>SWEBOK</t>
        </is>
      </c>
      <c r="C31" s="4" t="inlineStr">
        <is>
          <t>3. テスト観点・技法選定(TST-201〜)</t>
        </is>
      </c>
      <c r="D31" s="9" t="inlineStr">
        <is>
          <t>High</t>
        </is>
      </c>
      <c r="E31" s="4" t="inlineStr">
        <is>
          <t>状態を持つ対象に状態遷移テストが適用されている</t>
        </is>
      </c>
      <c r="F31" s="4" t="inlineStr">
        <is>
          <t>状態遷移図/表が作成され、有効遷移の網羅に加えて無効遷移(禁止遷移)の確認が含まれている</t>
        </is>
      </c>
      <c r="G31" s="4" t="inlineStr">
        <is>
          <t>状態を持つ対象では、無効遷移(禁止されているはずの遷移)の受理が重大なデータ破壊やセキュリティ欠陥につながるため、有効遷移の網羅だけでは不十分。</t>
        </is>
      </c>
      <c r="H31" s="4" t="inlineStr">
        <is>
          <t>swebok-v4a.pdf ch05 Software Testing &gt; 3.1.7 State Transition Testing</t>
        </is>
      </c>
      <c r="I31" s="4" t="inlineStr">
        <is>
          <t>CORE</t>
        </is>
      </c>
      <c r="J31" s="4" t="inlineStr">
        <is>
          <t>原則適用。案件スコープ・成果物・規制・リスク上非該当の場合はN/A根拠を記録。</t>
        </is>
      </c>
      <c r="K31" s="4" t="inlineStr">
        <is>
          <t>SRC-SWEBOK-V4A</t>
        </is>
      </c>
      <c r="L31" s="4" t="inlineStr"/>
      <c r="M31" s="4" t="n"/>
      <c r="N31" s="4" t="n"/>
      <c r="O31" s="4" t="n"/>
      <c r="P31" s="4" t="n"/>
      <c r="Q31" s="4" t="n"/>
      <c r="R31" s="4" t="n"/>
      <c r="S31" s="4" t="n"/>
      <c r="T31" s="4" t="n"/>
      <c r="U31" s="4" t="n"/>
      <c r="V31" s="4" t="n"/>
      <c r="W31" s="4" t="n"/>
    </row>
    <row r="32">
      <c r="A32" s="5" t="inlineStr">
        <is>
          <t>TST-207</t>
        </is>
      </c>
      <c r="B32" s="5" t="inlineStr">
        <is>
          <t>SWEBOK</t>
        </is>
      </c>
      <c r="C32" s="4" t="inlineStr">
        <is>
          <t>3. テスト観点・技法選定(TST-201〜)</t>
        </is>
      </c>
      <c r="D32" s="9" t="inlineStr">
        <is>
          <t>High</t>
        </is>
      </c>
      <c r="E32" s="4" t="inlineStr">
        <is>
          <t>構造ベースの網羅基準が定義されている</t>
        </is>
      </c>
      <c r="F32" s="4" t="inlineStr">
        <is>
          <t>単体テストのカバレッジ基準(文網羅/分岐網羅/MC/DC 等)が数値目標付きで定義されている</t>
        </is>
      </c>
      <c r="G32" s="4" t="inlineStr">
        <is>
          <t>構造網羅基準が未定義だと、一度も実行されないコードを含んだままリリースされ、そこに潜む欠陥は本番で初めて実行される。数値目標がないと達成判定もできない。</t>
        </is>
      </c>
      <c r="H32" s="4" t="inlineStr">
        <is>
          <t>swebok-v4a.pdf ch05 Software Testing &gt; 3.2.1 Control Flow Testing</t>
        </is>
      </c>
      <c r="I32" s="4" t="inlineStr">
        <is>
          <t>CORE</t>
        </is>
      </c>
      <c r="J32" s="4" t="inlineStr">
        <is>
          <t>原則適用。案件スコープ・成果物・規制・リスク上非該当の場合はN/A根拠を記録。</t>
        </is>
      </c>
      <c r="K32" s="4" t="inlineStr">
        <is>
          <t>SRC-SWEBOK-V4A</t>
        </is>
      </c>
      <c r="L32" s="4" t="inlineStr"/>
      <c r="M32" s="4" t="n"/>
      <c r="N32" s="4" t="n"/>
      <c r="O32" s="4" t="n"/>
      <c r="P32" s="4" t="n"/>
      <c r="Q32" s="4" t="n"/>
      <c r="R32" s="4" t="n"/>
      <c r="S32" s="4" t="n"/>
      <c r="T32" s="4" t="n"/>
      <c r="U32" s="4" t="n"/>
      <c r="V32" s="4" t="n"/>
      <c r="W32" s="4" t="n"/>
    </row>
    <row r="33">
      <c r="A33" s="5" t="inlineStr">
        <is>
          <t>TST-208</t>
        </is>
      </c>
      <c r="B33" s="5" t="inlineStr">
        <is>
          <t>SWEBOK</t>
        </is>
      </c>
      <c r="C33" s="4" t="inlineStr">
        <is>
          <t>3. テスト観点・技法選定(TST-201〜)</t>
        </is>
      </c>
      <c r="D33" s="10" t="inlineStr">
        <is>
          <t>Medium</t>
        </is>
      </c>
      <c r="E33" s="4" t="inlineStr">
        <is>
          <t>経験ベース技法の計画がある</t>
        </is>
      </c>
      <c r="F33" s="4" t="inlineStr">
        <is>
          <t>探索的テストまたは誤り推測の実施計画(時間箱、チャーター、担当)が定義されている。実施しない場合は根拠がある</t>
        </is>
      </c>
      <c r="G33" s="4" t="inlineStr">
        <is>
          <t>形式的技法だけでは、過去の障害傾向やドメイン知識からしか導けない欠陥(仕様の穴)を検出できない。探索的テストは詳細仕様が欠ける場合の補完手段でもある。</t>
        </is>
      </c>
      <c r="H33" s="4" t="inlineStr">
        <is>
          <t>swebok-v4a.pdf ch05 Software Testing &gt; 3.3 Experience-Based Techniques(3.3.1 Error Guessing / 3.3.2 Exploratory Testing)</t>
        </is>
      </c>
      <c r="I33" s="4" t="inlineStr">
        <is>
          <t>CORE</t>
        </is>
      </c>
      <c r="J33" s="4" t="inlineStr">
        <is>
          <t>原則適用。案件スコープ・成果物・規制・リスク上非該当の場合はN/A根拠を記録。</t>
        </is>
      </c>
      <c r="K33" s="4" t="inlineStr">
        <is>
          <t>SRC-SWEBOK-V4A</t>
        </is>
      </c>
      <c r="L33" s="4" t="inlineStr"/>
      <c r="M33" s="4" t="n"/>
      <c r="N33" s="4" t="n"/>
      <c r="O33" s="4" t="n"/>
      <c r="P33" s="4" t="n"/>
      <c r="Q33" s="4" t="n"/>
      <c r="R33" s="4" t="n"/>
      <c r="S33" s="4" t="n"/>
      <c r="T33" s="4" t="n"/>
      <c r="U33" s="4" t="n"/>
      <c r="V33" s="4" t="n"/>
      <c r="W33" s="4" t="n"/>
    </row>
    <row r="34">
      <c r="A34" s="5" t="inlineStr">
        <is>
          <t>TST-209</t>
        </is>
      </c>
      <c r="B34" s="5" t="inlineStr">
        <is>
          <t>SWEBOK</t>
        </is>
      </c>
      <c r="C34" s="4" t="inlineStr">
        <is>
          <t>3. テスト観点・技法選定(TST-201〜)</t>
        </is>
      </c>
      <c r="D34" s="10" t="inlineStr">
        <is>
          <t>Medium</t>
        </is>
      </c>
      <c r="E34" s="4" t="inlineStr">
        <is>
          <t>非機能観点が ISO/IEC 25010 等の品質特性で整理されている</t>
        </is>
      </c>
      <c r="F34" s="4" t="inlineStr">
        <is>
          <t>性能効率性・信頼性・セキュリティ・使用性等の品質特性のうち、要求に関係するものが観点として列挙され、対応が判断されている</t>
        </is>
      </c>
      <c r="G34" s="4" t="inlineStr">
        <is>
          <t>品質特性の標準分類を使わずに非機能観点を挙げると、信頼性・保守性等の特性が体系的に漏れ、要求とテストの対応も検証できなくなる。</t>
        </is>
      </c>
      <c r="H34" s="4" t="inlineStr">
        <is>
          <t>swebok-v4a.pdf ch05 Software Testing &gt; 1.2.6 Testing for Quality Assurance/Improvement(ISO/IEC 25010)/ 2.2.7 Non-functional Testing</t>
        </is>
      </c>
      <c r="I34" s="4" t="inlineStr">
        <is>
          <t>CORE</t>
        </is>
      </c>
      <c r="J34" s="4" t="inlineStr">
        <is>
          <t>原則適用。案件スコープ・成果物・規制・リスク上非該当の場合はN/A根拠を記録。</t>
        </is>
      </c>
      <c r="K34" s="4" t="inlineStr">
        <is>
          <t>SRC-SWEBOK-V4A;SRC-ISO-25010</t>
        </is>
      </c>
      <c r="L34" s="4" t="inlineStr"/>
      <c r="M34" s="4" t="n"/>
      <c r="N34" s="4" t="n"/>
      <c r="O34" s="4" t="n"/>
      <c r="P34" s="4" t="n"/>
      <c r="Q34" s="4" t="n"/>
      <c r="R34" s="4" t="n"/>
      <c r="S34" s="4" t="n"/>
      <c r="T34" s="4" t="n"/>
      <c r="U34" s="4" t="n"/>
      <c r="V34" s="4" t="n"/>
      <c r="W34" s="4" t="n"/>
    </row>
    <row r="35">
      <c r="A35" s="5" t="inlineStr">
        <is>
          <t>TST-210</t>
        </is>
      </c>
      <c r="B35" s="5" t="inlineStr">
        <is>
          <t>SWEBOK</t>
        </is>
      </c>
      <c r="C35" s="4" t="inlineStr">
        <is>
          <t>3. テスト観点・技法選定(TST-201〜)</t>
        </is>
      </c>
      <c r="D35" s="10" t="inlineStr">
        <is>
          <t>Medium</t>
        </is>
      </c>
      <c r="E35" s="4" t="inlineStr">
        <is>
          <t>シナリオベーステストがユースケースと対応している</t>
        </is>
      </c>
      <c r="F35" s="4" t="inlineStr">
        <is>
          <t>エンドツーエンドの業務シナリオテストが、ユースケースまたは業務フローと対応付けられている</t>
        </is>
      </c>
      <c r="G35" s="4" t="inlineStr">
        <is>
          <t>機能単位のテストが全て合格しても、業務の一連の流れ(代替フロー含む)で破綻するケースは珍しくない。シナリオとユースケースの対応付けで業務観点の抜けを防ぐ。</t>
        </is>
      </c>
      <c r="H35" s="4" t="inlineStr">
        <is>
          <t>swebok-v4a.pdf ch05 Software Testing &gt; 3.1.8 Scenario-Based Testing</t>
        </is>
      </c>
      <c r="I35" s="4" t="inlineStr">
        <is>
          <t>CORE</t>
        </is>
      </c>
      <c r="J35" s="4" t="inlineStr">
        <is>
          <t>原則適用。案件スコープ・成果物・規制・リスク上非該当の場合はN/A根拠を記録。</t>
        </is>
      </c>
      <c r="K35" s="4" t="inlineStr">
        <is>
          <t>SRC-SWEBOK-V4A</t>
        </is>
      </c>
      <c r="L35" s="4" t="inlineStr"/>
      <c r="M35" s="4" t="n"/>
      <c r="N35" s="4" t="n"/>
      <c r="O35" s="4" t="n"/>
      <c r="P35" s="4" t="n"/>
      <c r="Q35" s="4" t="n"/>
      <c r="R35" s="4" t="n"/>
      <c r="S35" s="4" t="n"/>
      <c r="T35" s="4" t="n"/>
      <c r="U35" s="4" t="n"/>
      <c r="V35" s="4" t="n"/>
      <c r="W35" s="4" t="n"/>
    </row>
    <row r="36">
      <c r="A36" s="5" t="inlineStr">
        <is>
          <t>TST-211</t>
        </is>
      </c>
      <c r="B36" s="5" t="inlineStr">
        <is>
          <t>SWEBOK</t>
        </is>
      </c>
      <c r="C36" s="4" t="inlineStr">
        <is>
          <t>3. テスト観点・技法選定(TST-201〜)</t>
        </is>
      </c>
      <c r="D36" s="11" t="inlineStr">
        <is>
          <t>Low</t>
        </is>
      </c>
      <c r="E36" s="4" t="inlineStr">
        <is>
          <t>ランダム/ファジングテストの適用可否が検討されている</t>
        </is>
      </c>
      <c r="F36" s="4" t="inlineStr">
        <is>
          <t>外部入力を受ける境界(API、ファイル、フォーム等)についてファジングの適用有無と根拠が記録されている</t>
        </is>
      </c>
      <c r="G36" s="4" t="inlineStr">
        <is>
          <t>設計者が想定した入力しかテストしないと、想定外入力によるクラッシュや脆弱性(ファジングで見つかる類)が残存する。外部入力境界での適用可否を意識的に判断させる。</t>
        </is>
      </c>
      <c r="H36" s="4" t="inlineStr">
        <is>
          <t>swebok-v4a.pdf ch05 Software Testing &gt; 3.1.9 Random Testing(ファズテスティング)</t>
        </is>
      </c>
      <c r="I36" s="4" t="inlineStr">
        <is>
          <t>CORE</t>
        </is>
      </c>
      <c r="J36" s="4" t="inlineStr">
        <is>
          <t>原則適用。案件スコープ・成果物・規制・リスク上非該当の場合はN/A根拠を記録。</t>
        </is>
      </c>
      <c r="K36" s="4" t="inlineStr">
        <is>
          <t>SRC-SWEBOK-V4A</t>
        </is>
      </c>
      <c r="L36" s="4" t="inlineStr"/>
      <c r="M36" s="4" t="n"/>
      <c r="N36" s="4" t="n"/>
      <c r="O36" s="4" t="n"/>
      <c r="P36" s="4" t="n"/>
      <c r="Q36" s="4" t="n"/>
      <c r="R36" s="4" t="n"/>
      <c r="S36" s="4" t="n"/>
      <c r="T36" s="4" t="n"/>
      <c r="U36" s="4" t="n"/>
      <c r="V36" s="4" t="n"/>
      <c r="W36" s="4" t="n"/>
    </row>
    <row r="37">
      <c r="A37" s="5" t="inlineStr">
        <is>
          <t>TST-212</t>
        </is>
      </c>
      <c r="B37" s="5" t="inlineStr">
        <is>
          <t>SWEBOK</t>
        </is>
      </c>
      <c r="C37" s="4" t="inlineStr">
        <is>
          <t>3. テスト観点・技法選定(TST-201〜)</t>
        </is>
      </c>
      <c r="D37" s="11" t="inlineStr">
        <is>
          <t>Low</t>
        </is>
      </c>
      <c r="E37" s="4" t="inlineStr">
        <is>
          <t>アプリケーション特性に応じた専用技法が検討されている</t>
        </is>
      </c>
      <c r="F37" s="4" t="inlineStr">
        <is>
          <t>Web/モバイル/組込み/AI-ML 等、対象ドメイン固有のテスト技法・標準の要否が検討され、判断が記録されている</t>
        </is>
      </c>
      <c r="G37" s="4" t="inlineStr">
        <is>
          <t>Web・モバイル・組込み・AI/ML等にはドメイン固有の欠陥モードと標準があり、汎用技法だけではそれらを検出できない。検討の記録がないと単なる知識不足か意図的判断か区別できない。</t>
        </is>
      </c>
      <c r="H37" s="4" t="inlineStr">
        <is>
          <t>swebok-v4a.pdf ch05 Software Testing &gt; 3.6 Techniques Based on the Nature of the Application / 6.2 Testing in the Application Domains</t>
        </is>
      </c>
      <c r="I37" s="4" t="inlineStr">
        <is>
          <t>CORE</t>
        </is>
      </c>
      <c r="J37" s="4" t="inlineStr">
        <is>
          <t>原則適用。案件スコープ・成果物・規制・リスク上非該当の場合はN/A根拠を記録。</t>
        </is>
      </c>
      <c r="K37" s="4" t="inlineStr">
        <is>
          <t>SRC-SWEBOK-V4A</t>
        </is>
      </c>
      <c r="L37" s="4" t="inlineStr"/>
      <c r="M37" s="4" t="n"/>
      <c r="N37" s="4" t="n"/>
      <c r="O37" s="4" t="n"/>
      <c r="P37" s="4" t="n"/>
      <c r="Q37" s="4" t="n"/>
      <c r="R37" s="4" t="n"/>
      <c r="S37" s="4" t="n"/>
      <c r="T37" s="4" t="n"/>
      <c r="U37" s="4" t="n"/>
      <c r="V37" s="4" t="n"/>
      <c r="W37" s="4" t="n"/>
    </row>
    <row r="38">
      <c r="A38" s="5" t="inlineStr">
        <is>
          <t>TST-901</t>
        </is>
      </c>
      <c r="B38" s="5" t="inlineStr">
        <is>
          <t>追加承認</t>
        </is>
      </c>
      <c r="C38" s="4" t="inlineStr">
        <is>
          <t>3. テスト観点・技法選定(TST-201〜)</t>
        </is>
      </c>
      <c r="D38" s="10" t="inlineStr">
        <is>
          <t>Medium</t>
        </is>
      </c>
      <c r="E38" s="4" t="inlineStr">
        <is>
          <t>運用プロファイルに基づくテストの要否が判断されている</t>
        </is>
      </c>
      <c r="F38" s="4" t="inlineStr">
        <is>
          <t>利用頻度・重要度の高い操作/機能が運用プロファイル(想定利用分布)として整理され、それに基づくテスト配分または統計的信頼性評価の実施有無と根拠が記録されている</t>
        </is>
      </c>
      <c r="G38" s="4" t="inlineStr">
        <is>
          <t>利用実態と無関係なテスト配分では、ユーザーが毎日使う機能の欠陥が残って体感品質が崩壊する。運用プロファイルは信頼性推定とテスト重点化の両方の基盤になる。</t>
        </is>
      </c>
      <c r="H38" s="4" t="inlineStr">
        <is>
          <t>swebok-v4a.pdf ch05 Software Testing &gt; 3.5 Usage-Based Techniques / 4.1.4-4.1.5 運用プロファイルに基づく信頼性評価と信頼性成長モデル</t>
        </is>
      </c>
      <c r="I38" s="4" t="inlineStr">
        <is>
          <t>CORE</t>
        </is>
      </c>
      <c r="J38" s="4" t="inlineStr">
        <is>
          <t>原則適用。案件スコープ・成果物・規制・リスク上非該当の場合はN/A根拠を記録。</t>
        </is>
      </c>
      <c r="K38" s="4" t="inlineStr">
        <is>
          <t>SRC-SWEBOK-V4A</t>
        </is>
      </c>
      <c r="L38" s="4" t="inlineStr"/>
      <c r="M38" s="4" t="n"/>
      <c r="N38" s="4" t="n"/>
      <c r="O38" s="4" t="n"/>
      <c r="P38" s="4" t="n"/>
      <c r="Q38" s="4" t="n"/>
      <c r="R38" s="4" t="n"/>
      <c r="S38" s="4" t="n"/>
      <c r="T38" s="4" t="n"/>
      <c r="U38" s="4" t="n"/>
      <c r="V38" s="4" t="n"/>
      <c r="W38" s="4" t="n"/>
    </row>
    <row r="39">
      <c r="A39" s="12" t="inlineStr">
        <is>
          <t>TST-CA01</t>
        </is>
      </c>
      <c r="B39" s="12" t="inlineStr">
        <is>
          <t>クラウド補完</t>
        </is>
      </c>
      <c r="C39" s="13" t="inlineStr">
        <is>
          <t>3. テスト観点・技法選定(TST-201〜)</t>
        </is>
      </c>
      <c r="D39" s="10" t="inlineStr">
        <is>
          <t>Medium</t>
        </is>
      </c>
      <c r="E39" s="13" t="inlineStr">
        <is>
          <t>回復性(レジリエンス)が求められるシステムで、障害注入テスト(カオスエンジニアリング)がテスト技法の候補として検討され、採否と理由、実施時は障害シナリオと合否基準(RTO/RPO)が記録されている</t>
        </is>
      </c>
      <c r="F39" s="13" t="inlineStr">
        <is>
          <t>テスト計画に障害注入(依存先停止・遅延・ゾーン障害・リソース枯渇等)の実施有無・対象シナリオ・合否基準が明記されている</t>
        </is>
      </c>
      <c r="G39" s="13" t="inlineStr">
        <is>
          <t>フェイルオーバー・自己復旧・縮退運転は障害を実際に注入しない限り検証できず、机上設計のままでは実障害時に機能しない。</t>
        </is>
      </c>
      <c r="H39" s="13" t="inlineStr">
        <is>
          <t>AWS Well-Architected Framework &gt; 信頼性の柱 &gt; REL 12 &gt; REL12-BP04 Test resiliency using chaos engineering / Azure Well-Architected Framework &gt; 信頼性の柱 &gt; RE:08 Test for resiliency and availability scenarios by applying the principles of chaos engineering</t>
        </is>
      </c>
      <c r="I39" s="13" t="inlineStr">
        <is>
          <t>CORE</t>
        </is>
      </c>
      <c r="J39" s="13" t="inlineStr">
        <is>
          <t>原則適用。案件スコープ・成果物・規制・リスク上非該当の場合はN/A根拠を記録。</t>
        </is>
      </c>
      <c r="K39" s="13" t="inlineStr">
        <is>
          <t>SRC-AWS-WAF;SRC-AZR-WAF</t>
        </is>
      </c>
      <c r="L39" s="13" t="inlineStr">
        <is>
          <t>CONTINUITY-DR</t>
        </is>
      </c>
      <c r="M39" s="13" t="n"/>
      <c r="N39" s="13" t="n"/>
      <c r="O39" s="13" t="n"/>
      <c r="P39" s="13" t="n"/>
      <c r="Q39" s="13" t="n"/>
      <c r="R39" s="13" t="n"/>
      <c r="S39" s="13" t="n"/>
      <c r="T39" s="13" t="n"/>
      <c r="U39" s="13" t="n"/>
      <c r="V39" s="13" t="n"/>
      <c r="W39" s="13" t="n"/>
    </row>
    <row r="40">
      <c r="A40" s="5" t="inlineStr">
        <is>
          <t>TST-301</t>
        </is>
      </c>
      <c r="B40" s="5" t="inlineStr">
        <is>
          <t>SWEBOK</t>
        </is>
      </c>
      <c r="C40" s="4" t="inlineStr">
        <is>
          <t>4. テストケース設計(TST-301〜)</t>
        </is>
      </c>
      <c r="D40" s="8" t="inlineStr">
        <is>
          <t>Critical</t>
        </is>
      </c>
      <c r="E40" s="4" t="inlineStr">
        <is>
          <t>各テストケースに一意の ID がある</t>
        </is>
      </c>
      <c r="F40" s="4" t="inlineStr">
        <is>
          <t>全テストケースに命名規則に従った一意の識別子が付与されている</t>
        </is>
      </c>
      <c r="G40" s="4" t="inlineStr">
        <is>
          <t>一意IDがないと、結果記録・インシデント・トレーサビリティの全てで参照が崩れ、どのテストが未実施かすら集計できなくなる。</t>
        </is>
      </c>
      <c r="H40" s="4" t="inlineStr">
        <is>
          <t>swebok-v4a.pdf ch05 Software Testing &gt; 5.1.4 Test Documentation(テストケース仕様)(実務補完: ISO/IEC/IEEE 29119-3)</t>
        </is>
      </c>
      <c r="I40" s="4" t="inlineStr">
        <is>
          <t>CORE</t>
        </is>
      </c>
      <c r="J40" s="4" t="inlineStr">
        <is>
          <t>原則適用。案件スコープ・成果物・規制・リスク上非該当の場合はN/A根拠を記録。</t>
        </is>
      </c>
      <c r="K40" s="4" t="inlineStr">
        <is>
          <t>SRC-SWEBOK-V4A;SRC-ISO-GENERAL;SRC-PRACTICE</t>
        </is>
      </c>
      <c r="L40" s="4" t="inlineStr"/>
      <c r="M40" s="4" t="n"/>
      <c r="N40" s="4" t="n"/>
      <c r="O40" s="4" t="n"/>
      <c r="P40" s="4" t="n"/>
      <c r="Q40" s="4" t="n"/>
      <c r="R40" s="4" t="n"/>
      <c r="S40" s="4" t="n"/>
      <c r="T40" s="4" t="n"/>
      <c r="U40" s="4" t="n"/>
      <c r="V40" s="4" t="n"/>
      <c r="W40" s="4" t="n"/>
    </row>
    <row r="41">
      <c r="A41" s="5" t="inlineStr">
        <is>
          <t>TST-302</t>
        </is>
      </c>
      <c r="B41" s="5" t="inlineStr">
        <is>
          <t>SWEBOK</t>
        </is>
      </c>
      <c r="C41" s="4" t="inlineStr">
        <is>
          <t>4. テストケース設計(TST-301〜)</t>
        </is>
      </c>
      <c r="D41" s="8" t="inlineStr">
        <is>
          <t>Critical</t>
        </is>
      </c>
      <c r="E41" s="4" t="inlineStr">
        <is>
          <t>期待結果が具体的でオラクルが明確である</t>
        </is>
      </c>
      <c r="F41" s="4" t="inlineStr">
        <is>
          <t>期待結果が具体値・具体状態(表示文言、遷移先、DB 値等)で記述され、「正しく動作すること」等の主観依存の記述がない</t>
        </is>
      </c>
      <c r="G41" s="4" t="inlineStr">
        <is>
          <t>テストは結果の合否を判定できて初めて意味を持つ(オラクル問題)。期待結果が曖昧だと実行者の主観で合否が揺れ、欠陥の見逃しと誤検出の両方が起きる。</t>
        </is>
      </c>
      <c r="H41" s="4" t="inlineStr">
        <is>
          <t>swebok-v4a.pdf ch05 Software Testing &gt; 1.2.7 The Oracle Problem</t>
        </is>
      </c>
      <c r="I41" s="4" t="inlineStr">
        <is>
          <t>CORE</t>
        </is>
      </c>
      <c r="J41" s="4" t="inlineStr">
        <is>
          <t>原則適用。案件スコープ・成果物・規制・リスク上非該当の場合はN/A根拠を記録。</t>
        </is>
      </c>
      <c r="K41" s="4" t="inlineStr">
        <is>
          <t>SRC-SWEBOK-V4A</t>
        </is>
      </c>
      <c r="L41" s="4" t="inlineStr"/>
      <c r="M41" s="4" t="n"/>
      <c r="N41" s="4" t="n"/>
      <c r="O41" s="4" t="n"/>
      <c r="P41" s="4" t="n"/>
      <c r="Q41" s="4" t="n"/>
      <c r="R41" s="4" t="n"/>
      <c r="S41" s="4" t="n"/>
      <c r="T41" s="4" t="n"/>
      <c r="U41" s="4" t="n"/>
      <c r="V41" s="4" t="n"/>
      <c r="W41" s="4" t="n"/>
    </row>
    <row r="42">
      <c r="A42" s="5" t="inlineStr">
        <is>
          <t>TST-303</t>
        </is>
      </c>
      <c r="B42" s="5" t="inlineStr">
        <is>
          <t>SWEBOK</t>
        </is>
      </c>
      <c r="C42" s="4" t="inlineStr">
        <is>
          <t>4. テストケース設計(TST-301〜)</t>
        </is>
      </c>
      <c r="D42" s="8" t="inlineStr">
        <is>
          <t>Critical</t>
        </is>
      </c>
      <c r="E42" s="4" t="inlineStr">
        <is>
          <t>要求とテストケースのトレーサビリティがある</t>
        </is>
      </c>
      <c r="F42" s="4" t="inlineStr">
        <is>
          <t>各テストケースが要求 ID または観点 ID と紐付き、逆方向(要求→テストケース)の対応表が存在する</t>
        </is>
      </c>
      <c r="G42" s="4" t="inlineStr">
        <is>
          <t>要求との双方向トレースがないと、テストされていない要求の存在に気づけず、要求カバレッジの主張やアセスメント・認証の証跡も成立しない。</t>
        </is>
      </c>
      <c r="H42" s="4" t="inlineStr">
        <is>
          <t>swebok-v4a.pdf ch05 Software Testing &gt; 1.2.5 Assessment and Certification / 5.1.7 Test Monitoring and Control(要求充足の追跡)</t>
        </is>
      </c>
      <c r="I42" s="4" t="inlineStr">
        <is>
          <t>CORE</t>
        </is>
      </c>
      <c r="J42" s="4" t="inlineStr">
        <is>
          <t>原則適用。案件スコープ・成果物・規制・リスク上非該当の場合はN/A根拠を記録。</t>
        </is>
      </c>
      <c r="K42" s="4" t="inlineStr">
        <is>
          <t>SRC-SWEBOK-V4A</t>
        </is>
      </c>
      <c r="L42" s="4" t="inlineStr"/>
      <c r="M42" s="4" t="n"/>
      <c r="N42" s="4" t="n"/>
      <c r="O42" s="4" t="n"/>
      <c r="P42" s="4" t="n"/>
      <c r="Q42" s="4" t="n"/>
      <c r="R42" s="4" t="n"/>
      <c r="S42" s="4" t="n"/>
      <c r="T42" s="4" t="n"/>
      <c r="U42" s="4" t="n"/>
      <c r="V42" s="4" t="n"/>
      <c r="W42" s="4" t="n"/>
    </row>
    <row r="43">
      <c r="A43" s="5" t="inlineStr">
        <is>
          <t>TST-304</t>
        </is>
      </c>
      <c r="B43" s="5" t="inlineStr">
        <is>
          <t>SWEBOK</t>
        </is>
      </c>
      <c r="C43" s="4" t="inlineStr">
        <is>
          <t>4. テストケース設計(TST-301〜)</t>
        </is>
      </c>
      <c r="D43" s="8" t="inlineStr">
        <is>
          <t>Critical</t>
        </is>
      </c>
      <c r="E43" s="4" t="inlineStr">
        <is>
          <t>異常系・無効入力のテストケースが存在する</t>
        </is>
      </c>
      <c r="F43" s="4" t="inlineStr">
        <is>
          <t>無効同値クラス、エラー処理、例外パスに対するテストケースが正常系と別に存在する</t>
        </is>
      </c>
      <c r="G43" s="4" t="inlineStr">
        <is>
          <t>正常系だけのテストでは、エラー処理・例外パスの欠陥がそのまま残り、本番の異常入力でクラッシュや不正データ受理を起こす。異常系は意図的に設計しないと書かれない。</t>
        </is>
      </c>
      <c r="H43" s="4" t="inlineStr">
        <is>
          <t>swebok-v4a.pdf ch05 Software Testing &gt; 3.1.11 Forcing Exception / 3.1.2 Boundary Value Analysis(ロバストネステスト)</t>
        </is>
      </c>
      <c r="I43" s="4" t="inlineStr">
        <is>
          <t>CORE</t>
        </is>
      </c>
      <c r="J43" s="4" t="inlineStr">
        <is>
          <t>原則適用。案件スコープ・成果物・規制・リスク上非該当の場合はN/A根拠を記録。</t>
        </is>
      </c>
      <c r="K43" s="4" t="inlineStr">
        <is>
          <t>SRC-SWEBOK-V4A</t>
        </is>
      </c>
      <c r="L43" s="4" t="inlineStr"/>
      <c r="M43" s="4" t="n"/>
      <c r="N43" s="4" t="n"/>
      <c r="O43" s="4" t="n"/>
      <c r="P43" s="4" t="n"/>
      <c r="Q43" s="4" t="n"/>
      <c r="R43" s="4" t="n"/>
      <c r="S43" s="4" t="n"/>
      <c r="T43" s="4" t="n"/>
      <c r="U43" s="4" t="n"/>
      <c r="V43" s="4" t="n"/>
      <c r="W43" s="4" t="n"/>
    </row>
    <row r="44">
      <c r="A44" s="5" t="inlineStr">
        <is>
          <t>TST-305</t>
        </is>
      </c>
      <c r="B44" s="5" t="inlineStr">
        <is>
          <t>SWEBOK</t>
        </is>
      </c>
      <c r="C44" s="4" t="inlineStr">
        <is>
          <t>4. テストケース設計(TST-301〜)</t>
        </is>
      </c>
      <c r="D44" s="8" t="inlineStr">
        <is>
          <t>Critical</t>
        </is>
      </c>
      <c r="E44" s="4" t="inlineStr">
        <is>
          <t>事前条件と手順が再現可能に記述されている</t>
        </is>
      </c>
      <c r="F44" s="4" t="inlineStr">
        <is>
          <t>事前条件(データ状態、ログイン状態等)と操作手順が番号付きで記述され、別の実行者が同じ手順を再現できる</t>
        </is>
      </c>
      <c r="G44" s="4" t="inlineStr">
        <is>
          <t>テストは科学的な統制実験として他者が再現できる形で文書化すべきであり、再現不能な手順は障害の再現・修正確認を妨げ、担当者交代で実行不能になる。</t>
        </is>
      </c>
      <c r="H44" s="4" t="inlineStr">
        <is>
          <t>swebok-v4a.pdf ch05 Software Testing &gt; 5.2.4 Controlled Experiments and Test Execution</t>
        </is>
      </c>
      <c r="I44" s="4" t="inlineStr">
        <is>
          <t>CORE</t>
        </is>
      </c>
      <c r="J44" s="4" t="inlineStr">
        <is>
          <t>原則適用。案件スコープ・成果物・規制・リスク上非該当の場合はN/A根拠を記録。</t>
        </is>
      </c>
      <c r="K44" s="4" t="inlineStr">
        <is>
          <t>SRC-SWEBOK-V4A</t>
        </is>
      </c>
      <c r="L44" s="4" t="inlineStr"/>
      <c r="M44" s="4" t="n"/>
      <c r="N44" s="4" t="n"/>
      <c r="O44" s="4" t="n"/>
      <c r="P44" s="4" t="n"/>
      <c r="Q44" s="4" t="n"/>
      <c r="R44" s="4" t="n"/>
      <c r="S44" s="4" t="n"/>
      <c r="T44" s="4" t="n"/>
      <c r="U44" s="4" t="n"/>
      <c r="V44" s="4" t="n"/>
      <c r="W44" s="4" t="n"/>
    </row>
    <row r="45">
      <c r="A45" s="5" t="inlineStr">
        <is>
          <t>TST-306</t>
        </is>
      </c>
      <c r="B45" s="5" t="inlineStr">
        <is>
          <t>SWEBOK</t>
        </is>
      </c>
      <c r="C45" s="4" t="inlineStr">
        <is>
          <t>4. テストケース設計(TST-301〜)</t>
        </is>
      </c>
      <c r="D45" s="9" t="inlineStr">
        <is>
          <t>High</t>
        </is>
      </c>
      <c r="E45" s="4" t="inlineStr">
        <is>
          <t>技法の適用結果とテストケースが対応している</t>
        </is>
      </c>
      <c r="F45" s="4" t="inlineStr">
        <is>
          <t>同値クラス表・決定表・状態遷移表等の設計成果物の各項目が、対応するテストケース ID を持つ(導出漏れがない)</t>
        </is>
      </c>
      <c r="G45" s="4" t="inlineStr">
        <is>
          <t>同値表や決定表を作っても、そこからテストケースへの導出が漏れれば技法適用の意味がない。設計成果物とケースIDの対応で導出漏れを機械的に検出可能にする。</t>
        </is>
      </c>
      <c r="H45" s="4" t="inlineStr">
        <is>
          <t>swebok-v4a.pdf ch05 Software Testing &gt; 5.2.2 Test Design and Implementation</t>
        </is>
      </c>
      <c r="I45" s="4" t="inlineStr">
        <is>
          <t>CORE</t>
        </is>
      </c>
      <c r="J45" s="4" t="inlineStr">
        <is>
          <t>原則適用。案件スコープ・成果物・規制・リスク上非該当の場合はN/A根拠を記録。</t>
        </is>
      </c>
      <c r="K45" s="4" t="inlineStr">
        <is>
          <t>SRC-SWEBOK-V4A</t>
        </is>
      </c>
      <c r="L45" s="4" t="inlineStr"/>
      <c r="M45" s="4" t="n"/>
      <c r="N45" s="4" t="n"/>
      <c r="O45" s="4" t="n"/>
      <c r="P45" s="4" t="n"/>
      <c r="Q45" s="4" t="n"/>
      <c r="R45" s="4" t="n"/>
      <c r="S45" s="4" t="n"/>
      <c r="T45" s="4" t="n"/>
      <c r="U45" s="4" t="n"/>
      <c r="V45" s="4" t="n"/>
      <c r="W45" s="4" t="n"/>
    </row>
    <row r="46">
      <c r="A46" s="5" t="inlineStr">
        <is>
          <t>TST-307</t>
        </is>
      </c>
      <c r="B46" s="5" t="inlineStr">
        <is>
          <t>SWEBOK</t>
        </is>
      </c>
      <c r="C46" s="4" t="inlineStr">
        <is>
          <t>4. テストケース設計(TST-301〜)</t>
        </is>
      </c>
      <c r="D46" s="9" t="inlineStr">
        <is>
          <t>High</t>
        </is>
      </c>
      <c r="E46" s="4" t="inlineStr">
        <is>
          <t>優先度が付与されている</t>
        </is>
      </c>
      <c r="F46" s="4" t="inlineStr">
        <is>
          <t>各テストケースにリスク・重要度に基づく優先度(High/Medium/Low 等)が付与されている</t>
        </is>
      </c>
      <c r="G46" s="4" t="inlineStr">
        <is>
          <t>優先度がないと、期間圧縮時にどのテストを削るかを場当たりで決めることになり、高リスク領域の未実施のままのリリースに気づけない。</t>
        </is>
      </c>
      <c r="H46" s="4" t="inlineStr">
        <is>
          <t>swebok-v4a.pdf ch05 Software Testing &gt; 1.2.3 Prioritization/Minimization / 2.2.6 Prioritization Testing</t>
        </is>
      </c>
      <c r="I46" s="4" t="inlineStr">
        <is>
          <t>CORE</t>
        </is>
      </c>
      <c r="J46" s="4" t="inlineStr">
        <is>
          <t>原則適用。案件スコープ・成果物・規制・リスク上非該当の場合はN/A根拠を記録。</t>
        </is>
      </c>
      <c r="K46" s="4" t="inlineStr">
        <is>
          <t>SRC-SWEBOK-V4A</t>
        </is>
      </c>
      <c r="L46" s="4" t="inlineStr"/>
      <c r="M46" s="4" t="n"/>
      <c r="N46" s="4" t="n"/>
      <c r="O46" s="4" t="n"/>
      <c r="P46" s="4" t="n"/>
      <c r="Q46" s="4" t="n"/>
      <c r="R46" s="4" t="n"/>
      <c r="S46" s="4" t="n"/>
      <c r="T46" s="4" t="n"/>
      <c r="U46" s="4" t="n"/>
      <c r="V46" s="4" t="n"/>
      <c r="W46" s="4" t="n"/>
    </row>
    <row r="47">
      <c r="A47" s="5" t="inlineStr">
        <is>
          <t>TST-308</t>
        </is>
      </c>
      <c r="B47" s="5" t="inlineStr">
        <is>
          <t>SWEBOK</t>
        </is>
      </c>
      <c r="C47" s="4" t="inlineStr">
        <is>
          <t>4. テストケース設計(TST-301〜)</t>
        </is>
      </c>
      <c r="D47" s="9" t="inlineStr">
        <is>
          <t>High</t>
        </is>
      </c>
      <c r="E47" s="4" t="inlineStr">
        <is>
          <t>テストケース間の依存関係が明示されている</t>
        </is>
      </c>
      <c r="F47" s="4" t="inlineStr">
        <is>
          <t>実行順序に依存があるケースはその旨と先行ケースが明記され、依存のないケースは独立に実行可能である</t>
        </is>
      </c>
      <c r="G47" s="4" t="inlineStr">
        <is>
          <t>暗黙の実行順序依存があると、順序を変えた途端に大量の偽の失敗が発生し、並列実行や部分実行もできなくなる。</t>
        </is>
      </c>
      <c r="H47" s="4" t="inlineStr">
        <is>
          <t>実務補完(ISO/IEC/IEEE 29119-3 テスト手順仕様の実務)</t>
        </is>
      </c>
      <c r="I47" s="4" t="inlineStr">
        <is>
          <t>CORE</t>
        </is>
      </c>
      <c r="J47" s="4" t="inlineStr">
        <is>
          <t>原則適用。案件スコープ・成果物・規制・リスク上非該当の場合はN/A根拠を記録。</t>
        </is>
      </c>
      <c r="K47" s="4" t="inlineStr">
        <is>
          <t>SRC-ISO-GENERAL;SRC-PRACTICE</t>
        </is>
      </c>
      <c r="L47" s="4" t="inlineStr"/>
      <c r="M47" s="4" t="n"/>
      <c r="N47" s="4" t="n"/>
      <c r="O47" s="4" t="n"/>
      <c r="P47" s="4" t="n"/>
      <c r="Q47" s="4" t="n"/>
      <c r="R47" s="4" t="n"/>
      <c r="S47" s="4" t="n"/>
      <c r="T47" s="4" t="n"/>
      <c r="U47" s="4" t="n"/>
      <c r="V47" s="4" t="n"/>
      <c r="W47" s="4" t="n"/>
    </row>
    <row r="48">
      <c r="A48" s="5" t="inlineStr">
        <is>
          <t>TST-309</t>
        </is>
      </c>
      <c r="B48" s="5" t="inlineStr">
        <is>
          <t>SWEBOK</t>
        </is>
      </c>
      <c r="C48" s="4" t="inlineStr">
        <is>
          <t>4. テストケース設計(TST-301〜)</t>
        </is>
      </c>
      <c r="D48" s="9" t="inlineStr">
        <is>
          <t>High</t>
        </is>
      </c>
      <c r="E48" s="4" t="inlineStr">
        <is>
          <t>テストデータが特定されている</t>
        </is>
      </c>
      <c r="F48" s="4" t="inlineStr">
        <is>
          <t>各テストケースで使用するデータ(値、ファイル、アカウント等)が具体的に指定されるか、データ定義への参照がある</t>
        </is>
      </c>
      <c r="G48" s="4" t="inlineStr">
        <is>
          <t>テストデータが特定されていないと実行者ごとに異なるデータで実施され、結果の再現も失敗の切り分けもできなくなる。</t>
        </is>
      </c>
      <c r="H48" s="4" t="inlineStr">
        <is>
          <t>swebok-v4a.pdf ch05 Software Testing &gt; 5.1.4 Test Documentation(テストデータ要件)</t>
        </is>
      </c>
      <c r="I48" s="4" t="inlineStr">
        <is>
          <t>CORE</t>
        </is>
      </c>
      <c r="J48" s="4" t="inlineStr">
        <is>
          <t>原則適用。案件スコープ・成果物・規制・リスク上非該当の場合はN/A根拠を記録。</t>
        </is>
      </c>
      <c r="K48" s="4" t="inlineStr">
        <is>
          <t>SRC-SWEBOK-V4A</t>
        </is>
      </c>
      <c r="L48" s="4" t="inlineStr"/>
      <c r="M48" s="4" t="n"/>
      <c r="N48" s="4" t="n"/>
      <c r="O48" s="4" t="n"/>
      <c r="P48" s="4" t="n"/>
      <c r="Q48" s="4" t="n"/>
      <c r="R48" s="4" t="n"/>
      <c r="S48" s="4" t="n"/>
      <c r="T48" s="4" t="n"/>
      <c r="U48" s="4" t="n"/>
      <c r="V48" s="4" t="n"/>
      <c r="W48" s="4" t="n"/>
    </row>
    <row r="49">
      <c r="A49" s="5" t="inlineStr">
        <is>
          <t>TST-310</t>
        </is>
      </c>
      <c r="B49" s="5" t="inlineStr">
        <is>
          <t>SWEBOK</t>
        </is>
      </c>
      <c r="C49" s="4" t="inlineStr">
        <is>
          <t>4. テストケース設計(TST-301〜)</t>
        </is>
      </c>
      <c r="D49" s="10" t="inlineStr">
        <is>
          <t>Medium</t>
        </is>
      </c>
      <c r="E49" s="4" t="inlineStr">
        <is>
          <t>事後条件・後始末が記述されている</t>
        </is>
      </c>
      <c r="F49" s="4" t="inlineStr">
        <is>
          <t>データ変更を伴うテストについて、実行後の状態確認または環境復元手順が記述されている</t>
        </is>
      </c>
      <c r="G49" s="4" t="inlineStr">
        <is>
          <t>データ変更を伴うテストの後始末がないと、残留データが後続テストの前提を壊し、原因不明の失敗(実は環境汚染)の調査に時間を溶かす。</t>
        </is>
      </c>
      <c r="H49" s="4" t="inlineStr">
        <is>
          <t>実務補完(ISO/IEC/IEEE 29119-3 テストケース仕様の事後条件)</t>
        </is>
      </c>
      <c r="I49" s="4" t="inlineStr">
        <is>
          <t>CORE</t>
        </is>
      </c>
      <c r="J49" s="4" t="inlineStr">
        <is>
          <t>原則適用。案件スコープ・成果物・規制・リスク上非該当の場合はN/A根拠を記録。</t>
        </is>
      </c>
      <c r="K49" s="4" t="inlineStr">
        <is>
          <t>SRC-ISO-GENERAL;SRC-PRACTICE</t>
        </is>
      </c>
      <c r="L49" s="4" t="inlineStr"/>
      <c r="M49" s="4" t="n"/>
      <c r="N49" s="4" t="n"/>
      <c r="O49" s="4" t="n"/>
      <c r="P49" s="4" t="n"/>
      <c r="Q49" s="4" t="n"/>
      <c r="R49" s="4" t="n"/>
      <c r="S49" s="4" t="n"/>
      <c r="T49" s="4" t="n"/>
      <c r="U49" s="4" t="n"/>
      <c r="V49" s="4" t="n"/>
      <c r="W49" s="4" t="n"/>
    </row>
    <row r="50">
      <c r="A50" s="5" t="inlineStr">
        <is>
          <t>TST-311</t>
        </is>
      </c>
      <c r="B50" s="5" t="inlineStr">
        <is>
          <t>SWEBOK</t>
        </is>
      </c>
      <c r="C50" s="4" t="inlineStr">
        <is>
          <t>4. テストケース設計(TST-301〜)</t>
        </is>
      </c>
      <c r="D50" s="10" t="inlineStr">
        <is>
          <t>Medium</t>
        </is>
      </c>
      <c r="E50" s="4" t="inlineStr">
        <is>
          <t>実行結果の記録欄が定義されている</t>
        </is>
      </c>
      <c r="F50" s="4" t="inlineStr">
        <is>
          <t>Pass/Fail/Blocked、実施日、実施者、証跡(スクリーンショット・ログ)への参照を記録する欄が用意されている</t>
        </is>
      </c>
      <c r="G50" s="4" t="inlineStr">
        <is>
          <t>結果記録欄が未整備だと、実施証跡が個人メモに散逸し、完了報告の集計やインシデントの遡及調査ができなくなる。</t>
        </is>
      </c>
      <c r="H50" s="4" t="inlineStr">
        <is>
          <t>swebok-v4a.pdf ch05 Software Testing &gt; 5.1.4 Test Documentation(テスト実行文書・実結果)/ 5.2.5 Test Incident Reporting</t>
        </is>
      </c>
      <c r="I50" s="4" t="inlineStr">
        <is>
          <t>CORE</t>
        </is>
      </c>
      <c r="J50" s="4" t="inlineStr">
        <is>
          <t>原則適用。案件スコープ・成果物・規制・リスク上非該当の場合はN/A根拠を記録。</t>
        </is>
      </c>
      <c r="K50" s="4" t="inlineStr">
        <is>
          <t>SRC-SWEBOK-V4A</t>
        </is>
      </c>
      <c r="L50" s="4" t="inlineStr"/>
      <c r="M50" s="4" t="n"/>
      <c r="N50" s="4" t="n"/>
      <c r="O50" s="4" t="n"/>
      <c r="P50" s="4" t="n"/>
      <c r="Q50" s="4" t="n"/>
      <c r="R50" s="4" t="n"/>
      <c r="S50" s="4" t="n"/>
      <c r="T50" s="4" t="n"/>
      <c r="U50" s="4" t="n"/>
      <c r="V50" s="4" t="n"/>
      <c r="W50" s="4" t="n"/>
    </row>
    <row r="51">
      <c r="A51" s="5" t="inlineStr">
        <is>
          <t>TST-312</t>
        </is>
      </c>
      <c r="B51" s="5" t="inlineStr">
        <is>
          <t>SWEBOK</t>
        </is>
      </c>
      <c r="C51" s="4" t="inlineStr">
        <is>
          <t>4. テストケース設計(TST-301〜)</t>
        </is>
      </c>
      <c r="D51" s="11" t="inlineStr">
        <is>
          <t>Low</t>
        </is>
      </c>
      <c r="E51" s="4" t="inlineStr">
        <is>
          <t>テストケースの粒度が均質である</t>
        </is>
      </c>
      <c r="F51" s="4" t="inlineStr">
        <is>
          <t>1ケース1検証目的が原則として守られ、多数の検証を1ケースに詰め込んだものがない</t>
        </is>
      </c>
      <c r="G51" s="4" t="inlineStr">
        <is>
          <t>1ケースに多数の検証を詰め込むと、失敗時にどの検証が落ちたか特定できず、部分的な再実行もできないため、障害解析の効率が大きく落ちる。</t>
        </is>
      </c>
      <c r="H51" s="4" t="inlineStr">
        <is>
          <t>実務補完(テストケース設計の実務慣行)</t>
        </is>
      </c>
      <c r="I51" s="4" t="inlineStr">
        <is>
          <t>CORE</t>
        </is>
      </c>
      <c r="J51" s="4" t="inlineStr">
        <is>
          <t>原則適用。案件スコープ・成果物・規制・リスク上非該当の場合はN/A根拠を記録。</t>
        </is>
      </c>
      <c r="K51" s="4" t="inlineStr">
        <is>
          <t>SRC-PRACTICE</t>
        </is>
      </c>
      <c r="L51" s="4" t="inlineStr"/>
      <c r="M51" s="4" t="n"/>
      <c r="N51" s="4" t="n"/>
      <c r="O51" s="4" t="n"/>
      <c r="P51" s="4" t="n"/>
      <c r="Q51" s="4" t="n"/>
      <c r="R51" s="4" t="n"/>
      <c r="S51" s="4" t="n"/>
      <c r="T51" s="4" t="n"/>
      <c r="U51" s="4" t="n"/>
      <c r="V51" s="4" t="n"/>
      <c r="W51" s="4" t="n"/>
    </row>
    <row r="52">
      <c r="A52" s="5" t="inlineStr">
        <is>
          <t>TST-401</t>
        </is>
      </c>
      <c r="B52" s="5" t="inlineStr">
        <is>
          <t>SWEBOK</t>
        </is>
      </c>
      <c r="C52" s="4" t="inlineStr">
        <is>
          <t>5. 自動テストコード(TST-401〜)</t>
        </is>
      </c>
      <c r="D52" s="8" t="inlineStr">
        <is>
          <t>Critical</t>
        </is>
      </c>
      <c r="E52" s="4" t="inlineStr">
        <is>
          <t>テストが決定的である</t>
        </is>
      </c>
      <c r="F52" s="4" t="inlineStr">
        <is>
          <t>同一コードに対して繰り返し実行しても結果が変わらない(時刻・乱数・並行性・外部サービスへの依存が制御されている)</t>
        </is>
      </c>
      <c r="G52" s="4" t="inlineStr">
        <is>
          <t>非決定的なテストは失敗が欠陥由来か環境由来か判別できず、開発者が失敗を無視する習慣を生んで本物の欠陥検出まで無効化する。再現性はテストの科学的統制の基本原則。</t>
        </is>
      </c>
      <c r="H52" s="4" t="inlineStr">
        <is>
          <t>swebok-v4a.pdf ch05 Software Testing &gt; 5.2.4 Controlled Experiments and Test Execution(実務補完: 自動テスト実務)</t>
        </is>
      </c>
      <c r="I52" s="4" t="inlineStr">
        <is>
          <t>CORE</t>
        </is>
      </c>
      <c r="J52" s="4" t="inlineStr">
        <is>
          <t>原則適用。案件スコープ・成果物・規制・リスク上非該当の場合はN/A根拠を記録。</t>
        </is>
      </c>
      <c r="K52" s="4" t="inlineStr">
        <is>
          <t>SRC-SWEBOK-V4A;SRC-PRACTICE</t>
        </is>
      </c>
      <c r="L52" s="4" t="inlineStr"/>
      <c r="M52" s="4" t="n"/>
      <c r="N52" s="4" t="n"/>
      <c r="O52" s="4" t="n"/>
      <c r="P52" s="4" t="n"/>
      <c r="Q52" s="4" t="n"/>
      <c r="R52" s="4" t="n"/>
      <c r="S52" s="4" t="n"/>
      <c r="T52" s="4" t="n"/>
      <c r="U52" s="4" t="n"/>
      <c r="V52" s="4" t="n"/>
      <c r="W52" s="4" t="n"/>
    </row>
    <row r="53">
      <c r="A53" s="5" t="inlineStr">
        <is>
          <t>TST-402</t>
        </is>
      </c>
      <c r="B53" s="5" t="inlineStr">
        <is>
          <t>SWEBOK</t>
        </is>
      </c>
      <c r="C53" s="4" t="inlineStr">
        <is>
          <t>5. 自動テストコード(TST-401〜)</t>
        </is>
      </c>
      <c r="D53" s="8" t="inlineStr">
        <is>
          <t>Critical</t>
        </is>
      </c>
      <c r="E53" s="4" t="inlineStr">
        <is>
          <t>アサーションが具体的である</t>
        </is>
      </c>
      <c r="F53" s="4" t="inlineStr">
        <is>
          <t>各テストに期待値を明示したアサーションが存在し、実行するだけで検証のないテスト(assertion-free)がない</t>
        </is>
      </c>
      <c r="G53" s="4" t="inlineStr">
        <is>
          <t>アサーションのないテストは実行してもオラクル(合否判定)が存在せず、緑色のまま欠陥を素通しする偽の安心感を与える。</t>
        </is>
      </c>
      <c r="H53" s="4" t="inlineStr">
        <is>
          <t>swebok-v4a.pdf ch05 Software Testing &gt; 1.2.7 The Oracle Problem(実務補完: 自動テスト実務)</t>
        </is>
      </c>
      <c r="I53" s="4" t="inlineStr">
        <is>
          <t>CORE</t>
        </is>
      </c>
      <c r="J53" s="4" t="inlineStr">
        <is>
          <t>原則適用。案件スコープ・成果物・規制・リスク上非該当の場合はN/A根拠を記録。</t>
        </is>
      </c>
      <c r="K53" s="4" t="inlineStr">
        <is>
          <t>SRC-SWEBOK-V4A;SRC-PRACTICE</t>
        </is>
      </c>
      <c r="L53" s="4" t="inlineStr"/>
      <c r="M53" s="4" t="n"/>
      <c r="N53" s="4" t="n"/>
      <c r="O53" s="4" t="n"/>
      <c r="P53" s="4" t="n"/>
      <c r="Q53" s="4" t="n"/>
      <c r="R53" s="4" t="n"/>
      <c r="S53" s="4" t="n"/>
      <c r="T53" s="4" t="n"/>
      <c r="U53" s="4" t="n"/>
      <c r="V53" s="4" t="n"/>
      <c r="W53" s="4" t="n"/>
    </row>
    <row r="54">
      <c r="A54" s="5" t="inlineStr">
        <is>
          <t>TST-403</t>
        </is>
      </c>
      <c r="B54" s="5" t="inlineStr">
        <is>
          <t>SWEBOK</t>
        </is>
      </c>
      <c r="C54" s="4" t="inlineStr">
        <is>
          <t>5. 自動テストコード(TST-401〜)</t>
        </is>
      </c>
      <c r="D54" s="8" t="inlineStr">
        <is>
          <t>Critical</t>
        </is>
      </c>
      <c r="E54" s="4" t="inlineStr">
        <is>
          <t>テストが実行順序に依存しない</t>
        </is>
      </c>
      <c r="F54" s="4" t="inlineStr">
        <is>
          <t>各テストが独立にセットアップ・後始末を行い、単独実行・並列実行・順序入替えで結果が変わらない</t>
        </is>
      </c>
      <c r="G54" s="4" t="inlineStr">
        <is>
          <t>順序依存のテストは並列化・部分実行で壊れ、無関係な変更で連鎖的に失敗する。CIの高速化やテスト最小化・優先順位付けの前提が崩れる。</t>
        </is>
      </c>
      <c r="H54" s="4" t="inlineStr">
        <is>
          <t>実務補完(xUnit実務。1.2.3 の優先順位付け・最小化の前提条件)</t>
        </is>
      </c>
      <c r="I54" s="4" t="inlineStr">
        <is>
          <t>CORE</t>
        </is>
      </c>
      <c r="J54" s="4" t="inlineStr">
        <is>
          <t>原則適用。案件スコープ・成果物・規制・リスク上非該当の場合はN/A根拠を記録。</t>
        </is>
      </c>
      <c r="K54" s="4" t="inlineStr">
        <is>
          <t>SRC-PRACTICE</t>
        </is>
      </c>
      <c r="L54" s="4" t="inlineStr"/>
      <c r="M54" s="4" t="n"/>
      <c r="N54" s="4" t="n"/>
      <c r="O54" s="4" t="n"/>
      <c r="P54" s="4" t="n"/>
      <c r="Q54" s="4" t="n"/>
      <c r="R54" s="4" t="n"/>
      <c r="S54" s="4" t="n"/>
      <c r="T54" s="4" t="n"/>
      <c r="U54" s="4" t="n"/>
      <c r="V54" s="4" t="n"/>
      <c r="W54" s="4" t="n"/>
    </row>
    <row r="55">
      <c r="A55" s="5" t="inlineStr">
        <is>
          <t>TST-404</t>
        </is>
      </c>
      <c r="B55" s="5" t="inlineStr">
        <is>
          <t>SWEBOK</t>
        </is>
      </c>
      <c r="C55" s="4" t="inlineStr">
        <is>
          <t>5. 自動テストコード(TST-401〜)</t>
        </is>
      </c>
      <c r="D55" s="8" t="inlineStr">
        <is>
          <t>Critical</t>
        </is>
      </c>
      <c r="E55" s="4" t="inlineStr">
        <is>
          <t>CI で自動実行されている</t>
        </is>
      </c>
      <c r="F55" s="4" t="inlineStr">
        <is>
          <t>テストが CI パイプラインに組み込まれ、コミット/PR を契機に自動実行され、失敗時に検知できる</t>
        </is>
      </c>
      <c r="G55" s="4" t="inlineStr">
        <is>
          <t>CIに組み込まれていないテストは実行されなくなり腐敗する。継続的な回帰テストによる早期欠陥検出というシフトレフトの利益は自動実行があって初めて成立する。</t>
        </is>
      </c>
      <c r="H55" s="4" t="inlineStr">
        <is>
          <t>swebok-v4a.pdf ch05 Software Testing &gt; 6.1.2 Testing in Line with Shift-Left Movement(CI/DevOpsにおける回帰テスト)</t>
        </is>
      </c>
      <c r="I55" s="4" t="inlineStr">
        <is>
          <t>CORE</t>
        </is>
      </c>
      <c r="J55" s="4" t="inlineStr">
        <is>
          <t>原則適用。案件スコープ・成果物・規制・リスク上非該当の場合はN/A根拠を記録。</t>
        </is>
      </c>
      <c r="K55" s="4" t="inlineStr">
        <is>
          <t>SRC-SWEBOK-V4A</t>
        </is>
      </c>
      <c r="L55" s="4" t="inlineStr"/>
      <c r="M55" s="4" t="n"/>
      <c r="N55" s="4" t="n"/>
      <c r="O55" s="4" t="n"/>
      <c r="P55" s="4" t="n"/>
      <c r="Q55" s="4" t="n"/>
      <c r="R55" s="4" t="n"/>
      <c r="S55" s="4" t="n"/>
      <c r="T55" s="4" t="n"/>
      <c r="U55" s="4" t="n"/>
      <c r="V55" s="4" t="n"/>
      <c r="W55" s="4" t="n"/>
    </row>
    <row r="56">
      <c r="A56" s="5" t="inlineStr">
        <is>
          <t>TST-405</t>
        </is>
      </c>
      <c r="B56" s="5" t="inlineStr">
        <is>
          <t>SWEBOK</t>
        </is>
      </c>
      <c r="C56" s="4" t="inlineStr">
        <is>
          <t>5. 自動テストコード(TST-401〜)</t>
        </is>
      </c>
      <c r="D56" s="9" t="inlineStr">
        <is>
          <t>High</t>
        </is>
      </c>
      <c r="E56" s="4" t="inlineStr">
        <is>
          <t>テスト名が検証内容を表している</t>
        </is>
      </c>
      <c r="F56" s="4" t="inlineStr">
        <is>
          <t>テスト名(またはその説明)から「何をどの条件で検証するか」が読み取れる(test1、testA 等の無意味な名前がない)</t>
        </is>
      </c>
      <c r="G56" s="4" t="inlineStr">
        <is>
          <t>無意味なテスト名は、失敗時に何が壊れたかを読み解くコストを毎回発生させ、重複テストや仕様理解の誤りにも気づけなくする。</t>
        </is>
      </c>
      <c r="H56" s="4" t="inlineStr">
        <is>
          <t>実務補完(テストコード可読性の実務)</t>
        </is>
      </c>
      <c r="I56" s="4" t="inlineStr">
        <is>
          <t>CORE</t>
        </is>
      </c>
      <c r="J56" s="4" t="inlineStr">
        <is>
          <t>原則適用。案件スコープ・成果物・規制・リスク上非該当の場合はN/A根拠を記録。</t>
        </is>
      </c>
      <c r="K56" s="4" t="inlineStr">
        <is>
          <t>SRC-PRACTICE</t>
        </is>
      </c>
      <c r="L56" s="4" t="inlineStr"/>
      <c r="M56" s="4" t="n"/>
      <c r="N56" s="4" t="n"/>
      <c r="O56" s="4" t="n"/>
      <c r="P56" s="4" t="n"/>
      <c r="Q56" s="4" t="n"/>
      <c r="R56" s="4" t="n"/>
      <c r="S56" s="4" t="n"/>
      <c r="T56" s="4" t="n"/>
      <c r="U56" s="4" t="n"/>
      <c r="V56" s="4" t="n"/>
      <c r="W56" s="4" t="n"/>
    </row>
    <row r="57">
      <c r="A57" s="5" t="inlineStr">
        <is>
          <t>TST-406</t>
        </is>
      </c>
      <c r="B57" s="5" t="inlineStr">
        <is>
          <t>SWEBOK</t>
        </is>
      </c>
      <c r="C57" s="4" t="inlineStr">
        <is>
          <t>5. 自動テストコード(TST-401〜)</t>
        </is>
      </c>
      <c r="D57" s="9" t="inlineStr">
        <is>
          <t>High</t>
        </is>
      </c>
      <c r="E57" s="4" t="inlineStr">
        <is>
          <t>AAA 構造が守られている</t>
        </is>
      </c>
      <c r="F57" s="4" t="inlineStr">
        <is>
          <t>各テストが準備(Arrange)・実行(Act)・検証(Assert)の構造で書かれ、1テストの検証観点が1つに絞られている</t>
        </is>
      </c>
      <c r="G57" s="4" t="inlineStr">
        <is>
          <t>構造が混沌としたテストは、失敗原因の特定とプロダクト変更時の追随修正を困難にし、テストコード自体が保守の重荷になる。</t>
        </is>
      </c>
      <c r="H57" s="4" t="inlineStr">
        <is>
          <t>実務補完(Arrange-Act-Assert パターン)</t>
        </is>
      </c>
      <c r="I57" s="4" t="inlineStr">
        <is>
          <t>CORE</t>
        </is>
      </c>
      <c r="J57" s="4" t="inlineStr">
        <is>
          <t>原則適用。案件スコープ・成果物・規制・リスク上非該当の場合はN/A根拠を記録。</t>
        </is>
      </c>
      <c r="K57" s="4" t="inlineStr">
        <is>
          <t>SRC-PRACTICE</t>
        </is>
      </c>
      <c r="L57" s="4" t="inlineStr"/>
      <c r="M57" s="4" t="n"/>
      <c r="N57" s="4" t="n"/>
      <c r="O57" s="4" t="n"/>
      <c r="P57" s="4" t="n"/>
      <c r="Q57" s="4" t="n"/>
      <c r="R57" s="4" t="n"/>
      <c r="S57" s="4" t="n"/>
      <c r="T57" s="4" t="n"/>
      <c r="U57" s="4" t="n"/>
      <c r="V57" s="4" t="n"/>
      <c r="W57" s="4" t="n"/>
    </row>
    <row r="58">
      <c r="A58" s="5" t="inlineStr">
        <is>
          <t>TST-407</t>
        </is>
      </c>
      <c r="B58" s="5" t="inlineStr">
        <is>
          <t>SWEBOK</t>
        </is>
      </c>
      <c r="C58" s="4" t="inlineStr">
        <is>
          <t>5. 自動テストコード(TST-401〜)</t>
        </is>
      </c>
      <c r="D58" s="9" t="inlineStr">
        <is>
          <t>High</t>
        </is>
      </c>
      <c r="E58" s="4" t="inlineStr">
        <is>
          <t>外部依存がテストダブルで隔離されている</t>
        </is>
      </c>
      <c r="F58" s="4" t="inlineStr">
        <is>
          <t>単体テストにおいて DB・ネットワーク・外部 API への実接続がなく、モック/スタブ/フェイクで代替されている(統合テストは除く)</t>
        </is>
      </c>
      <c r="G58" s="4" t="inlineStr">
        <is>
          <t>単体テストが実DBや外部APIに接続すると、遅く不安定になり、外部要因の失敗が頻発して「分離テスト可能な要素の検証」という単体テストの目的が果たせなくなる。</t>
        </is>
      </c>
      <c r="H58" s="4" t="inlineStr">
        <is>
          <t>swebok-v4a.pdf ch05 Software Testing &gt; 2.1.1 Unit Testing / 8.2 Categories of Tools(テストハーネス: ドライバ・スタブ)</t>
        </is>
      </c>
      <c r="I58" s="4" t="inlineStr">
        <is>
          <t>CORE</t>
        </is>
      </c>
      <c r="J58" s="4" t="inlineStr">
        <is>
          <t>原則適用。案件スコープ・成果物・規制・リスク上非該当の場合はN/A根拠を記録。</t>
        </is>
      </c>
      <c r="K58" s="4" t="inlineStr">
        <is>
          <t>SRC-SWEBOK-V4A</t>
        </is>
      </c>
      <c r="L58" s="4" t="inlineStr"/>
      <c r="M58" s="4" t="n"/>
      <c r="N58" s="4" t="n"/>
      <c r="O58" s="4" t="n"/>
      <c r="P58" s="4" t="n"/>
      <c r="Q58" s="4" t="n"/>
      <c r="R58" s="4" t="n"/>
      <c r="S58" s="4" t="n"/>
      <c r="T58" s="4" t="n"/>
      <c r="U58" s="4" t="n"/>
      <c r="V58" s="4" t="n"/>
      <c r="W58" s="4" t="n"/>
    </row>
    <row r="59">
      <c r="A59" s="5" t="inlineStr">
        <is>
          <t>TST-408</t>
        </is>
      </c>
      <c r="B59" s="5" t="inlineStr">
        <is>
          <t>SWEBOK</t>
        </is>
      </c>
      <c r="C59" s="4" t="inlineStr">
        <is>
          <t>5. 自動テストコード(TST-401〜)</t>
        </is>
      </c>
      <c r="D59" s="9" t="inlineStr">
        <is>
          <t>High</t>
        </is>
      </c>
      <c r="E59" s="4" t="inlineStr">
        <is>
          <t>境界値・異常系が自動テストに含まれている</t>
        </is>
      </c>
      <c r="F59" s="4" t="inlineStr">
        <is>
          <t>自動テストに正常系だけでなく境界値と例外・エラーパスのテストが含まれている</t>
        </is>
      </c>
      <c r="G59" s="4" t="inlineStr">
        <is>
          <t>自動テストが正常系に偏ると、回帰のたびに検証されるのは正常パスだけになり、境界・例外パスのデグレードが継続的に素通りする。</t>
        </is>
      </c>
      <c r="H59" s="4" t="inlineStr">
        <is>
          <t>swebok-v4a.pdf ch05 Software Testing &gt; 3.1.2 Boundary Value Analysis / 3.1.11 Forcing Exception</t>
        </is>
      </c>
      <c r="I59" s="4" t="inlineStr">
        <is>
          <t>CORE</t>
        </is>
      </c>
      <c r="J59" s="4" t="inlineStr">
        <is>
          <t>原則適用。案件スコープ・成果物・規制・リスク上非該当の場合はN/A根拠を記録。</t>
        </is>
      </c>
      <c r="K59" s="4" t="inlineStr">
        <is>
          <t>SRC-SWEBOK-V4A</t>
        </is>
      </c>
      <c r="L59" s="4" t="inlineStr"/>
      <c r="M59" s="4" t="n"/>
      <c r="N59" s="4" t="n"/>
      <c r="O59" s="4" t="n"/>
      <c r="P59" s="4" t="n"/>
      <c r="Q59" s="4" t="n"/>
      <c r="R59" s="4" t="n"/>
      <c r="S59" s="4" t="n"/>
      <c r="T59" s="4" t="n"/>
      <c r="U59" s="4" t="n"/>
      <c r="V59" s="4" t="n"/>
      <c r="W59" s="4" t="n"/>
    </row>
    <row r="60">
      <c r="A60" s="5" t="inlineStr">
        <is>
          <t>TST-409</t>
        </is>
      </c>
      <c r="B60" s="5" t="inlineStr">
        <is>
          <t>SWEBOK</t>
        </is>
      </c>
      <c r="C60" s="4" t="inlineStr">
        <is>
          <t>5. 自動テストコード(TST-401〜)</t>
        </is>
      </c>
      <c r="D60" s="10" t="inlineStr">
        <is>
          <t>Medium</t>
        </is>
      </c>
      <c r="E60" s="4" t="inlineStr">
        <is>
          <t>カバレッジが計測され基準と比較されている</t>
        </is>
      </c>
      <c r="F60" s="4" t="inlineStr">
        <is>
          <t>コードカバレッジが CI 等で自動計測され、計画で定めた基準値との比較結果が確認できる</t>
        </is>
      </c>
      <c r="G60" s="4" t="inlineStr">
        <is>
          <t>カバレッジを計測しなければ、計画で定めた網羅基準は絵に描いた餅になり、テストされていないコードの増加に誰も気づかない。</t>
        </is>
      </c>
      <c r="H60" s="4" t="inlineStr">
        <is>
          <t>swebok-v4a.pdf ch05 Software Testing &gt; 4. Test-Related Measures(カバレッジ測定と評価手続き)</t>
        </is>
      </c>
      <c r="I60" s="4" t="inlineStr">
        <is>
          <t>CORE</t>
        </is>
      </c>
      <c r="J60" s="4" t="inlineStr">
        <is>
          <t>原則適用。案件スコープ・成果物・規制・リスク上非該当の場合はN/A根拠を記録。</t>
        </is>
      </c>
      <c r="K60" s="4" t="inlineStr">
        <is>
          <t>SRC-SWEBOK-V4A</t>
        </is>
      </c>
      <c r="L60" s="4" t="inlineStr"/>
      <c r="M60" s="4" t="n"/>
      <c r="N60" s="4" t="n"/>
      <c r="O60" s="4" t="n"/>
      <c r="P60" s="4" t="n"/>
      <c r="Q60" s="4" t="n"/>
      <c r="R60" s="4" t="n"/>
      <c r="S60" s="4" t="n"/>
      <c r="T60" s="4" t="n"/>
      <c r="U60" s="4" t="n"/>
      <c r="V60" s="4" t="n"/>
      <c r="W60" s="4" t="n"/>
    </row>
    <row r="61">
      <c r="A61" s="5" t="inlineStr">
        <is>
          <t>TST-410</t>
        </is>
      </c>
      <c r="B61" s="5" t="inlineStr">
        <is>
          <t>SWEBOK</t>
        </is>
      </c>
      <c r="C61" s="4" t="inlineStr">
        <is>
          <t>5. 自動テストコード(TST-401〜)</t>
        </is>
      </c>
      <c r="D61" s="10" t="inlineStr">
        <is>
          <t>Medium</t>
        </is>
      </c>
      <c r="E61" s="4" t="inlineStr">
        <is>
          <t>flaky テストの管理ルールがある</t>
        </is>
      </c>
      <c r="F61" s="4" t="inlineStr">
        <is>
          <t>不安定なテストを検知した際の扱い(即修正、隔離、期限付き無効化)が定められ、無効化されたテストに理由と追跡先が記録されている</t>
        </is>
      </c>
      <c r="G61" s="4" t="inlineStr">
        <is>
          <t>flakyテストを放置すると失敗通知が信頼されなくなり、無断で無効化されたテストがカバレッジの空洞として残る。扱いのルール化で検出力の静かな劣化を防ぐ。</t>
        </is>
      </c>
      <c r="H61" s="4" t="inlineStr">
        <is>
          <t>実務補完(CI運用実務。TST-401 の決定性要件の運用面)</t>
        </is>
      </c>
      <c r="I61" s="4" t="inlineStr">
        <is>
          <t>CORE</t>
        </is>
      </c>
      <c r="J61" s="4" t="inlineStr">
        <is>
          <t>原則適用。案件スコープ・成果物・規制・リスク上非該当の場合はN/A根拠を記録。</t>
        </is>
      </c>
      <c r="K61" s="4" t="inlineStr">
        <is>
          <t>SRC-PRACTICE</t>
        </is>
      </c>
      <c r="L61" s="4" t="inlineStr"/>
      <c r="M61" s="4" t="n"/>
      <c r="N61" s="4" t="n"/>
      <c r="O61" s="4" t="n"/>
      <c r="P61" s="4" t="n"/>
      <c r="Q61" s="4" t="n"/>
      <c r="R61" s="4" t="n"/>
      <c r="S61" s="4" t="n"/>
      <c r="T61" s="4" t="n"/>
      <c r="U61" s="4" t="n"/>
      <c r="V61" s="4" t="n"/>
      <c r="W61" s="4" t="n"/>
    </row>
    <row r="62">
      <c r="A62" s="5" t="inlineStr">
        <is>
          <t>TST-411</t>
        </is>
      </c>
      <c r="B62" s="5" t="inlineStr">
        <is>
          <t>SWEBOK</t>
        </is>
      </c>
      <c r="C62" s="4" t="inlineStr">
        <is>
          <t>5. 自動テストコード(TST-401〜)</t>
        </is>
      </c>
      <c r="D62" s="10" t="inlineStr">
        <is>
          <t>Medium</t>
        </is>
      </c>
      <c r="E62" s="4" t="inlineStr">
        <is>
          <t>テストコードの保守性が確保されている</t>
        </is>
      </c>
      <c r="F62" s="4" t="inlineStr">
        <is>
          <t>重複するセットアップが共通化(フィクスチャ、ヘルパー)され、プロダクトコード変更時に修正箇所が特定しやすい構造になっている</t>
        </is>
      </c>
      <c r="G62" s="4" t="inlineStr">
        <is>
          <t>テスト資産の再利用性・保守性が低いと、要求や設計の変更をテストに反映するコストが膨らみ、回帰テスト資産が実態と乖離して放棄される。</t>
        </is>
      </c>
      <c r="H62" s="4" t="inlineStr">
        <is>
          <t>swebok-v4a.pdf ch05 Software Testing &gt; 5.1.9 Test Reusability</t>
        </is>
      </c>
      <c r="I62" s="4" t="inlineStr">
        <is>
          <t>CORE</t>
        </is>
      </c>
      <c r="J62" s="4" t="inlineStr">
        <is>
          <t>原則適用。案件スコープ・成果物・規制・リスク上非該当の場合はN/A根拠を記録。</t>
        </is>
      </c>
      <c r="K62" s="4" t="inlineStr">
        <is>
          <t>SRC-SWEBOK-V4A</t>
        </is>
      </c>
      <c r="L62" s="4" t="inlineStr"/>
      <c r="M62" s="4" t="n"/>
      <c r="N62" s="4" t="n"/>
      <c r="O62" s="4" t="n"/>
      <c r="P62" s="4" t="n"/>
      <c r="Q62" s="4" t="n"/>
      <c r="R62" s="4" t="n"/>
      <c r="S62" s="4" t="n"/>
      <c r="T62" s="4" t="n"/>
      <c r="U62" s="4" t="n"/>
      <c r="V62" s="4" t="n"/>
      <c r="W62" s="4" t="n"/>
    </row>
    <row r="63">
      <c r="A63" s="5" t="inlineStr">
        <is>
          <t>TST-412</t>
        </is>
      </c>
      <c r="B63" s="5" t="inlineStr">
        <is>
          <t>SWEBOK</t>
        </is>
      </c>
      <c r="C63" s="4" t="inlineStr">
        <is>
          <t>5. 自動テストコード(TST-401〜)</t>
        </is>
      </c>
      <c r="D63" s="11" t="inlineStr">
        <is>
          <t>Low</t>
        </is>
      </c>
      <c r="E63" s="4" t="inlineStr">
        <is>
          <t>ローカル実行手順が文書化されている</t>
        </is>
      </c>
      <c r="F63" s="4" t="inlineStr">
        <is>
          <t>開発者が手元でテストを実行するためのコマンド・前提条件が README 等に記述されている</t>
        </is>
      </c>
      <c r="G63" s="4" t="inlineStr">
        <is>
          <t>ローカル実行手順がないと、開発者がコミット前にテストを回さずCIで初めて失敗を知る非効率が常態化し、シフトレフトの早期検出効果が損なわれる。</t>
        </is>
      </c>
      <c r="H63" s="4" t="inlineStr">
        <is>
          <t>実務補完(開発者向けドキュメント実務)</t>
        </is>
      </c>
      <c r="I63" s="4" t="inlineStr">
        <is>
          <t>CORE</t>
        </is>
      </c>
      <c r="J63" s="4" t="inlineStr">
        <is>
          <t>原則適用。案件スコープ・成果物・規制・リスク上非該当の場合はN/A根拠を記録。</t>
        </is>
      </c>
      <c r="K63" s="4" t="inlineStr">
        <is>
          <t>SRC-PRACTICE</t>
        </is>
      </c>
      <c r="L63" s="4" t="inlineStr"/>
      <c r="M63" s="4" t="n"/>
      <c r="N63" s="4" t="n"/>
      <c r="O63" s="4" t="n"/>
      <c r="P63" s="4" t="n"/>
      <c r="Q63" s="4" t="n"/>
      <c r="R63" s="4" t="n"/>
      <c r="S63" s="4" t="n"/>
      <c r="T63" s="4" t="n"/>
      <c r="U63" s="4" t="n"/>
      <c r="V63" s="4" t="n"/>
      <c r="W63" s="4" t="n"/>
    </row>
    <row r="64">
      <c r="A64" s="5" t="inlineStr">
        <is>
          <t>TST-501</t>
        </is>
      </c>
      <c r="B64" s="5" t="inlineStr">
        <is>
          <t>SWEBOK</t>
        </is>
      </c>
      <c r="C64" s="4" t="inlineStr">
        <is>
          <t>6. テスト環境・テストデータ(TST-501〜)</t>
        </is>
      </c>
      <c r="D64" s="8" t="inlineStr">
        <is>
          <t>Critical</t>
        </is>
      </c>
      <c r="E64" s="4" t="inlineStr">
        <is>
          <t>テスト環境の構成が文書化されている</t>
        </is>
      </c>
      <c r="F64" s="4" t="inlineStr">
        <is>
          <t>ハードウェア/OS/ミドルウェア/アプリのバージョン、ネットワーク構成、外部接続の扱い(実接続/スタブ)が記述されている</t>
        </is>
      </c>
      <c r="G64" s="4" t="inlineStr">
        <is>
          <t>環境構成が文書化されていないと、テスト結果がどの構成に対する保証なのか不明になり、環境差異由来の障害の切り分けもできない。</t>
        </is>
      </c>
      <c r="H64" s="4" t="inlineStr">
        <is>
          <t>swebok-v4a.pdf ch05 Software Testing &gt; 5.2.3 Test Environment Set-up and Maintenance</t>
        </is>
      </c>
      <c r="I64" s="4" t="inlineStr">
        <is>
          <t>CORE</t>
        </is>
      </c>
      <c r="J64" s="4" t="inlineStr">
        <is>
          <t>原則適用。案件スコープ・成果物・規制・リスク上非該当の場合はN/A根拠を記録。</t>
        </is>
      </c>
      <c r="K64" s="4" t="inlineStr">
        <is>
          <t>SRC-SWEBOK-V4A</t>
        </is>
      </c>
      <c r="L64" s="4" t="inlineStr"/>
      <c r="M64" s="4" t="n"/>
      <c r="N64" s="4" t="n"/>
      <c r="O64" s="4" t="n"/>
      <c r="P64" s="4" t="n"/>
      <c r="Q64" s="4" t="n"/>
      <c r="R64" s="4" t="n"/>
      <c r="S64" s="4" t="n"/>
      <c r="T64" s="4" t="n"/>
      <c r="U64" s="4" t="n"/>
      <c r="V64" s="4" t="n"/>
      <c r="W64" s="4" t="n"/>
    </row>
    <row r="65">
      <c r="A65" s="5" t="inlineStr">
        <is>
          <t>TST-502</t>
        </is>
      </c>
      <c r="B65" s="5" t="inlineStr">
        <is>
          <t>SWEBOK</t>
        </is>
      </c>
      <c r="C65" s="4" t="inlineStr">
        <is>
          <t>6. テスト環境・テストデータ(TST-501〜)</t>
        </is>
      </c>
      <c r="D65" s="9" t="inlineStr">
        <is>
          <t>High</t>
        </is>
      </c>
      <c r="E65" s="4" t="inlineStr">
        <is>
          <t>本番環境との差異が明記されている</t>
        </is>
      </c>
      <c r="F65" s="4" t="inlineStr">
        <is>
          <t>テスト環境と本番環境の差異(スペック、データ量、構成)が列挙され、差異に起因するリスクが記録されている</t>
        </is>
      </c>
      <c r="G65" s="4" t="inlineStr">
        <is>
          <t>統制された実験室条件と本番(非統制)条件の差を明示しないと、テスト合格が本番動作の保証だと誤解され、差異起因の本番障害が「テスト済みなのに」という不信を生む。</t>
        </is>
      </c>
      <c r="H65" s="4" t="inlineStr">
        <is>
          <t>swebok-v4a.pdf ch05 Software Testing &gt; 5.2.3 Test Environment Set-up and Maintenance / 1.2.14 Controllability, Replication, and Generalization</t>
        </is>
      </c>
      <c r="I65" s="4" t="inlineStr">
        <is>
          <t>CORE</t>
        </is>
      </c>
      <c r="J65" s="4" t="inlineStr">
        <is>
          <t>原則適用。案件スコープ・成果物・規制・リスク上非該当の場合はN/A根拠を記録。</t>
        </is>
      </c>
      <c r="K65" s="4" t="inlineStr">
        <is>
          <t>SRC-SWEBOK-V4A</t>
        </is>
      </c>
      <c r="L65" s="4" t="inlineStr"/>
      <c r="M65" s="4" t="n"/>
      <c r="N65" s="4" t="n"/>
      <c r="O65" s="4" t="n"/>
      <c r="P65" s="4" t="n"/>
      <c r="Q65" s="4" t="n"/>
      <c r="R65" s="4" t="n"/>
      <c r="S65" s="4" t="n"/>
      <c r="T65" s="4" t="n"/>
      <c r="U65" s="4" t="n"/>
      <c r="V65" s="4" t="n"/>
      <c r="W65" s="4" t="n"/>
    </row>
    <row r="66">
      <c r="A66" s="5" t="inlineStr">
        <is>
          <t>TST-503</t>
        </is>
      </c>
      <c r="B66" s="5" t="inlineStr">
        <is>
          <t>SWEBOK</t>
        </is>
      </c>
      <c r="C66" s="4" t="inlineStr">
        <is>
          <t>6. テスト環境・テストデータ(TST-501〜)</t>
        </is>
      </c>
      <c r="D66" s="9" t="inlineStr">
        <is>
          <t>High</t>
        </is>
      </c>
      <c r="E66" s="4" t="inlineStr">
        <is>
          <t>環境が再構築可能である</t>
        </is>
      </c>
      <c r="F66" s="4" t="inlineStr">
        <is>
          <t>環境構築手順書または IaC(構成コード)が存在し、それに従って環境を再現できる</t>
        </is>
      </c>
      <c r="G66" s="4" t="inlineStr">
        <is>
          <t>環境が再構築できないと、環境破損やスケールアウトのたびにテストが長期停止し、再現性(他者による同一テストの実施)も担保できない。</t>
        </is>
      </c>
      <c r="H66" s="4" t="inlineStr">
        <is>
          <t>swebok-v4a.pdf ch05 Software Testing &gt; 5.2.3 Test Environment Set-up and Maintenance</t>
        </is>
      </c>
      <c r="I66" s="4" t="inlineStr">
        <is>
          <t>CORE</t>
        </is>
      </c>
      <c r="J66" s="4" t="inlineStr">
        <is>
          <t>原則適用。案件スコープ・成果物・規制・リスク上非該当の場合はN/A根拠を記録。</t>
        </is>
      </c>
      <c r="K66" s="4" t="inlineStr">
        <is>
          <t>SRC-SWEBOK-V4A</t>
        </is>
      </c>
      <c r="L66" s="4" t="inlineStr"/>
      <c r="M66" s="4" t="n"/>
      <c r="N66" s="4" t="n"/>
      <c r="O66" s="4" t="n"/>
      <c r="P66" s="4" t="n"/>
      <c r="Q66" s="4" t="n"/>
      <c r="R66" s="4" t="n"/>
      <c r="S66" s="4" t="n"/>
      <c r="T66" s="4" t="n"/>
      <c r="U66" s="4" t="n"/>
      <c r="V66" s="4" t="n"/>
      <c r="W66" s="4" t="n"/>
    </row>
    <row r="67">
      <c r="A67" s="5" t="inlineStr">
        <is>
          <t>TST-504</t>
        </is>
      </c>
      <c r="B67" s="5" t="inlineStr">
        <is>
          <t>SWEBOK</t>
        </is>
      </c>
      <c r="C67" s="4" t="inlineStr">
        <is>
          <t>6. テスト環境・テストデータ(TST-501〜)</t>
        </is>
      </c>
      <c r="D67" s="8" t="inlineStr">
        <is>
          <t>Critical</t>
        </is>
      </c>
      <c r="E67" s="4" t="inlineStr">
        <is>
          <t>テストデータの取り扱いルールが守られている</t>
        </is>
      </c>
      <c r="F67" s="4" t="inlineStr">
        <is>
          <t>本番データを使用する場合は個人情報・機密情報のマスキング/匿名化の実施が確認でき、使用ルール(根拠規程)が明記されている</t>
        </is>
      </c>
      <c r="G67" s="4" t="inlineStr">
        <is>
          <t>本番データの無防備な流用は個人情報漏えい事故と法令(GDPR等)違反に直結し、事故時にはテスト活動そのものより桁違いの損害を生む。</t>
        </is>
      </c>
      <c r="H67" s="4" t="inlineStr">
        <is>
          <t>swebok-v4a.pdf ch05 Software Testing &gt; 2.2.9 Privacy Testing / 6.2 Testing in the Application Domains(GDPR・HIPAA等の規制)</t>
        </is>
      </c>
      <c r="I67" s="4" t="inlineStr">
        <is>
          <t>CORE</t>
        </is>
      </c>
      <c r="J67" s="4" t="inlineStr">
        <is>
          <t>原則適用。案件スコープ・成果物・規制・リスク上非該当の場合はN/A根拠を記録。</t>
        </is>
      </c>
      <c r="K67" s="4" t="inlineStr">
        <is>
          <t>SRC-SWEBOK-V4A</t>
        </is>
      </c>
      <c r="L67" s="4" t="inlineStr"/>
      <c r="M67" s="4" t="n"/>
      <c r="N67" s="4" t="n"/>
      <c r="O67" s="4" t="n"/>
      <c r="P67" s="4" t="n"/>
      <c r="Q67" s="4" t="n"/>
      <c r="R67" s="4" t="n"/>
      <c r="S67" s="4" t="n"/>
      <c r="T67" s="4" t="n"/>
      <c r="U67" s="4" t="n"/>
      <c r="V67" s="4" t="n"/>
      <c r="W67" s="4" t="n"/>
    </row>
    <row r="68">
      <c r="A68" s="5" t="inlineStr">
        <is>
          <t>TST-505</t>
        </is>
      </c>
      <c r="B68" s="5" t="inlineStr">
        <is>
          <t>SWEBOK</t>
        </is>
      </c>
      <c r="C68" s="4" t="inlineStr">
        <is>
          <t>6. テスト環境・テストデータ(TST-501〜)</t>
        </is>
      </c>
      <c r="D68" s="10" t="inlineStr">
        <is>
          <t>Medium</t>
        </is>
      </c>
      <c r="E68" s="4" t="inlineStr">
        <is>
          <t>テストデータの準備・リセット手順がある</t>
        </is>
      </c>
      <c r="F68" s="4" t="inlineStr">
        <is>
          <t>テストデータの投入手順と、テスト実行後に初期状態へ戻す手順(またはその不要性の根拠)が記述されている</t>
        </is>
      </c>
      <c r="G68" s="4" t="inlineStr">
        <is>
          <t>データの投入・リセット手順がないと、実行のたびにデータ状態が変わって結果が再現せず、テストの繰り返し実行(回帰)が事実上不可能になる。</t>
        </is>
      </c>
      <c r="H68" s="4" t="inlineStr">
        <is>
          <t>swebok-v4a.pdf ch05 Software Testing &gt; 5.2.3 Test Environment Set-up and Maintenance</t>
        </is>
      </c>
      <c r="I68" s="4" t="inlineStr">
        <is>
          <t>CORE</t>
        </is>
      </c>
      <c r="J68" s="4" t="inlineStr">
        <is>
          <t>原則適用。案件スコープ・成果物・規制・リスク上非該当の場合はN/A根拠を記録。</t>
        </is>
      </c>
      <c r="K68" s="4" t="inlineStr">
        <is>
          <t>SRC-SWEBOK-V4A</t>
        </is>
      </c>
      <c r="L68" s="4" t="inlineStr"/>
      <c r="M68" s="4" t="n"/>
      <c r="N68" s="4" t="n"/>
      <c r="O68" s="4" t="n"/>
      <c r="P68" s="4" t="n"/>
      <c r="Q68" s="4" t="n"/>
      <c r="R68" s="4" t="n"/>
      <c r="S68" s="4" t="n"/>
      <c r="T68" s="4" t="n"/>
      <c r="U68" s="4" t="n"/>
      <c r="V68" s="4" t="n"/>
      <c r="W68" s="4" t="n"/>
    </row>
    <row r="69">
      <c r="A69" s="5" t="inlineStr">
        <is>
          <t>TST-506</t>
        </is>
      </c>
      <c r="B69" s="5" t="inlineStr">
        <is>
          <t>SWEBOK</t>
        </is>
      </c>
      <c r="C69" s="4" t="inlineStr">
        <is>
          <t>6. テスト環境・テストデータ(TST-501〜)</t>
        </is>
      </c>
      <c r="D69" s="10" t="inlineStr">
        <is>
          <t>Medium</t>
        </is>
      </c>
      <c r="E69" s="4" t="inlineStr">
        <is>
          <t>性能テスト環境の妥当性が確認されている</t>
        </is>
      </c>
      <c r="F69" s="4" t="inlineStr">
        <is>
          <t>性能・負荷テストを行う環境について、本番相当性(データ量・スペック)の評価と、換算が必要な場合の根拠が記述されている</t>
        </is>
      </c>
      <c r="G69" s="4" t="inlineStr">
        <is>
          <t>本番相当でない環境の性能測定値をそのまま信じると、本番投入後に性能要件未達が発覚する。換算の根拠まで求めることで測定値の誤用を防ぐ。</t>
        </is>
      </c>
      <c r="H69" s="4" t="inlineStr">
        <is>
          <t>swebok-v4a.pdf ch05 Software Testing &gt; 2.2.7 Non-functional Testing(性能・負荷テスト)/ 3.5 Usage-Based Techniques(運用環境の代表性)</t>
        </is>
      </c>
      <c r="I69" s="4" t="inlineStr">
        <is>
          <t>CORE</t>
        </is>
      </c>
      <c r="J69" s="4" t="inlineStr">
        <is>
          <t>原則適用。案件スコープ・成果物・規制・リスク上非該当の場合はN/A根拠を記録。</t>
        </is>
      </c>
      <c r="K69" s="4" t="inlineStr">
        <is>
          <t>SRC-SWEBOK-V4A</t>
        </is>
      </c>
      <c r="L69" s="4" t="inlineStr"/>
      <c r="M69" s="4" t="n"/>
      <c r="N69" s="4" t="n"/>
      <c r="O69" s="4" t="n"/>
      <c r="P69" s="4" t="n"/>
      <c r="Q69" s="4" t="n"/>
      <c r="R69" s="4" t="n"/>
      <c r="S69" s="4" t="n"/>
      <c r="T69" s="4" t="n"/>
      <c r="U69" s="4" t="n"/>
      <c r="V69" s="4" t="n"/>
      <c r="W69" s="4" t="n"/>
    </row>
    <row r="70">
      <c r="A70" s="5" t="inlineStr">
        <is>
          <t>TST-601</t>
        </is>
      </c>
      <c r="B70" s="5" t="inlineStr">
        <is>
          <t>SWEBOK</t>
        </is>
      </c>
      <c r="C70" s="4" t="inlineStr">
        <is>
          <t>7. テスト実行・インシデント管理(TST-601〜)</t>
        </is>
      </c>
      <c r="D70" s="8" t="inlineStr">
        <is>
          <t>Critical</t>
        </is>
      </c>
      <c r="E70" s="4" t="inlineStr">
        <is>
          <t>実行結果が全ケースについて記録されている</t>
        </is>
      </c>
      <c r="F70" s="4" t="inlineStr">
        <is>
          <t>全テストケースに Pass/Fail/Blocked/未実施のいずれかの結果と実施日・実施者が記録され、未実施には理由がある</t>
        </is>
      </c>
      <c r="G70" s="4" t="inlineStr">
        <is>
          <t>いつ・誰が・どの構成でテストしたかの記録が欠けると、結果の信頼性と説明責任が成立せず、未実施ケースが「実施済み」として完了判定に紛れ込む。</t>
        </is>
      </c>
      <c r="H70" s="4" t="inlineStr">
        <is>
          <t>swebok-v4a.pdf ch05 Software Testing &gt; 5.2.5 Test Incident Reporting(テストデータ収集プロセス)/ 5.1.7 Test Monitoring and Control</t>
        </is>
      </c>
      <c r="I70" s="4" t="inlineStr">
        <is>
          <t>CORE</t>
        </is>
      </c>
      <c r="J70" s="4" t="inlineStr">
        <is>
          <t>原則適用。案件スコープ・成果物・規制・リスク上非該当の場合はN/A根拠を記録。</t>
        </is>
      </c>
      <c r="K70" s="4" t="inlineStr">
        <is>
          <t>SRC-SWEBOK-V4A</t>
        </is>
      </c>
      <c r="L70" s="4" t="inlineStr"/>
      <c r="M70" s="4" t="n"/>
      <c r="N70" s="4" t="n"/>
      <c r="O70" s="4" t="n"/>
      <c r="P70" s="4" t="n"/>
      <c r="Q70" s="4" t="n"/>
      <c r="R70" s="4" t="n"/>
      <c r="S70" s="4" t="n"/>
      <c r="T70" s="4" t="n"/>
      <c r="U70" s="4" t="n"/>
      <c r="V70" s="4" t="n"/>
      <c r="W70" s="4" t="n"/>
    </row>
    <row r="71">
      <c r="A71" s="5" t="inlineStr">
        <is>
          <t>TST-602</t>
        </is>
      </c>
      <c r="B71" s="5" t="inlineStr">
        <is>
          <t>SWEBOK</t>
        </is>
      </c>
      <c r="C71" s="4" t="inlineStr">
        <is>
          <t>7. テスト実行・インシデント管理(TST-601〜)</t>
        </is>
      </c>
      <c r="D71" s="8" t="inlineStr">
        <is>
          <t>Critical</t>
        </is>
      </c>
      <c r="E71" s="4" t="inlineStr">
        <is>
          <t>不合格が全てインシデントとして起票されている</t>
        </is>
      </c>
      <c r="F71" s="4" t="inlineStr">
        <is>
          <t>Fail となった全テストケースに対応するインシデントが存在し、テストケース ID と相互に紐付いている</t>
        </is>
      </c>
      <c r="G71" s="4" t="inlineStr">
        <is>
          <t>Failの起票漏れは、発見済みの欠陥が誰にも修正されないまま本番に流出するという最悪の失敗を生む。テストケースとの相互紐付けで漏れを機械的に検出する。</t>
        </is>
      </c>
      <c r="H71" s="4" t="inlineStr">
        <is>
          <t>swebok-v4a.pdf ch05 Software Testing &gt; 5.2.5 Test Incident Reporting(問題報告システムへの記録)</t>
        </is>
      </c>
      <c r="I71" s="4" t="inlineStr">
        <is>
          <t>CORE</t>
        </is>
      </c>
      <c r="J71" s="4" t="inlineStr">
        <is>
          <t>原則適用。案件スコープ・成果物・規制・リスク上非該当の場合はN/A根拠を記録。</t>
        </is>
      </c>
      <c r="K71" s="4" t="inlineStr">
        <is>
          <t>SRC-SWEBOK-V4A</t>
        </is>
      </c>
      <c r="L71" s="4" t="inlineStr"/>
      <c r="M71" s="4" t="n"/>
      <c r="N71" s="4" t="n"/>
      <c r="O71" s="4" t="n"/>
      <c r="P71" s="4" t="n"/>
      <c r="Q71" s="4" t="n"/>
      <c r="R71" s="4" t="n"/>
      <c r="S71" s="4" t="n"/>
      <c r="T71" s="4" t="n"/>
      <c r="U71" s="4" t="n"/>
      <c r="V71" s="4" t="n"/>
      <c r="W71" s="4" t="n"/>
    </row>
    <row r="72">
      <c r="A72" s="5" t="inlineStr">
        <is>
          <t>TST-603</t>
        </is>
      </c>
      <c r="B72" s="5" t="inlineStr">
        <is>
          <t>SWEBOK</t>
        </is>
      </c>
      <c r="C72" s="4" t="inlineStr">
        <is>
          <t>7. テスト実行・インシデント管理(TST-601〜)</t>
        </is>
      </c>
      <c r="D72" s="8" t="inlineStr">
        <is>
          <t>Critical</t>
        </is>
      </c>
      <c r="E72" s="4" t="inlineStr">
        <is>
          <t>インシデント報告に再現に必要な情報が含まれている</t>
        </is>
      </c>
      <c r="F72" s="4" t="inlineStr">
        <is>
          <t>再現手順、期待結果と実際の結果、発生環境・バージョン、重要度、証跡(ログ/スクリーンショット)が記録されている</t>
        </is>
      </c>
      <c r="G72" s="4" t="inlineStr">
        <is>
          <t>再現情報が不足したインシデントは、開発者が再現調査に時間を浪費するか「再現せず」でクローズされ、欠陥が残存する。デバッグと修正の起点となる品質を担保する。</t>
        </is>
      </c>
      <c r="H72" s="4" t="inlineStr">
        <is>
          <t>swebok-v4a.pdf ch05 Software Testing &gt; 5.2.5 Test Incident Reporting</t>
        </is>
      </c>
      <c r="I72" s="4" t="inlineStr">
        <is>
          <t>CORE</t>
        </is>
      </c>
      <c r="J72" s="4" t="inlineStr">
        <is>
          <t>原則適用。案件スコープ・成果物・規制・リスク上非該当の場合はN/A根拠を記録。</t>
        </is>
      </c>
      <c r="K72" s="4" t="inlineStr">
        <is>
          <t>SRC-SWEBOK-V4A</t>
        </is>
      </c>
      <c r="L72" s="4" t="inlineStr"/>
      <c r="M72" s="4" t="n"/>
      <c r="N72" s="4" t="n"/>
      <c r="O72" s="4" t="n"/>
      <c r="P72" s="4" t="n"/>
      <c r="Q72" s="4" t="n"/>
      <c r="R72" s="4" t="n"/>
      <c r="S72" s="4" t="n"/>
      <c r="T72" s="4" t="n"/>
      <c r="U72" s="4" t="n"/>
      <c r="V72" s="4" t="n"/>
      <c r="W72" s="4" t="n"/>
    </row>
    <row r="73">
      <c r="A73" s="5" t="inlineStr">
        <is>
          <t>TST-604</t>
        </is>
      </c>
      <c r="B73" s="5" t="inlineStr">
        <is>
          <t>SWEBOK</t>
        </is>
      </c>
      <c r="C73" s="4" t="inlineStr">
        <is>
          <t>7. テスト実行・インシデント管理(TST-601〜)</t>
        </is>
      </c>
      <c r="D73" s="9" t="inlineStr">
        <is>
          <t>High</t>
        </is>
      </c>
      <c r="E73" s="4" t="inlineStr">
        <is>
          <t>事実と推定が区別されている</t>
        </is>
      </c>
      <c r="F73" s="4" t="inlineStr">
        <is>
          <t>インシデント報告で観測された事象(Failure)が事実として記述され、原因(Fault)の推定は推定と明示されている</t>
        </is>
      </c>
      <c r="G73" s="4" t="inlineStr">
        <is>
          <t>観測された事象(フェイラ)と原因(フォールト)の混同は誤った修正を誘発する。フェイラの原因は一意に特定できるとは限らないため、推定を事実と区別して記録させる。</t>
        </is>
      </c>
      <c r="H73" s="4" t="inlineStr">
        <is>
          <t>swebok-v4a.pdf ch05 Software Testing &gt; 1.1 Faults vs. Failures</t>
        </is>
      </c>
      <c r="I73" s="4" t="inlineStr">
        <is>
          <t>CORE</t>
        </is>
      </c>
      <c r="J73" s="4" t="inlineStr">
        <is>
          <t>原則適用。案件スコープ・成果物・規制・リスク上非該当の場合はN/A根拠を記録。</t>
        </is>
      </c>
      <c r="K73" s="4" t="inlineStr">
        <is>
          <t>SRC-SWEBOK-V4A</t>
        </is>
      </c>
      <c r="L73" s="4" t="inlineStr"/>
      <c r="M73" s="4" t="n"/>
      <c r="N73" s="4" t="n"/>
      <c r="O73" s="4" t="n"/>
      <c r="P73" s="4" t="n"/>
      <c r="Q73" s="4" t="n"/>
      <c r="R73" s="4" t="n"/>
      <c r="S73" s="4" t="n"/>
      <c r="T73" s="4" t="n"/>
      <c r="U73" s="4" t="n"/>
      <c r="V73" s="4" t="n"/>
      <c r="W73" s="4" t="n"/>
    </row>
    <row r="74">
      <c r="A74" s="5" t="inlineStr">
        <is>
          <t>TST-605</t>
        </is>
      </c>
      <c r="B74" s="5" t="inlineStr">
        <is>
          <t>SWEBOK</t>
        </is>
      </c>
      <c r="C74" s="4" t="inlineStr">
        <is>
          <t>7. テスト実行・インシデント管理(TST-601〜)</t>
        </is>
      </c>
      <c r="D74" s="9" t="inlineStr">
        <is>
          <t>High</t>
        </is>
      </c>
      <c r="E74" s="4" t="inlineStr">
        <is>
          <t>修正確認と回帰テストが実施されている</t>
        </is>
      </c>
      <c r="F74" s="4" t="inlineStr">
        <is>
          <t>修正されたインシデントについて、当該テストの再実行結果と、影響範囲に対する回帰テストの実施記録がある</t>
        </is>
      </c>
      <c r="G74" s="4" t="inlineStr">
        <is>
          <t>修正は新たな欠陥を混入させ得る。当該テストの再実行だけで回帰テストを省くと、修正の副作用による意図しないデグレードが検証されないままになる。</t>
        </is>
      </c>
      <c r="H74" s="4" t="inlineStr">
        <is>
          <t>swebok-v4a.pdf ch05 Software Testing &gt; 2.2.5 Regression Testing</t>
        </is>
      </c>
      <c r="I74" s="4" t="inlineStr">
        <is>
          <t>CORE</t>
        </is>
      </c>
      <c r="J74" s="4" t="inlineStr">
        <is>
          <t>原則適用。案件スコープ・成果物・規制・リスク上非該当の場合はN/A根拠を記録。</t>
        </is>
      </c>
      <c r="K74" s="4" t="inlineStr">
        <is>
          <t>SRC-SWEBOK-V4A</t>
        </is>
      </c>
      <c r="L74" s="4" t="inlineStr"/>
      <c r="M74" s="4" t="n"/>
      <c r="N74" s="4" t="n"/>
      <c r="O74" s="4" t="n"/>
      <c r="P74" s="4" t="n"/>
      <c r="Q74" s="4" t="n"/>
      <c r="R74" s="4" t="n"/>
      <c r="S74" s="4" t="n"/>
      <c r="T74" s="4" t="n"/>
      <c r="U74" s="4" t="n"/>
      <c r="V74" s="4" t="n"/>
      <c r="W74" s="4" t="n"/>
    </row>
    <row r="75">
      <c r="A75" s="5" t="inlineStr">
        <is>
          <t>TST-606</t>
        </is>
      </c>
      <c r="B75" s="5" t="inlineStr">
        <is>
          <t>SWEBOK</t>
        </is>
      </c>
      <c r="C75" s="4" t="inlineStr">
        <is>
          <t>7. テスト実行・インシデント管理(TST-601〜)</t>
        </is>
      </c>
      <c r="D75" s="9" t="inlineStr">
        <is>
          <t>High</t>
        </is>
      </c>
      <c r="E75" s="4" t="inlineStr">
        <is>
          <t>インシデントの重要度判定基準が定義されている</t>
        </is>
      </c>
      <c r="F75" s="4" t="inlineStr">
        <is>
          <t>Critical/High/Medium/Low 等の重要度が、影響(業務停止、データ破損等)に基づく客観的基準で定義されている</t>
        </is>
      </c>
      <c r="G75" s="4" t="inlineStr">
        <is>
          <t>重要度基準が主観的だと、起票者ごとに判定が揺れて重大障害が Medium に埋もれ、修正の優先順位付けと完了判定(Critical ゼロ等)が機能しなくなる。</t>
        </is>
      </c>
      <c r="H75" s="4" t="inlineStr">
        <is>
          <t>swebok-v4a.pdf ch05 Software Testing &gt; 4.1.2 Fault Types, Classification and Statistics(実務補完: 重要度判定基準)</t>
        </is>
      </c>
      <c r="I75" s="4" t="inlineStr">
        <is>
          <t>CORE</t>
        </is>
      </c>
      <c r="J75" s="4" t="inlineStr">
        <is>
          <t>原則適用。案件スコープ・成果物・規制・リスク上非該当の場合はN/A根拠を記録。</t>
        </is>
      </c>
      <c r="K75" s="4" t="inlineStr">
        <is>
          <t>SRC-SWEBOK-V4A;SRC-PRACTICE</t>
        </is>
      </c>
      <c r="L75" s="4" t="inlineStr"/>
      <c r="M75" s="4" t="n"/>
      <c r="N75" s="4" t="n"/>
      <c r="O75" s="4" t="n"/>
      <c r="P75" s="4" t="n"/>
      <c r="Q75" s="4" t="n"/>
      <c r="R75" s="4" t="n"/>
      <c r="S75" s="4" t="n"/>
      <c r="T75" s="4" t="n"/>
      <c r="U75" s="4" t="n"/>
      <c r="V75" s="4" t="n"/>
      <c r="W75" s="4" t="n"/>
    </row>
    <row r="76">
      <c r="A76" s="5" t="inlineStr">
        <is>
          <t>TST-607</t>
        </is>
      </c>
      <c r="B76" s="5" t="inlineStr">
        <is>
          <t>SWEBOK</t>
        </is>
      </c>
      <c r="C76" s="4" t="inlineStr">
        <is>
          <t>7. テスト実行・インシデント管理(TST-601〜)</t>
        </is>
      </c>
      <c r="D76" s="10" t="inlineStr">
        <is>
          <t>Medium</t>
        </is>
      </c>
      <c r="E76" s="4" t="inlineStr">
        <is>
          <t>Blocked ケースの障害要因が管理されている</t>
        </is>
      </c>
      <c r="F76" s="4" t="inlineStr">
        <is>
          <t>Blocked となったテストの阻害要因(環境障害、先行障害等)と解消見込みが記録されている</t>
        </is>
      </c>
      <c r="G76" s="4" t="inlineStr">
        <is>
          <t>Blocked の阻害要因を管理しないと、環境障害や先行欠陥の解消が放置されて未実施ケースが終盤に山積し、スケジュール破綻が突然表面化する。</t>
        </is>
      </c>
      <c r="H76" s="4" t="inlineStr">
        <is>
          <t>swebok-v4a.pdf ch05 Software Testing &gt; 5.1.7 Test Monitoring and Control</t>
        </is>
      </c>
      <c r="I76" s="4" t="inlineStr">
        <is>
          <t>CORE</t>
        </is>
      </c>
      <c r="J76" s="4" t="inlineStr">
        <is>
          <t>原則適用。案件スコープ・成果物・規制・リスク上非該当の場合はN/A根拠を記録。</t>
        </is>
      </c>
      <c r="K76" s="4" t="inlineStr">
        <is>
          <t>SRC-SWEBOK-V4A</t>
        </is>
      </c>
      <c r="L76" s="4" t="inlineStr"/>
      <c r="M76" s="4" t="n"/>
      <c r="N76" s="4" t="n"/>
      <c r="O76" s="4" t="n"/>
      <c r="P76" s="4" t="n"/>
      <c r="Q76" s="4" t="n"/>
      <c r="R76" s="4" t="n"/>
      <c r="S76" s="4" t="n"/>
      <c r="T76" s="4" t="n"/>
      <c r="U76" s="4" t="n"/>
      <c r="V76" s="4" t="n"/>
      <c r="W76" s="4" t="n"/>
    </row>
    <row r="77">
      <c r="A77" s="5" t="inlineStr">
        <is>
          <t>TST-608</t>
        </is>
      </c>
      <c r="B77" s="5" t="inlineStr">
        <is>
          <t>SWEBOK</t>
        </is>
      </c>
      <c r="C77" s="4" t="inlineStr">
        <is>
          <t>7. テスト実行・インシデント管理(TST-601〜)</t>
        </is>
      </c>
      <c r="D77" s="10" t="inlineStr">
        <is>
          <t>Medium</t>
        </is>
      </c>
      <c r="E77" s="4" t="inlineStr">
        <is>
          <t>テスト進捗が監視されている</t>
        </is>
      </c>
      <c r="F77" s="4" t="inlineStr">
        <is>
          <t>消化率・合格率・障害発生数の推移が定期的に記録され、計画からの乖離時の対応が確認できる</t>
        </is>
      </c>
      <c r="G77" s="4" t="inlineStr">
        <is>
          <t>進捗と障害発生の推移を監視しないと、計画からの乖離やリスクの高まりに気づくのが手遅れになり、計画見直しの機会を失う。監視データは計画改訂の入力でもある。</t>
        </is>
      </c>
      <c r="H77" s="4" t="inlineStr">
        <is>
          <t>swebok-v4a.pdf ch05 Software Testing &gt; 5.1.6 Test Process Measures / 5.1.7 Test Monitoring and Control</t>
        </is>
      </c>
      <c r="I77" s="4" t="inlineStr">
        <is>
          <t>CORE</t>
        </is>
      </c>
      <c r="J77" s="4" t="inlineStr">
        <is>
          <t>原則適用。案件スコープ・成果物・規制・リスク上非該当の場合はN/A根拠を記録。</t>
        </is>
      </c>
      <c r="K77" s="4" t="inlineStr">
        <is>
          <t>SRC-SWEBOK-V4A</t>
        </is>
      </c>
      <c r="L77" s="4" t="inlineStr">
        <is>
          <t>OPS-OBSERVABILITY</t>
        </is>
      </c>
      <c r="M77" s="4" t="n"/>
      <c r="N77" s="4" t="n"/>
      <c r="O77" s="4" t="n"/>
      <c r="P77" s="4" t="n"/>
      <c r="Q77" s="4" t="n"/>
      <c r="R77" s="4" t="n"/>
      <c r="S77" s="4" t="n"/>
      <c r="T77" s="4" t="n"/>
      <c r="U77" s="4" t="n"/>
      <c r="V77" s="4" t="n"/>
      <c r="W77" s="4" t="n"/>
    </row>
    <row r="78">
      <c r="A78" s="5" t="inlineStr">
        <is>
          <t>TST-701</t>
        </is>
      </c>
      <c r="B78" s="5" t="inlineStr">
        <is>
          <t>SWEBOK</t>
        </is>
      </c>
      <c r="C78" s="4" t="inlineStr">
        <is>
          <t>8. テスト測定・網羅性評価(TST-701〜)</t>
        </is>
      </c>
      <c r="D78" s="8" t="inlineStr">
        <is>
          <t>Critical</t>
        </is>
      </c>
      <c r="E78" s="4" t="inlineStr">
        <is>
          <t>要求カバレッジが測定されている</t>
        </is>
      </c>
      <c r="F78" s="4" t="inlineStr">
        <is>
          <t>要求(機能・非機能)に対するテストケースの対応率が算出され、未カバー要求がゼロ、または対象外の根拠が記録されている</t>
        </is>
      </c>
      <c r="G78" s="4" t="inlineStr">
        <is>
          <t>要求カバレッジを測らないと、実装されたのに一度も検証されない要求が残り、「テスト完了」の宣言が要求充足の根拠を持たなくなる。</t>
        </is>
      </c>
      <c r="H78" s="4" t="inlineStr">
        <is>
          <t>swebok-v4a.pdf ch05 Software Testing &gt; 4. Test-Related Measures(機能要求カバレッジ)/ 5.1.7 Test Monitoring and Control</t>
        </is>
      </c>
      <c r="I78" s="4" t="inlineStr">
        <is>
          <t>CORE</t>
        </is>
      </c>
      <c r="J78" s="4" t="inlineStr">
        <is>
          <t>原則適用。案件スコープ・成果物・規制・リスク上非該当の場合はN/A根拠を記録。</t>
        </is>
      </c>
      <c r="K78" s="4" t="inlineStr">
        <is>
          <t>SRC-SWEBOK-V4A</t>
        </is>
      </c>
      <c r="L78" s="4" t="inlineStr"/>
      <c r="M78" s="4" t="n"/>
      <c r="N78" s="4" t="n"/>
      <c r="O78" s="4" t="n"/>
      <c r="P78" s="4" t="n"/>
      <c r="Q78" s="4" t="n"/>
      <c r="R78" s="4" t="n"/>
      <c r="S78" s="4" t="n"/>
      <c r="T78" s="4" t="n"/>
      <c r="U78" s="4" t="n"/>
      <c r="V78" s="4" t="n"/>
      <c r="W78" s="4" t="n"/>
    </row>
    <row r="79">
      <c r="A79" s="5" t="inlineStr">
        <is>
          <t>TST-702</t>
        </is>
      </c>
      <c r="B79" s="5" t="inlineStr">
        <is>
          <t>SWEBOK</t>
        </is>
      </c>
      <c r="C79" s="4" t="inlineStr">
        <is>
          <t>8. テスト測定・網羅性評価(TST-701〜)</t>
        </is>
      </c>
      <c r="D79" s="9" t="inlineStr">
        <is>
          <t>High</t>
        </is>
      </c>
      <c r="E79" s="4" t="inlineStr">
        <is>
          <t>コードカバレッジが基準と比較されている</t>
        </is>
      </c>
      <c r="F79" s="4" t="inlineStr">
        <is>
          <t>計画で定めた構造網羅基準(文/分岐等)に対する実績値が測定され、未達の場合は追加テストまたは受容の判断が記録されている</t>
        </is>
      </c>
      <c r="G79" s="4" t="inlineStr">
        <is>
          <t>基準だけ定めて実績と比較しなければ網羅基準は形骸化する。未達を放置するか受容するかの判断記録がないと、完了判定の根拠が崩れる。</t>
        </is>
      </c>
      <c r="H79" s="4" t="inlineStr">
        <is>
          <t>swebok-v4a.pdf ch05 Software Testing &gt; 3.2.1 Control Flow Testing / 4. Test-Related Measures</t>
        </is>
      </c>
      <c r="I79" s="4" t="inlineStr">
        <is>
          <t>CORE</t>
        </is>
      </c>
      <c r="J79" s="4" t="inlineStr">
        <is>
          <t>原則適用。案件スコープ・成果物・規制・リスク上非該当の場合はN/A根拠を記録。</t>
        </is>
      </c>
      <c r="K79" s="4" t="inlineStr">
        <is>
          <t>SRC-SWEBOK-V4A</t>
        </is>
      </c>
      <c r="L79" s="4" t="inlineStr"/>
      <c r="M79" s="4" t="n"/>
      <c r="N79" s="4" t="n"/>
      <c r="O79" s="4" t="n"/>
      <c r="P79" s="4" t="n"/>
      <c r="Q79" s="4" t="n"/>
      <c r="R79" s="4" t="n"/>
      <c r="S79" s="4" t="n"/>
      <c r="T79" s="4" t="n"/>
      <c r="U79" s="4" t="n"/>
      <c r="V79" s="4" t="n"/>
      <c r="W79" s="4" t="n"/>
    </row>
    <row r="80">
      <c r="A80" s="5" t="inlineStr">
        <is>
          <t>TST-703</t>
        </is>
      </c>
      <c r="B80" s="5" t="inlineStr">
        <is>
          <t>SWEBOK</t>
        </is>
      </c>
      <c r="C80" s="4" t="inlineStr">
        <is>
          <t>8. テスト測定・網羅性評価(TST-701〜)</t>
        </is>
      </c>
      <c r="D80" s="9" t="inlineStr">
        <is>
          <t>High</t>
        </is>
      </c>
      <c r="E80" s="4" t="inlineStr">
        <is>
          <t>カバレッジ未達箇所が分析されている</t>
        </is>
      </c>
      <c r="F80" s="4" t="inlineStr">
        <is>
          <t>カバレッジから漏れたコード・仕様について、実行不可能パス/対象外/テスト追加のいずれかの分類と根拠が記録されている</t>
        </is>
      </c>
      <c r="G80" s="4" t="inlineStr">
        <is>
          <t>未達箇所には実行不可能パスも含まれるため、分類せずに数値だけ追うと無駄なテスト追加や、逆に本来テストすべき箇所の見逃しが起きる。</t>
        </is>
      </c>
      <c r="H80" s="4" t="inlineStr">
        <is>
          <t>swebok-v4a.pdf ch05 Software Testing &gt; 1.2.9 The Problem of Infeasible Paths / 4. Test-Related Measures</t>
        </is>
      </c>
      <c r="I80" s="4" t="inlineStr">
        <is>
          <t>CORE</t>
        </is>
      </c>
      <c r="J80" s="4" t="inlineStr">
        <is>
          <t>原則適用。案件スコープ・成果物・規制・リスク上非該当の場合はN/A根拠を記録。</t>
        </is>
      </c>
      <c r="K80" s="4" t="inlineStr">
        <is>
          <t>SRC-SWEBOK-V4A</t>
        </is>
      </c>
      <c r="L80" s="4" t="inlineStr"/>
      <c r="M80" s="4" t="n"/>
      <c r="N80" s="4" t="n"/>
      <c r="O80" s="4" t="n"/>
      <c r="P80" s="4" t="n"/>
      <c r="Q80" s="4" t="n"/>
      <c r="R80" s="4" t="n"/>
      <c r="S80" s="4" t="n"/>
      <c r="T80" s="4" t="n"/>
      <c r="U80" s="4" t="n"/>
      <c r="V80" s="4" t="n"/>
      <c r="W80" s="4" t="n"/>
    </row>
    <row r="81">
      <c r="A81" s="5" t="inlineStr">
        <is>
          <t>TST-704</t>
        </is>
      </c>
      <c r="B81" s="5" t="inlineStr">
        <is>
          <t>SWEBOK</t>
        </is>
      </c>
      <c r="C81" s="4" t="inlineStr">
        <is>
          <t>8. テスト測定・網羅性評価(TST-701〜)</t>
        </is>
      </c>
      <c r="D81" s="10" t="inlineStr">
        <is>
          <t>Medium</t>
        </is>
      </c>
      <c r="E81" s="4" t="inlineStr">
        <is>
          <t>障害の傾向分析が行われている</t>
        </is>
      </c>
      <c r="F81" s="4" t="inlineStr">
        <is>
          <t>検出障害が分類(機能別、原因別、混入工程別等)され、障害密度や収束傾向が品質評価に使われている</t>
        </is>
      </c>
      <c r="G81" s="4" t="inlineStr">
        <is>
          <t>障害を分類・分析しないと、欠陥の多発領域や混入工程が見えず、品質予測もプロセス改善も勘頼みになる。過去の欠陥傾向は次のテスト重点化の最良の入力でもある。</t>
        </is>
      </c>
      <c r="H81" s="4" t="inlineStr">
        <is>
          <t>swebok-v4a.pdf ch05 Software Testing &gt; 4.1.2 Fault Types, Classification and Statistics / 4.1.3 Fault Density</t>
        </is>
      </c>
      <c r="I81" s="4" t="inlineStr">
        <is>
          <t>CORE</t>
        </is>
      </c>
      <c r="J81" s="4" t="inlineStr">
        <is>
          <t>原則適用。案件スコープ・成果物・規制・リスク上非該当の場合はN/A根拠を記録。</t>
        </is>
      </c>
      <c r="K81" s="4" t="inlineStr">
        <is>
          <t>SRC-SWEBOK-V4A</t>
        </is>
      </c>
      <c r="L81" s="4" t="inlineStr"/>
      <c r="M81" s="4" t="n"/>
      <c r="N81" s="4" t="n"/>
      <c r="O81" s="4" t="n"/>
      <c r="P81" s="4" t="n"/>
      <c r="Q81" s="4" t="n"/>
      <c r="R81" s="4" t="n"/>
      <c r="S81" s="4" t="n"/>
      <c r="T81" s="4" t="n"/>
      <c r="U81" s="4" t="n"/>
      <c r="V81" s="4" t="n"/>
      <c r="W81" s="4" t="n"/>
    </row>
    <row r="82">
      <c r="A82" s="5" t="inlineStr">
        <is>
          <t>TST-705</t>
        </is>
      </c>
      <c r="B82" s="5" t="inlineStr">
        <is>
          <t>SWEBOK</t>
        </is>
      </c>
      <c r="C82" s="4" t="inlineStr">
        <is>
          <t>8. テスト測定・網羅性評価(TST-701〜)</t>
        </is>
      </c>
      <c r="D82" s="10" t="inlineStr">
        <is>
          <t>Medium</t>
        </is>
      </c>
      <c r="E82" s="4" t="inlineStr">
        <is>
          <t>テストスイート自体の有効性評価が検討されている</t>
        </is>
      </c>
      <c r="F82" s="4" t="inlineStr">
        <is>
          <t>変異テスト・故障注入等によるテスト有効性評価の実施有無が判断され、実施した場合は変異スコア等の結果が記録されている</t>
        </is>
      </c>
      <c r="G82" s="4" t="inlineStr">
        <is>
          <t>カバレッジが高くてもアサーションが弱ければ欠陥は素通りする。変異テスト・故障注入はテストスイート自体の欠陥検出力を測る手段であり、検討すらしないと検出力の過信が残る。</t>
        </is>
      </c>
      <c r="H82" s="4" t="inlineStr">
        <is>
          <t>swebok-v4a.pdf ch05 Software Testing &gt; 4.2 Evaluation of the Tests Performed(4.2.1 Fault Injection / 4.2.2 Mutation Score)/ 3.4 Fault-Based and Mutation Techniques</t>
        </is>
      </c>
      <c r="I82" s="4" t="inlineStr">
        <is>
          <t>CORE</t>
        </is>
      </c>
      <c r="J82" s="4" t="inlineStr">
        <is>
          <t>原則適用。案件スコープ・成果物・規制・リスク上非該当の場合はN/A根拠を記録。</t>
        </is>
      </c>
      <c r="K82" s="4" t="inlineStr">
        <is>
          <t>SRC-SWEBOK-V4A</t>
        </is>
      </c>
      <c r="L82" s="4" t="inlineStr"/>
      <c r="M82" s="4" t="n"/>
      <c r="N82" s="4" t="n"/>
      <c r="O82" s="4" t="n"/>
      <c r="P82" s="4" t="n"/>
      <c r="Q82" s="4" t="n"/>
      <c r="R82" s="4" t="n"/>
      <c r="S82" s="4" t="n"/>
      <c r="T82" s="4" t="n"/>
      <c r="U82" s="4" t="n"/>
      <c r="V82" s="4" t="n"/>
      <c r="W82" s="4" t="n"/>
    </row>
    <row r="83">
      <c r="A83" s="5" t="inlineStr">
        <is>
          <t>TST-706</t>
        </is>
      </c>
      <c r="B83" s="5" t="inlineStr">
        <is>
          <t>SWEBOK</t>
        </is>
      </c>
      <c r="C83" s="4" t="inlineStr">
        <is>
          <t>8. テスト測定・網羅性評価(TST-701〜)</t>
        </is>
      </c>
      <c r="D83" s="11" t="inlineStr">
        <is>
          <t>Low</t>
        </is>
      </c>
      <c r="E83" s="4" t="inlineStr">
        <is>
          <t>カバレッジの限界が報告に明記されている</t>
        </is>
      </c>
      <c r="F83" s="4" t="inlineStr">
        <is>
          <t>報告書に「カバレッジ達成は欠陥不在の証明ではない」旨、または残存リスクとしての言及がある</t>
        </is>
      </c>
      <c r="G83" s="4" t="inlineStr">
        <is>
          <t>「テストはバグの存在は示せるが不在は示せない」(Dijkstra)という理論的限界を報告で明示しないと、カバレッジ達成が品質保証の完了だと経営層が誤解し、残存リスクへの備えを怠る。</t>
        </is>
      </c>
      <c r="H83" s="4" t="inlineStr">
        <is>
          <t>swebok-v4a.pdf ch05 Software Testing &gt; 1.2.8 Theoretical and Practical Limitations</t>
        </is>
      </c>
      <c r="I83" s="4" t="inlineStr">
        <is>
          <t>CORE</t>
        </is>
      </c>
      <c r="J83" s="4" t="inlineStr">
        <is>
          <t>原則適用。案件スコープ・成果物・規制・リスク上非該当の場合はN/A根拠を記録。</t>
        </is>
      </c>
      <c r="K83" s="4" t="inlineStr">
        <is>
          <t>SRC-SWEBOK-V4A</t>
        </is>
      </c>
      <c r="L83" s="4" t="inlineStr"/>
      <c r="M83" s="4" t="n"/>
      <c r="N83" s="4" t="n"/>
      <c r="O83" s="4" t="n"/>
      <c r="P83" s="4" t="n"/>
      <c r="Q83" s="4" t="n"/>
      <c r="R83" s="4" t="n"/>
      <c r="S83" s="4" t="n"/>
      <c r="T83" s="4" t="n"/>
      <c r="U83" s="4" t="n"/>
      <c r="V83" s="4" t="n"/>
      <c r="W83" s="4" t="n"/>
    </row>
    <row r="84">
      <c r="A84" s="5" t="inlineStr">
        <is>
          <t>TST-801</t>
        </is>
      </c>
      <c r="B84" s="5" t="inlineStr">
        <is>
          <t>SWEBOK</t>
        </is>
      </c>
      <c r="C84" s="4" t="inlineStr">
        <is>
          <t>9. テスト結果報告・完了判定(TST-801〜)</t>
        </is>
      </c>
      <c r="D84" s="8" t="inlineStr">
        <is>
          <t>Critical</t>
        </is>
      </c>
      <c r="E84" s="4" t="inlineStr">
        <is>
          <t>終了基準に対する達成状況が報告されている</t>
        </is>
      </c>
      <c r="F84" s="4" t="inlineStr">
        <is>
          <t>計画書の終了基準の各項目について達成/未達成が個別に判定され、根拠データが示されている</t>
        </is>
      </c>
      <c r="G84" s="4" t="inlineStr">
        <is>
          <t>終了基準への達成状況を項目別に判定しないと、「概ね完了」という曖昧な総括で未達が隠れ、テスト完了の判断が計画と切り離された恣意的なものになる。</t>
        </is>
      </c>
      <c r="H84" s="4" t="inlineStr">
        <is>
          <t>swebok-v4a.pdf ch05 Software Testing &gt; 5.1.8 Test Completion</t>
        </is>
      </c>
      <c r="I84" s="4" t="inlineStr">
        <is>
          <t>CORE</t>
        </is>
      </c>
      <c r="J84" s="4" t="inlineStr">
        <is>
          <t>原則適用。案件スコープ・成果物・規制・リスク上非該当の場合はN/A根拠を記録。</t>
        </is>
      </c>
      <c r="K84" s="4" t="inlineStr">
        <is>
          <t>SRC-SWEBOK-V4A</t>
        </is>
      </c>
      <c r="L84" s="4" t="inlineStr"/>
      <c r="M84" s="4" t="n"/>
      <c r="N84" s="4" t="n"/>
      <c r="O84" s="4" t="n"/>
      <c r="P84" s="4" t="n"/>
      <c r="Q84" s="4" t="n"/>
      <c r="R84" s="4" t="n"/>
      <c r="S84" s="4" t="n"/>
      <c r="T84" s="4" t="n"/>
      <c r="U84" s="4" t="n"/>
      <c r="V84" s="4" t="n"/>
      <c r="W84" s="4" t="n"/>
    </row>
    <row r="85">
      <c r="A85" s="5" t="inlineStr">
        <is>
          <t>TST-802</t>
        </is>
      </c>
      <c r="B85" s="5" t="inlineStr">
        <is>
          <t>SWEBOK</t>
        </is>
      </c>
      <c r="C85" s="4" t="inlineStr">
        <is>
          <t>9. テスト結果報告・完了判定(TST-801〜)</t>
        </is>
      </c>
      <c r="D85" s="8" t="inlineStr">
        <is>
          <t>Critical</t>
        </is>
      </c>
      <c r="E85" s="4" t="inlineStr">
        <is>
          <t>残存障害と残存リスクが明記されている</t>
        </is>
      </c>
      <c r="F85" s="4" t="inlineStr">
        <is>
          <t>未解決インシデントの一覧(重要度付き)と、未実施・未達成に起因する残存リスクが報告書に記載されている</t>
        </is>
      </c>
      <c r="G85" s="4" t="inlineStr">
        <is>
          <t>残存障害と残存リスクを明示しないと、リリース判断者がリスクを知らずに判断することになり、本番障害発生時に「知らされていなかった」という組織的問題に発展する。</t>
        </is>
      </c>
      <c r="H85" s="4" t="inlineStr">
        <is>
          <t>swebok-v4a.pdf ch05 Software Testing &gt; 5.1.8 Test Completion(残存フェイラのコストとリスクの考慮)</t>
        </is>
      </c>
      <c r="I85" s="4" t="inlineStr">
        <is>
          <t>CORE</t>
        </is>
      </c>
      <c r="J85" s="4" t="inlineStr">
        <is>
          <t>原則適用。案件スコープ・成果物・規制・リスク上非該当の場合はN/A根拠を記録。</t>
        </is>
      </c>
      <c r="K85" s="4" t="inlineStr">
        <is>
          <t>SRC-SWEBOK-V4A</t>
        </is>
      </c>
      <c r="L85" s="4" t="inlineStr"/>
      <c r="M85" s="4" t="n"/>
      <c r="N85" s="4" t="n"/>
      <c r="O85" s="4" t="n"/>
      <c r="P85" s="4" t="n"/>
      <c r="Q85" s="4" t="n"/>
      <c r="R85" s="4" t="n"/>
      <c r="S85" s="4" t="n"/>
      <c r="T85" s="4" t="n"/>
      <c r="U85" s="4" t="n"/>
      <c r="V85" s="4" t="n"/>
      <c r="W85" s="4" t="n"/>
    </row>
    <row r="86">
      <c r="A86" s="5" t="inlineStr">
        <is>
          <t>TST-803</t>
        </is>
      </c>
      <c r="B86" s="5" t="inlineStr">
        <is>
          <t>SWEBOK</t>
        </is>
      </c>
      <c r="C86" s="4" t="inlineStr">
        <is>
          <t>9. テスト結果報告・完了判定(TST-801〜)</t>
        </is>
      </c>
      <c r="D86" s="8" t="inlineStr">
        <is>
          <t>Critical</t>
        </is>
      </c>
      <c r="E86" s="4" t="inlineStr">
        <is>
          <t>未達成項目の受容判断が承認されている</t>
        </is>
      </c>
      <c r="F86" s="4" t="inlineStr">
        <is>
          <t>終了基準未達・残存障害ありのままリリースする場合、受容の判断者・日付・根拠が記録されている</t>
        </is>
      </c>
      <c r="G86" s="4" t="inlineStr">
        <is>
          <t>未達のままのリリースは残存リスクの受容判断であり、判断者・根拠の記録がないと責任の所在が曖昧なままリスクだけが引き継がれる。</t>
        </is>
      </c>
      <c r="H86" s="4" t="inlineStr">
        <is>
          <t>swebok-v4a.pdf ch05 Software Testing &gt; 5.1.8 Test Completion(実務補完: リスク受容の承認記録)</t>
        </is>
      </c>
      <c r="I86" s="4" t="inlineStr">
        <is>
          <t>CORE</t>
        </is>
      </c>
      <c r="J86" s="4" t="inlineStr">
        <is>
          <t>原則適用。案件スコープ・成果物・規制・リスク上非該当の場合はN/A根拠を記録。</t>
        </is>
      </c>
      <c r="K86" s="4" t="inlineStr">
        <is>
          <t>SRC-SWEBOK-V4A;SRC-PRACTICE</t>
        </is>
      </c>
      <c r="L86" s="4" t="inlineStr"/>
      <c r="M86" s="4" t="n"/>
      <c r="N86" s="4" t="n"/>
      <c r="O86" s="4" t="n"/>
      <c r="P86" s="4" t="n"/>
      <c r="Q86" s="4" t="n"/>
      <c r="R86" s="4" t="n"/>
      <c r="S86" s="4" t="n"/>
      <c r="T86" s="4" t="n"/>
      <c r="U86" s="4" t="n"/>
      <c r="V86" s="4" t="n"/>
      <c r="W86" s="4" t="n"/>
    </row>
    <row r="87">
      <c r="A87" s="5" t="inlineStr">
        <is>
          <t>TST-804</t>
        </is>
      </c>
      <c r="B87" s="5" t="inlineStr">
        <is>
          <t>SWEBOK</t>
        </is>
      </c>
      <c r="C87" s="4" t="inlineStr">
        <is>
          <t>9. テスト結果報告・完了判定(TST-801〜)</t>
        </is>
      </c>
      <c r="D87" s="9" t="inlineStr">
        <is>
          <t>High</t>
        </is>
      </c>
      <c r="E87" s="4" t="inlineStr">
        <is>
          <t>実施統計が正確に集計されている</t>
        </is>
      </c>
      <c r="F87" s="4" t="inlineStr">
        <is>
          <t>計画/実施/合格/不合格/Blocked の件数がテストケースの実行記録と一致している(抜き取り確認で矛盾がない)</t>
        </is>
      </c>
      <c r="G87" s="4" t="inlineStr">
        <is>
          <t>報告書の統計が実行記録と食い違っていると、報告全体の信頼性が崩れ、それに基づくリリース判断も誤る。集計の正確性は完了報告の最低条件。</t>
        </is>
      </c>
      <c r="H87" s="4" t="inlineStr">
        <is>
          <t>swebok-v4a.pdf ch05 Software Testing &gt; 5.1.6 Test Process Measures(実施・合格・不合格件数の測定)</t>
        </is>
      </c>
      <c r="I87" s="4" t="inlineStr">
        <is>
          <t>CORE</t>
        </is>
      </c>
      <c r="J87" s="4" t="inlineStr">
        <is>
          <t>原則適用。案件スコープ・成果物・規制・リスク上非該当の場合はN/A根拠を記録。</t>
        </is>
      </c>
      <c r="K87" s="4" t="inlineStr">
        <is>
          <t>SRC-SWEBOK-V4A</t>
        </is>
      </c>
      <c r="L87" s="4" t="inlineStr"/>
      <c r="M87" s="4" t="n"/>
      <c r="N87" s="4" t="n"/>
      <c r="O87" s="4" t="n"/>
      <c r="P87" s="4" t="n"/>
      <c r="Q87" s="4" t="n"/>
      <c r="R87" s="4" t="n"/>
      <c r="S87" s="4" t="n"/>
      <c r="T87" s="4" t="n"/>
      <c r="U87" s="4" t="n"/>
      <c r="V87" s="4" t="n"/>
      <c r="W87" s="4" t="n"/>
    </row>
    <row r="88">
      <c r="A88" s="5" t="inlineStr">
        <is>
          <t>TST-805</t>
        </is>
      </c>
      <c r="B88" s="5" t="inlineStr">
        <is>
          <t>SWEBOK</t>
        </is>
      </c>
      <c r="C88" s="4" t="inlineStr">
        <is>
          <t>9. テスト結果報告・完了判定(TST-801〜)</t>
        </is>
      </c>
      <c r="D88" s="9" t="inlineStr">
        <is>
          <t>High</t>
        </is>
      </c>
      <c r="E88" s="4" t="inlineStr">
        <is>
          <t>対象バージョンと環境が特定されている</t>
        </is>
      </c>
      <c r="F88" s="4" t="inlineStr">
        <is>
          <t>報告対象の SUT のバージョン(コミット/タグ)とテスト環境が一意に特定できる</t>
        </is>
      </c>
      <c r="G88" s="4" t="inlineStr">
        <is>
          <t>SUTのバージョンと環境が特定できない結果は、その後の変更でどこまで有効か判断できず、障害調査時に「どの版で確認済みか」を辿れない。</t>
        </is>
      </c>
      <c r="H88" s="4" t="inlineStr">
        <is>
          <t>swebok-v4a.pdf ch05 Software Testing &gt; 5.2.4 Controlled Experiments and Test Execution(明確に定義された版のSUT)/ 5.2.5 Test Incident Reporting</t>
        </is>
      </c>
      <c r="I88" s="4" t="inlineStr">
        <is>
          <t>CORE</t>
        </is>
      </c>
      <c r="J88" s="4" t="inlineStr">
        <is>
          <t>原則適用。案件スコープ・成果物・規制・リスク上非該当の場合はN/A根拠を記録。</t>
        </is>
      </c>
      <c r="K88" s="4" t="inlineStr">
        <is>
          <t>SRC-SWEBOK-V4A</t>
        </is>
      </c>
      <c r="L88" s="4" t="inlineStr"/>
      <c r="M88" s="4" t="n"/>
      <c r="N88" s="4" t="n"/>
      <c r="O88" s="4" t="n"/>
      <c r="P88" s="4" t="n"/>
      <c r="Q88" s="4" t="n"/>
      <c r="R88" s="4" t="n"/>
      <c r="S88" s="4" t="n"/>
      <c r="T88" s="4" t="n"/>
      <c r="U88" s="4" t="n"/>
      <c r="V88" s="4" t="n"/>
      <c r="W88" s="4" t="n"/>
    </row>
    <row r="89">
      <c r="A89" s="5" t="inlineStr">
        <is>
          <t>TST-806</t>
        </is>
      </c>
      <c r="B89" s="5" t="inlineStr">
        <is>
          <t>SWEBOK</t>
        </is>
      </c>
      <c r="C89" s="4" t="inlineStr">
        <is>
          <t>9. テスト結果報告・完了判定(TST-801〜)</t>
        </is>
      </c>
      <c r="D89" s="10" t="inlineStr">
        <is>
          <t>Medium</t>
        </is>
      </c>
      <c r="E89" s="4" t="inlineStr">
        <is>
          <t>リリース可否の推奨が根拠付きで記述されている</t>
        </is>
      </c>
      <c r="F89" s="4" t="inlineStr">
        <is>
          <t>総合判定(可/条件付き可/不可)とその根拠(基準達成状況、残存リスク評価)が2文以上で記述されている</t>
        </is>
      </c>
      <c r="G89" s="4" t="inlineStr">
        <is>
          <t>データの羅列だけでは判断は読み手任せになる。根拠付きの推奨がないと、テスト結果がリリース判断に反映されず報告が形式化する。</t>
        </is>
      </c>
      <c r="H89" s="4" t="inlineStr">
        <is>
          <t>swebok-v4a.pdf ch05 Software Testing &gt; 5.1.8 Test Completion(結果のステークホルダーへの伝達)</t>
        </is>
      </c>
      <c r="I89" s="4" t="inlineStr">
        <is>
          <t>CORE</t>
        </is>
      </c>
      <c r="J89" s="4" t="inlineStr">
        <is>
          <t>原則適用。案件スコープ・成果物・規制・リスク上非該当の場合はN/A根拠を記録。</t>
        </is>
      </c>
      <c r="K89" s="4" t="inlineStr">
        <is>
          <t>SRC-SWEBOK-V4A</t>
        </is>
      </c>
      <c r="L89" s="4" t="inlineStr"/>
      <c r="M89" s="4" t="n"/>
      <c r="N89" s="4" t="n"/>
      <c r="O89" s="4" t="n"/>
      <c r="P89" s="4" t="n"/>
      <c r="Q89" s="4" t="n"/>
      <c r="R89" s="4" t="n"/>
      <c r="S89" s="4" t="n"/>
      <c r="T89" s="4" t="n"/>
      <c r="U89" s="4" t="n"/>
      <c r="V89" s="4" t="n"/>
      <c r="W89" s="4" t="n"/>
    </row>
    <row r="90">
      <c r="A90" s="5" t="inlineStr">
        <is>
          <t>TST-807</t>
        </is>
      </c>
      <c r="B90" s="5" t="inlineStr">
        <is>
          <t>SWEBOK</t>
        </is>
      </c>
      <c r="C90" s="4" t="inlineStr">
        <is>
          <t>9. テスト結果報告・完了判定(TST-801〜)</t>
        </is>
      </c>
      <c r="D90" s="10" t="inlineStr">
        <is>
          <t>Medium</t>
        </is>
      </c>
      <c r="E90" s="4" t="inlineStr">
        <is>
          <t>品質評価の考察が含まれている</t>
        </is>
      </c>
      <c r="F90" s="4" t="inlineStr">
        <is>
          <t>障害の傾向(多発領域、収束状況)に基づく品質の考察と、次工程・次回への改善提案が記述されている</t>
        </is>
      </c>
      <c r="G90" s="4" t="inlineStr">
        <is>
          <t>障害傾向の考察と改善提案がないと、同じ種類の欠陥を次工程・次プロジェクトでも作り続ける。根本原因分析はテストプロセス自体の改善の入力になる。</t>
        </is>
      </c>
      <c r="H90" s="4" t="inlineStr">
        <is>
          <t>swebok-v4a.pdf ch05 Software Testing &gt; 5.1.6 Test Process Measures(根本原因分析)/ 4.1.2 Fault Types, Classification and Statistics</t>
        </is>
      </c>
      <c r="I90" s="4" t="inlineStr">
        <is>
          <t>CORE</t>
        </is>
      </c>
      <c r="J90" s="4" t="inlineStr">
        <is>
          <t>原則適用。案件スコープ・成果物・規制・リスク上非該当の場合はN/A根拠を記録。</t>
        </is>
      </c>
      <c r="K90" s="4" t="inlineStr">
        <is>
          <t>SRC-SWEBOK-V4A</t>
        </is>
      </c>
      <c r="L90" s="4" t="inlineStr"/>
      <c r="M90" s="4" t="n"/>
      <c r="N90" s="4" t="n"/>
      <c r="O90" s="4" t="n"/>
      <c r="P90" s="4" t="n"/>
      <c r="Q90" s="4" t="n"/>
      <c r="R90" s="4" t="n"/>
      <c r="S90" s="4" t="n"/>
      <c r="T90" s="4" t="n"/>
      <c r="U90" s="4" t="n"/>
      <c r="V90" s="4" t="n"/>
      <c r="W90" s="4" t="n"/>
    </row>
    <row r="91">
      <c r="A91" s="5" t="inlineStr">
        <is>
          <t>TST-808</t>
        </is>
      </c>
      <c r="B91" s="5" t="inlineStr">
        <is>
          <t>SWEBOK</t>
        </is>
      </c>
      <c r="C91" s="4" t="inlineStr">
        <is>
          <t>9. テスト結果報告・完了判定(TST-801〜)</t>
        </is>
      </c>
      <c r="D91" s="11" t="inlineStr">
        <is>
          <t>Low</t>
        </is>
      </c>
      <c r="E91" s="4" t="inlineStr">
        <is>
          <t>テスト資産の引き継ぎが記述されている</t>
        </is>
      </c>
      <c r="F91" s="4" t="inlineStr">
        <is>
          <t>保守フェーズで再利用するテストケース・自動テストの保管場所と保守方針が記述されている</t>
        </is>
      </c>
      <c r="G91" s="4" t="inlineStr">
        <is>
          <t>テスト資産の保管場所と保守方針を引き継がないと、保守フェーズで回帰テストをゼロから作り直すことになり、再利用によるコスト削減効果を失う。</t>
        </is>
      </c>
      <c r="H91" s="4" t="inlineStr">
        <is>
          <t>swebok-v4a.pdf ch05 Software Testing &gt; 5.1.9 Test Reusability</t>
        </is>
      </c>
      <c r="I91" s="4" t="inlineStr">
        <is>
          <t>CORE</t>
        </is>
      </c>
      <c r="J91" s="4" t="inlineStr">
        <is>
          <t>原則適用。案件スコープ・成果物・規制・リスク上非該当の場合はN/A根拠を記録。</t>
        </is>
      </c>
      <c r="K91" s="4" t="inlineStr">
        <is>
          <t>SRC-SWEBOK-V4A</t>
        </is>
      </c>
      <c r="L91" s="4" t="inlineStr"/>
      <c r="M91" s="4" t="n"/>
      <c r="N91" s="4" t="n"/>
      <c r="O91" s="4" t="n"/>
      <c r="P91" s="4" t="n"/>
      <c r="Q91" s="4" t="n"/>
      <c r="R91" s="4" t="n"/>
      <c r="S91" s="4" t="n"/>
      <c r="T91" s="4" t="n"/>
      <c r="U91" s="4" t="n"/>
      <c r="V91" s="4" t="n"/>
      <c r="W91" s="4" t="n"/>
    </row>
  </sheetData>
  <autoFilter ref="A1:W91"/>
  <conditionalFormatting sqref="O2:O2000">
    <cfRule type="cellIs" priority="1" operator="equal" dxfId="0">
      <formula>"Fail"</formula>
    </cfRule>
    <cfRule type="cellIs" priority="2" operator="equal" dxfId="1">
      <formula>"Pass"</formula>
    </cfRule>
    <cfRule type="cellIs" priority="4" operator="equal" dxfId="0">
      <formula>"Fail"</formula>
    </cfRule>
    <cfRule type="cellIs" priority="5" operator="equal" dxfId="1">
      <formula>"Pass"</formula>
    </cfRule>
    <cfRule type="cellIs" priority="7" operator="equal" dxfId="0">
      <formula>"Fail"</formula>
    </cfRule>
    <cfRule type="cellIs" priority="8" operator="equal" dxfId="1">
      <formula>"Pass"</formula>
    </cfRule>
    <cfRule type="cellIs" priority="10" operator="equal" dxfId="0">
      <formula>"Fail"</formula>
    </cfRule>
    <cfRule type="cellIs" priority="11" operator="equal" dxfId="1">
      <formula>"Pass"</formula>
    </cfRule>
    <cfRule type="cellIs" priority="13" operator="equal" dxfId="0">
      <formula>"Fail"</formula>
    </cfRule>
    <cfRule type="cellIs" priority="14" operator="equal" dxfId="1">
      <formula>"Pass"</formula>
    </cfRule>
  </conditionalFormatting>
  <conditionalFormatting sqref="N2:N2000">
    <cfRule type="cellIs" priority="3" operator="equal" dxfId="2">
      <formula>"N/A"</formula>
    </cfRule>
    <cfRule type="cellIs" priority="6" operator="equal" dxfId="2">
      <formula>"N/A"</formula>
    </cfRule>
    <cfRule type="cellIs" priority="9" operator="equal" dxfId="2">
      <formula>"N/A"</formula>
    </cfRule>
    <cfRule type="cellIs" priority="12" operator="equal" dxfId="2">
      <formula>"N/A"</formula>
    </cfRule>
    <cfRule type="cellIs" priority="15" operator="equal" dxfId="2">
      <formula>"N/A"</formula>
    </cfRule>
  </conditionalFormatting>
  <dataValidations count="20">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s>
  <pageMargins left="0.75" right="0.75" top="1" bottom="1" header="0.5" footer="0.5"/>
  <pageSetup orientation="landscape" fitToWidth="1"/>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W106"/>
  <sheetViews>
    <sheetView workbookViewId="0">
      <pane xSplit="4" ySplit="1" topLeftCell="E2"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4" customWidth="1" min="1" max="1"/>
    <col width="14" customWidth="1" min="2" max="2"/>
    <col width="28" customWidth="1" min="3" max="3"/>
    <col width="12" customWidth="1" min="4" max="4"/>
    <col width="46" customWidth="1" min="5" max="5"/>
    <col width="52" customWidth="1" min="6" max="6"/>
    <col width="48" customWidth="1" min="7" max="7"/>
    <col width="46" customWidth="1" min="8" max="8"/>
    <col width="18" customWidth="1" min="9" max="9"/>
    <col width="38" customWidth="1" min="10" max="10"/>
    <col width="28" customWidth="1" min="11" max="11"/>
    <col width="25" customWidth="1" min="12" max="12"/>
    <col width="13" customWidth="1" min="13" max="13"/>
    <col width="12" customWidth="1" min="14" max="14"/>
    <col width="12" customWidth="1" min="15" max="15"/>
    <col width="38" customWidth="1" min="16" max="16"/>
    <col width="24" customWidth="1" min="17" max="17"/>
    <col width="30" customWidth="1" min="18" max="18"/>
    <col width="23" customWidth="1" min="19" max="19"/>
    <col width="15" customWidth="1" min="20" max="20"/>
    <col width="18" customWidth="1" min="21" max="21"/>
    <col width="15" customWidth="1" min="22" max="22"/>
    <col width="15" customWidth="1" min="23" max="23"/>
  </cols>
  <sheetData>
    <row r="1">
      <c r="A1" s="3" t="inlineStr">
        <is>
          <t>ID</t>
        </is>
      </c>
      <c r="B1" s="3" t="inlineStr">
        <is>
          <t>区分</t>
        </is>
      </c>
      <c r="C1" s="3" t="inlineStr">
        <is>
          <t>カテゴリ</t>
        </is>
      </c>
      <c r="D1" s="3" t="inlineStr">
        <is>
          <t>基準重要度</t>
        </is>
      </c>
      <c r="E1" s="3" t="inlineStr">
        <is>
          <t>チェック項目</t>
        </is>
      </c>
      <c r="F1" s="3" t="inlineStr">
        <is>
          <t>合格基準</t>
        </is>
      </c>
      <c r="G1" s="3" t="inlineStr">
        <is>
          <t>意図(なぜ確認するか)</t>
        </is>
      </c>
      <c r="H1" s="3" t="inlineStr">
        <is>
          <t>対象ドキュメント(参照箇所)</t>
        </is>
      </c>
      <c r="I1" s="21" t="inlineStr">
        <is>
          <t>適用プロファイル</t>
        </is>
      </c>
      <c r="J1" s="21" t="inlineStr">
        <is>
          <t>適用条件</t>
        </is>
      </c>
      <c r="K1" s="21" t="inlineStr">
        <is>
          <t>出典ID</t>
        </is>
      </c>
      <c r="L1" s="21" t="inlineStr">
        <is>
          <t>重複統制グループ</t>
        </is>
      </c>
      <c r="M1" s="21" t="inlineStr">
        <is>
          <t>案件重要度</t>
        </is>
      </c>
      <c r="N1" s="21" t="inlineStr">
        <is>
          <t>適用判定</t>
        </is>
      </c>
      <c r="O1" s="21" t="inlineStr">
        <is>
          <t>判定</t>
        </is>
      </c>
      <c r="P1" s="21" t="inlineStr">
        <is>
          <t>証跡・参照箇所</t>
        </is>
      </c>
      <c r="Q1" s="21" t="inlineStr">
        <is>
          <t>指摘・Issue ID</t>
        </is>
      </c>
      <c r="R1" s="21" t="inlineStr">
        <is>
          <t>対応方針</t>
        </is>
      </c>
      <c r="S1" s="21" t="inlineStr">
        <is>
          <t>例外・リスク受容承認者</t>
        </is>
      </c>
      <c r="T1" s="21" t="inlineStr">
        <is>
          <t>是正期限</t>
        </is>
      </c>
      <c r="U1" s="21" t="inlineStr">
        <is>
          <t>レビュアー</t>
        </is>
      </c>
      <c r="V1" s="21" t="inlineStr">
        <is>
          <t>レビュー日</t>
        </is>
      </c>
      <c r="W1" s="21" t="inlineStr">
        <is>
          <t>再確認結果</t>
        </is>
      </c>
    </row>
    <row r="2">
      <c r="A2" s="5" t="inlineStr">
        <is>
          <t>OPS-001</t>
        </is>
      </c>
      <c r="B2" s="5" t="inlineStr">
        <is>
          <t>SWEBOK</t>
        </is>
      </c>
      <c r="C2" s="4" t="inlineStr">
        <is>
          <t>1. 運用計画・体制(SWEBOK 6-2.1)</t>
        </is>
      </c>
      <c r="D2" s="8" t="inlineStr">
        <is>
          <t>Critical</t>
        </is>
      </c>
      <c r="E2" s="4" t="inlineStr">
        <is>
          <t>運用体制のロールと責任が定義されている</t>
        </is>
      </c>
      <c r="F2" s="4" t="inlineStr">
        <is>
          <t>運用エンジニア・オンコール・管理者等のロールごとに担当業務と責任範囲が表形式等で明記されている</t>
        </is>
      </c>
      <c r="G2" s="4" t="inlineStr">
        <is>
          <t>役割の空白や重複があると、障害時に「誰も自分の担当と思っていない」作業が放置され、復旧遅延や対応漏れが起きる。運用移管後に責任の押し付け合いが発生する事態を防ぐ。</t>
        </is>
      </c>
      <c r="H2" s="4" t="inlineStr">
        <is>
          <t>swebok-v4a.pdf ch06 SE Operations &gt; 2.1.1 Operations Plan(roles and responsibilities)/ 1.1 Definition of Software Engineering Operations</t>
        </is>
      </c>
      <c r="I2" s="4" t="inlineStr">
        <is>
          <t>CORE</t>
        </is>
      </c>
      <c r="J2" s="4" t="inlineStr">
        <is>
          <t>原則適用。案件スコープ・成果物・規制・リスク上非該当の場合はN/A根拠を記録。</t>
        </is>
      </c>
      <c r="K2" s="4" t="inlineStr">
        <is>
          <t>SRC-SWEBOK-V4A</t>
        </is>
      </c>
      <c r="L2" s="4" t="inlineStr"/>
      <c r="M2" s="4" t="n"/>
      <c r="N2" s="4" t="n"/>
      <c r="O2" s="4" t="n"/>
      <c r="P2" s="4" t="n"/>
      <c r="Q2" s="4" t="n"/>
      <c r="R2" s="4" t="n"/>
      <c r="S2" s="4" t="n"/>
      <c r="T2" s="4" t="n"/>
      <c r="U2" s="4" t="n"/>
      <c r="V2" s="4" t="n"/>
      <c r="W2" s="4" t="n"/>
    </row>
    <row r="3">
      <c r="A3" s="5" t="inlineStr">
        <is>
          <t>OPS-002</t>
        </is>
      </c>
      <c r="B3" s="5" t="inlineStr">
        <is>
          <t>SWEBOK</t>
        </is>
      </c>
      <c r="C3" s="4" t="inlineStr">
        <is>
          <t>1. 運用計画・体制(SWEBOK 6-2.1)</t>
        </is>
      </c>
      <c r="D3" s="8" t="inlineStr">
        <is>
          <t>Critical</t>
        </is>
      </c>
      <c r="E3" s="4" t="inlineStr">
        <is>
          <t>エスカレーション経路に空白がない</t>
        </is>
      </c>
      <c r="F3" s="4" t="inlineStr">
        <is>
          <t>一次対応→二次対応→管理者/ベンダーの各段階に具体的な連絡先(チーム名・連絡手段)が記載され、「未定」「TBD」が残っていない</t>
        </is>
      </c>
      <c r="G3" s="4" t="inlineStr">
        <is>
          <t>エスカレーション先が「TBD」のまま本番稼働すると、深夜の重大障害で連絡先を探すことに時間を浪費し、復旧が数時間単位で遅れる。経路の空白を稼働前に潰すためにチェックする。</t>
        </is>
      </c>
      <c r="H3" s="4" t="inlineStr">
        <is>
          <t>swebok-v4a.pdf ch06 SE Operations &gt; 2.1.1 Operations Plan(communication to the relevant parties)/ 4.1 Incident Management(escalation)</t>
        </is>
      </c>
      <c r="I3" s="4" t="inlineStr">
        <is>
          <t>CORE</t>
        </is>
      </c>
      <c r="J3" s="4" t="inlineStr">
        <is>
          <t>原則適用。案件スコープ・成果物・規制・リスク上非該当の場合はN/A根拠を記録。</t>
        </is>
      </c>
      <c r="K3" s="4" t="inlineStr">
        <is>
          <t>SRC-SWEBOK-V4A</t>
        </is>
      </c>
      <c r="L3" s="4" t="inlineStr"/>
      <c r="M3" s="4" t="n"/>
      <c r="N3" s="4" t="n"/>
      <c r="O3" s="4" t="n"/>
      <c r="P3" s="4" t="n"/>
      <c r="Q3" s="4" t="n"/>
      <c r="R3" s="4" t="n"/>
      <c r="S3" s="4" t="n"/>
      <c r="T3" s="4" t="n"/>
      <c r="U3" s="4" t="n"/>
      <c r="V3" s="4" t="n"/>
      <c r="W3" s="4" t="n"/>
    </row>
    <row r="4">
      <c r="A4" s="5" t="inlineStr">
        <is>
          <t>OPS-003</t>
        </is>
      </c>
      <c r="B4" s="5" t="inlineStr">
        <is>
          <t>SWEBOK</t>
        </is>
      </c>
      <c r="C4" s="4" t="inlineStr">
        <is>
          <t>1. 運用計画・体制(SWEBOK 6-2.1)</t>
        </is>
      </c>
      <c r="D4" s="9" t="inlineStr">
        <is>
          <t>High</t>
        </is>
      </c>
      <c r="E4" s="4" t="inlineStr">
        <is>
          <t>オンコール体制(当番・交代・時間帯)が定義されている</t>
        </is>
      </c>
      <c r="F4" s="4" t="inlineStr">
        <is>
          <t>対応時間帯(24/365、営業時間内等)と当番の割り当て・交代ルールが記載されている</t>
        </is>
      </c>
      <c r="G4" s="4" t="inlineStr">
        <is>
          <t>当番・交代ルールが曖昧だと夜間・休日の障害が翌営業日まで放置されたり、特定個人に負荷が集中して疲弊・離職を招く。対応時間帯の期待値を関係者間で揃える。</t>
        </is>
      </c>
      <c r="H4" s="4" t="inlineStr">
        <is>
          <t>swebok-v4a.pdf ch06 SE Operations &gt; 2.1.1 Operations Plan(staffing and recruitment requirements)</t>
        </is>
      </c>
      <c r="I4" s="4" t="inlineStr">
        <is>
          <t>CORE</t>
        </is>
      </c>
      <c r="J4" s="4" t="inlineStr">
        <is>
          <t>原則適用。案件スコープ・成果物・規制・リスク上非該当の場合はN/A根拠を記録。</t>
        </is>
      </c>
      <c r="K4" s="4" t="inlineStr">
        <is>
          <t>SRC-SWEBOK-V4A</t>
        </is>
      </c>
      <c r="L4" s="4" t="inlineStr"/>
      <c r="M4" s="4" t="n"/>
      <c r="N4" s="4" t="n"/>
      <c r="O4" s="4" t="n"/>
      <c r="P4" s="4" t="n"/>
      <c r="Q4" s="4" t="n"/>
      <c r="R4" s="4" t="n"/>
      <c r="S4" s="4" t="n"/>
      <c r="T4" s="4" t="n"/>
      <c r="U4" s="4" t="n"/>
      <c r="V4" s="4" t="n"/>
      <c r="W4" s="4" t="n"/>
    </row>
    <row r="5">
      <c r="A5" s="5" t="inlineStr">
        <is>
          <t>OPS-004</t>
        </is>
      </c>
      <c r="B5" s="5" t="inlineStr">
        <is>
          <t>SWEBOK</t>
        </is>
      </c>
      <c r="C5" s="4" t="inlineStr">
        <is>
          <t>1. 運用計画・体制(SWEBOK 6-2.1)</t>
        </is>
      </c>
      <c r="D5" s="9" t="inlineStr">
        <is>
          <t>High</t>
        </is>
      </c>
      <c r="E5" s="4" t="inlineStr">
        <is>
          <t>サービス受入基準が定義されている</t>
        </is>
      </c>
      <c r="F5" s="4" t="inlineStr">
        <is>
          <t>運用移管時に満たすべき条件(文書整備、監視稼働、訓練実施等)がチェック可能な項目として列挙されている</t>
        </is>
      </c>
      <c r="G5" s="4" t="inlineStr">
        <is>
          <t>受入基準がないと、文書未整備・監視未稼働のまま運用チームへ移管され、運用開始直後から障害対応が属人化・混乱する。移管時のゲートとして機能させる。</t>
        </is>
      </c>
      <c r="H5" s="4" t="inlineStr">
        <is>
          <t>swebok-v4a.pdf ch06 SE Operations &gt; 2.1.1 Operations Plan(service acceptance criteria)</t>
        </is>
      </c>
      <c r="I5" s="4" t="inlineStr">
        <is>
          <t>CORE</t>
        </is>
      </c>
      <c r="J5" s="4" t="inlineStr">
        <is>
          <t>原則適用。案件スコープ・成果物・規制・リスク上非該当の場合はN/A根拠を記録。</t>
        </is>
      </c>
      <c r="K5" s="4" t="inlineStr">
        <is>
          <t>SRC-SWEBOK-V4A</t>
        </is>
      </c>
      <c r="L5" s="4" t="inlineStr"/>
      <c r="M5" s="4" t="n"/>
      <c r="N5" s="4" t="n"/>
      <c r="O5" s="4" t="n"/>
      <c r="P5" s="4" t="n"/>
      <c r="Q5" s="4" t="n"/>
      <c r="R5" s="4" t="n"/>
      <c r="S5" s="4" t="n"/>
      <c r="T5" s="4" t="n"/>
      <c r="U5" s="4" t="n"/>
      <c r="V5" s="4" t="n"/>
      <c r="W5" s="4" t="n"/>
    </row>
    <row r="6">
      <c r="A6" s="5" t="inlineStr">
        <is>
          <t>OPS-005</t>
        </is>
      </c>
      <c r="B6" s="5" t="inlineStr">
        <is>
          <t>SWEBOK</t>
        </is>
      </c>
      <c r="C6" s="4" t="inlineStr">
        <is>
          <t>1. 運用計画・体制(SWEBOK 6-2.1)</t>
        </is>
      </c>
      <c r="D6" s="10" t="inlineStr">
        <is>
          <t>Medium</t>
        </is>
      </c>
      <c r="E6" s="4" t="inlineStr">
        <is>
          <t>要員の教育・引き継ぎ計画がある</t>
        </is>
      </c>
      <c r="F6" s="4" t="inlineStr">
        <is>
          <t>新任者への教育項目・引き継ぎ手順、または必要スキルの定義が記載されている</t>
        </is>
      </c>
      <c r="G6" s="4" t="inlineStr">
        <is>
          <t>教育・引き継ぎ計画がないと、担当者の退職・異動でノウハウが消失し、単純な障害でも復旧できないチームになる。ISO 20000-1 が求める要員育成・後継計画の観点を担保する。</t>
        </is>
      </c>
      <c r="H6" s="4" t="inlineStr">
        <is>
          <t>swebok-v4a.pdf ch06 SE Operations &gt; 1.1 Definition of Software Engineering Operations(resource training and development / succession planning)</t>
        </is>
      </c>
      <c r="I6" s="4" t="inlineStr">
        <is>
          <t>CORE</t>
        </is>
      </c>
      <c r="J6" s="4" t="inlineStr">
        <is>
          <t>原則適用。案件スコープ・成果物・規制・リスク上非該当の場合はN/A根拠を記録。</t>
        </is>
      </c>
      <c r="K6" s="4" t="inlineStr">
        <is>
          <t>SRC-SWEBOK-V4A</t>
        </is>
      </c>
      <c r="L6" s="4" t="inlineStr"/>
      <c r="M6" s="4" t="n"/>
      <c r="N6" s="4" t="n"/>
      <c r="O6" s="4" t="n"/>
      <c r="P6" s="4" t="n"/>
      <c r="Q6" s="4" t="n"/>
      <c r="R6" s="4" t="n"/>
      <c r="S6" s="4" t="n"/>
      <c r="T6" s="4" t="n"/>
      <c r="U6" s="4" t="n"/>
      <c r="V6" s="4" t="n"/>
      <c r="W6" s="4" t="n"/>
    </row>
    <row r="7">
      <c r="A7" s="5" t="inlineStr">
        <is>
          <t>OPS-006</t>
        </is>
      </c>
      <c r="B7" s="5" t="inlineStr">
        <is>
          <t>SWEBOK</t>
        </is>
      </c>
      <c r="C7" s="4" t="inlineStr">
        <is>
          <t>1. 運用計画・体制(SWEBOK 6-2.1)</t>
        </is>
      </c>
      <c r="D7" s="10" t="inlineStr">
        <is>
          <t>Medium</t>
        </is>
      </c>
      <c r="E7" s="4" t="inlineStr">
        <is>
          <t>定常運用作業の一覧がある</t>
        </is>
      </c>
      <c r="F7" s="4" t="inlineStr">
        <is>
          <t>日次・週次・月次等の定常作業が、頻度・担当・手順参照付きで一覧化されている</t>
        </is>
      </c>
      <c r="G7" s="4" t="inlineStr">
        <is>
          <t>定常作業が一覧化されていないと、証明書更新やログローテーション等の定期作業が漏れて突発障害化する。作業の頻度・担当を可視化し実施漏れを防ぐ。</t>
        </is>
      </c>
      <c r="H7" s="4" t="inlineStr">
        <is>
          <t>swebok-v4a.pdf ch06 SE Operations &gt; 2. Software Engineering Operations Planning(procedures / process control records)</t>
        </is>
      </c>
      <c r="I7" s="4" t="inlineStr">
        <is>
          <t>CORE</t>
        </is>
      </c>
      <c r="J7" s="4" t="inlineStr">
        <is>
          <t>原則適用。案件スコープ・成果物・規制・リスク上非該当の場合はN/A根拠を記録。</t>
        </is>
      </c>
      <c r="K7" s="4" t="inlineStr">
        <is>
          <t>SRC-SWEBOK-V4A</t>
        </is>
      </c>
      <c r="L7" s="4" t="inlineStr"/>
      <c r="M7" s="4" t="n"/>
      <c r="N7" s="4" t="n"/>
      <c r="O7" s="4" t="n"/>
      <c r="P7" s="4" t="n"/>
      <c r="Q7" s="4" t="n"/>
      <c r="R7" s="4" t="n"/>
      <c r="S7" s="4" t="n"/>
      <c r="T7" s="4" t="n"/>
      <c r="U7" s="4" t="n"/>
      <c r="V7" s="4" t="n"/>
      <c r="W7" s="4" t="n"/>
    </row>
    <row r="8">
      <c r="A8" s="5" t="inlineStr">
        <is>
          <t>OPS-007</t>
        </is>
      </c>
      <c r="B8" s="5" t="inlineStr">
        <is>
          <t>SWEBOK</t>
        </is>
      </c>
      <c r="C8" s="4" t="inlineStr">
        <is>
          <t>1. 運用計画・体制(SWEBOK 6-2.1)</t>
        </is>
      </c>
      <c r="D8" s="10" t="inlineStr">
        <is>
          <t>Medium</t>
        </is>
      </c>
      <c r="E8" s="4" t="inlineStr">
        <is>
          <t>メンテナンスウィンドウが定義されている</t>
        </is>
      </c>
      <c r="F8" s="4" t="inlineStr">
        <is>
          <t>計画停止の可否・時間帯・事前告知ルールが記載されている</t>
        </is>
      </c>
      <c r="G8" s="4" t="inlineStr">
        <is>
          <t>計画停止のルールがないと、告知なしのメンテナンスでユーザークレームや SLA 違反紛争が発生する。停止可否と告知ルールを事前合意しておく。</t>
        </is>
      </c>
      <c r="H8" s="4" t="inlineStr">
        <is>
          <t>swebok-v4a.pdf ch06 SE Operations &gt; 2.3 Software Availability, Continuity, and Service Levels</t>
        </is>
      </c>
      <c r="I8" s="4" t="inlineStr">
        <is>
          <t>CORE</t>
        </is>
      </c>
      <c r="J8" s="4" t="inlineStr">
        <is>
          <t>原則適用。案件スコープ・成果物・規制・リスク上非該当の場合はN/A根拠を記録。</t>
        </is>
      </c>
      <c r="K8" s="4" t="inlineStr">
        <is>
          <t>SRC-SWEBOK-V4A</t>
        </is>
      </c>
      <c r="L8" s="4" t="inlineStr"/>
      <c r="M8" s="4" t="n"/>
      <c r="N8" s="4" t="n"/>
      <c r="O8" s="4" t="n"/>
      <c r="P8" s="4" t="n"/>
      <c r="Q8" s="4" t="n"/>
      <c r="R8" s="4" t="n"/>
      <c r="S8" s="4" t="n"/>
      <c r="T8" s="4" t="n"/>
      <c r="U8" s="4" t="n"/>
      <c r="V8" s="4" t="n"/>
      <c r="W8" s="4" t="n"/>
    </row>
    <row r="9">
      <c r="A9" s="5" t="inlineStr">
        <is>
          <t>OPS-901</t>
        </is>
      </c>
      <c r="B9" s="5" t="inlineStr">
        <is>
          <t>追加承認</t>
        </is>
      </c>
      <c r="C9" s="4" t="inlineStr">
        <is>
          <t>1. 運用計画・体制(SWEBOK 6-2.1)</t>
        </is>
      </c>
      <c r="D9" s="10" t="inlineStr">
        <is>
          <t>Medium</t>
        </is>
      </c>
      <c r="E9" s="4" t="inlineStr">
        <is>
          <t>運用コストの見積もりと予算計画がある</t>
        </is>
      </c>
      <c r="F9" s="4" t="inlineStr">
        <is>
          <t>インフラ費用・ライセンス・要員等の運用コストの見積もりと、予算枠・期間(年度等)・増強時の費用対応が記載されている</t>
        </is>
      </c>
      <c r="G9" s="4" t="inlineStr">
        <is>
          <t>運用フェーズは開発より長期に及ぶため、コスト計画がないとクラウド費用の想定外増大や容量増強の予算未確保でサービス継続が脅かされる。運用開始後の「予算がなくて増強できない」事態を防ぐ。</t>
        </is>
      </c>
      <c r="H9" s="4" t="inlineStr">
        <is>
          <t>swebok-v4a.pdf ch06 SE Operations &gt; 2.1.1 Operations Plan — 運用の財務管理・予算・コスト見積もり(financial management, budgets and timescales, estimate of operations and maintenance costs)</t>
        </is>
      </c>
      <c r="I9" s="4" t="inlineStr">
        <is>
          <t>CORE</t>
        </is>
      </c>
      <c r="J9" s="4" t="inlineStr">
        <is>
          <t>原則適用。案件スコープ・成果物・規制・リスク上非該当の場合はN/A根拠を記録。</t>
        </is>
      </c>
      <c r="K9" s="4" t="inlineStr">
        <is>
          <t>SRC-SWEBOK-V4A</t>
        </is>
      </c>
      <c r="L9" s="4" t="inlineStr">
        <is>
          <t>COST</t>
        </is>
      </c>
      <c r="M9" s="4" t="n"/>
      <c r="N9" s="4" t="n"/>
      <c r="O9" s="4" t="n"/>
      <c r="P9" s="4" t="n"/>
      <c r="Q9" s="4" t="n"/>
      <c r="R9" s="4" t="n"/>
      <c r="S9" s="4" t="n"/>
      <c r="T9" s="4" t="n"/>
      <c r="U9" s="4" t="n"/>
      <c r="V9" s="4" t="n"/>
      <c r="W9" s="4" t="n"/>
    </row>
    <row r="10">
      <c r="A10" s="5" t="inlineStr">
        <is>
          <t>OPS-010</t>
        </is>
      </c>
      <c r="B10" s="5" t="inlineStr">
        <is>
          <t>SWEBOK</t>
        </is>
      </c>
      <c r="C10" s="4" t="inlineStr">
        <is>
          <t>2. サプライヤ管理(SWEBOK 6-2.1.2)</t>
        </is>
      </c>
      <c r="D10" s="9" t="inlineStr">
        <is>
          <t>High</t>
        </is>
      </c>
      <c r="E10" s="4" t="inlineStr">
        <is>
          <t>依存するサプライヤ(クラウド・外部委託先)が一覧化されている</t>
        </is>
      </c>
      <c r="F10" s="4" t="inlineStr">
        <is>
          <t>IaaS/PaaS・SaaS・委託先ごとに提供サービスと契約範囲が列挙されている</t>
        </is>
      </c>
      <c r="G10" s="4" t="inlineStr">
        <is>
          <t>依存サプライヤの全体像が見えていないと、外部サービスの障害・仕様変更・値上げが自サービスに与える影響を評価できず、初動が遅れる。依存関係の棚卸しを強制する。</t>
        </is>
      </c>
      <c r="H10" s="4" t="inlineStr">
        <is>
          <t>swebok-v4a.pdf ch06 SE Operations &gt; 2.1.2 Supplier Management</t>
        </is>
      </c>
      <c r="I10" s="4" t="inlineStr">
        <is>
          <t>CORE</t>
        </is>
      </c>
      <c r="J10" s="4" t="inlineStr">
        <is>
          <t>原則適用。案件スコープ・成果物・規制・リスク上非該当の場合はN/A根拠を記録。</t>
        </is>
      </c>
      <c r="K10" s="4" t="inlineStr">
        <is>
          <t>SRC-SWEBOK-V4A</t>
        </is>
      </c>
      <c r="L10" s="4" t="inlineStr"/>
      <c r="M10" s="4" t="n"/>
      <c r="N10" s="4" t="n"/>
      <c r="O10" s="4" t="n"/>
      <c r="P10" s="4" t="n"/>
      <c r="Q10" s="4" t="n"/>
      <c r="R10" s="4" t="n"/>
      <c r="S10" s="4" t="n"/>
      <c r="T10" s="4" t="n"/>
      <c r="U10" s="4" t="n"/>
      <c r="V10" s="4" t="n"/>
      <c r="W10" s="4" t="n"/>
    </row>
    <row r="11">
      <c r="A11" s="5" t="inlineStr">
        <is>
          <t>OPS-011</t>
        </is>
      </c>
      <c r="B11" s="5" t="inlineStr">
        <is>
          <t>SWEBOK</t>
        </is>
      </c>
      <c r="C11" s="4" t="inlineStr">
        <is>
          <t>2. サプライヤ管理(SWEBOK 6-2.1.2)</t>
        </is>
      </c>
      <c r="D11" s="8" t="inlineStr">
        <is>
          <t>Critical</t>
        </is>
      </c>
      <c r="E11" s="4" t="inlineStr">
        <is>
          <t>責任分界点が明確である</t>
        </is>
      </c>
      <c r="F11" s="4" t="inlineStr">
        <is>
          <t>自組織とサプライヤの責任範囲(例: クラウドの責任共有モデル)が成果物・レイヤーごとに記載されている</t>
        </is>
      </c>
      <c r="G11" s="4" t="inlineStr">
        <is>
          <t>責任分界が曖昧だと、障害時に「クラウド側の問題」と誤認して自組織側の対処が遅れたり、逆にクラウド側の責任範囲を自前で二重管理して無駄が生じる。責任共有モデルの明文化で押し付け合いを防ぐ。</t>
        </is>
      </c>
      <c r="H11" s="4" t="inlineStr">
        <is>
          <t>swebok-v4a.pdf ch06 SE Operations &gt; 2.1.2 Supplier Management(managing out-sourced services and cloud services like IaaS and PaaS)</t>
        </is>
      </c>
      <c r="I11" s="4" t="inlineStr">
        <is>
          <t>CORE</t>
        </is>
      </c>
      <c r="J11" s="4" t="inlineStr">
        <is>
          <t>原則適用。案件スコープ・成果物・規制・リスク上非該当の場合はN/A根拠を記録。</t>
        </is>
      </c>
      <c r="K11" s="4" t="inlineStr">
        <is>
          <t>SRC-SWEBOK-V4A</t>
        </is>
      </c>
      <c r="L11" s="4" t="inlineStr"/>
      <c r="M11" s="4" t="n"/>
      <c r="N11" s="4" t="n"/>
      <c r="O11" s="4" t="n"/>
      <c r="P11" s="4" t="n"/>
      <c r="Q11" s="4" t="n"/>
      <c r="R11" s="4" t="n"/>
      <c r="S11" s="4" t="n"/>
      <c r="T11" s="4" t="n"/>
      <c r="U11" s="4" t="n"/>
      <c r="V11" s="4" t="n"/>
      <c r="W11" s="4" t="n"/>
    </row>
    <row r="12">
      <c r="A12" s="5" t="inlineStr">
        <is>
          <t>OPS-012</t>
        </is>
      </c>
      <c r="B12" s="5" t="inlineStr">
        <is>
          <t>SWEBOK</t>
        </is>
      </c>
      <c r="C12" s="4" t="inlineStr">
        <is>
          <t>2. サプライヤ管理(SWEBOK 6-2.1.2)</t>
        </is>
      </c>
      <c r="D12" s="9" t="inlineStr">
        <is>
          <t>High</t>
        </is>
      </c>
      <c r="E12" s="4" t="inlineStr">
        <is>
          <t>サプライヤ障害時の連絡経路とサポート契約が記載されている</t>
        </is>
      </c>
      <c r="F12" s="4" t="inlineStr">
        <is>
          <t>各サプライヤのサポート窓口・サポートレベル(対応時間)・チケット起票方法が記載されている</t>
        </is>
      </c>
      <c r="G12" s="4" t="inlineStr">
        <is>
          <t>サプライヤ障害の際にサポート窓口・チケット起票方法を知らないと、契約上受けられるはずの支援を受けられず復旧が遅延する。障害当日に契約書を探す事態を防ぐ。</t>
        </is>
      </c>
      <c r="H12" s="4" t="inlineStr">
        <is>
          <t>swebok-v4a.pdf ch06 SE Operations &gt; 2.1.2 Supplier Management</t>
        </is>
      </c>
      <c r="I12" s="4" t="inlineStr">
        <is>
          <t>CORE</t>
        </is>
      </c>
      <c r="J12" s="4" t="inlineStr">
        <is>
          <t>原則適用。案件スコープ・成果物・規制・リスク上非該当の場合はN/A根拠を記録。</t>
        </is>
      </c>
      <c r="K12" s="4" t="inlineStr">
        <is>
          <t>SRC-SWEBOK-V4A</t>
        </is>
      </c>
      <c r="L12" s="4" t="inlineStr"/>
      <c r="M12" s="4" t="n"/>
      <c r="N12" s="4" t="n"/>
      <c r="O12" s="4" t="n"/>
      <c r="P12" s="4" t="n"/>
      <c r="Q12" s="4" t="n"/>
      <c r="R12" s="4" t="n"/>
      <c r="S12" s="4" t="n"/>
      <c r="T12" s="4" t="n"/>
      <c r="U12" s="4" t="n"/>
      <c r="V12" s="4" t="n"/>
      <c r="W12" s="4" t="n"/>
    </row>
    <row r="13">
      <c r="A13" s="5" t="inlineStr">
        <is>
          <t>OPS-013</t>
        </is>
      </c>
      <c r="B13" s="5" t="inlineStr">
        <is>
          <t>SWEBOK</t>
        </is>
      </c>
      <c r="C13" s="4" t="inlineStr">
        <is>
          <t>2. サプライヤ管理(SWEBOK 6-2.1.2)</t>
        </is>
      </c>
      <c r="D13" s="10" t="inlineStr">
        <is>
          <t>Medium</t>
        </is>
      </c>
      <c r="E13" s="4" t="inlineStr">
        <is>
          <t>サプライヤの SLA と自サービスの SLO の整合が確認されている</t>
        </is>
      </c>
      <c r="F13" s="4" t="inlineStr">
        <is>
          <t>依存サービスの SLA(可用性等)が自サービスの SLO 達成に十分であることの検討記録がある</t>
        </is>
      </c>
      <c r="G13" s="4" t="inlineStr">
        <is>
          <t>依存先の SLA が自サービスの SLO より緩いと、構造的に SLO を達成できない設計になる。この不整合を稼働前に検出し、冗長化や SLO 見直しの判断につなげる。</t>
        </is>
      </c>
      <c r="H13" s="4" t="inlineStr">
        <is>
          <t>swebok-v4a.pdf ch06 SE Operations &gt; 2.1.2 Supplier Management / 2.3 Software Availability, Continuity, and Service Levels</t>
        </is>
      </c>
      <c r="I13" s="4" t="inlineStr">
        <is>
          <t>CORE</t>
        </is>
      </c>
      <c r="J13" s="4" t="inlineStr">
        <is>
          <t>原則適用。案件スコープ・成果物・規制・リスク上非該当の場合はN/A根拠を記録。</t>
        </is>
      </c>
      <c r="K13" s="4" t="inlineStr">
        <is>
          <t>SRC-SWEBOK-V4A</t>
        </is>
      </c>
      <c r="L13" s="4" t="inlineStr"/>
      <c r="M13" s="4" t="n"/>
      <c r="N13" s="4" t="n"/>
      <c r="O13" s="4" t="n"/>
      <c r="P13" s="4" t="n"/>
      <c r="Q13" s="4" t="n"/>
      <c r="R13" s="4" t="n"/>
      <c r="S13" s="4" t="n"/>
      <c r="T13" s="4" t="n"/>
      <c r="U13" s="4" t="n"/>
      <c r="V13" s="4" t="n"/>
      <c r="W13" s="4" t="n"/>
    </row>
    <row r="14">
      <c r="A14" s="5" t="inlineStr">
        <is>
          <t>OPS-020</t>
        </is>
      </c>
      <c r="B14" s="5" t="inlineStr">
        <is>
          <t>SWEBOK</t>
        </is>
      </c>
      <c r="C14" s="4" t="inlineStr">
        <is>
          <t>3. 環境管理・IaC(SWEBOK 6-2.2)</t>
        </is>
      </c>
      <c r="D14" s="8" t="inlineStr">
        <is>
          <t>Critical</t>
        </is>
      </c>
      <c r="E14" s="4" t="inlineStr">
        <is>
          <t>環境一覧(開発/テスト/プレプロダクション/本番)と用途が定義されている</t>
        </is>
      </c>
      <c r="F14" s="4" t="inlineStr">
        <is>
          <t>各環境の用途・アクセス可能者・データの種別(本番データ可否)が記載されている</t>
        </is>
      </c>
      <c r="G14" s="4" t="inlineStr">
        <is>
          <t>環境の用途・アクセス権・データ種別が未定義だと、テスト環境に本番個人データが流出したり、検証不十分なまま本番投入される事故が起きる。環境ごとの統制の前提を固める。</t>
        </is>
      </c>
      <c r="H14" s="4" t="inlineStr">
        <is>
          <t>swebok-v4a.pdf ch06 SE Operations &gt; 2.2 Development and Operational Environments</t>
        </is>
      </c>
      <c r="I14" s="4" t="inlineStr">
        <is>
          <t>CORE</t>
        </is>
      </c>
      <c r="J14" s="4" t="inlineStr">
        <is>
          <t>原則適用。案件スコープ・成果物・規制・リスク上非該当の場合はN/A根拠を記録。</t>
        </is>
      </c>
      <c r="K14" s="4" t="inlineStr">
        <is>
          <t>SRC-SWEBOK-V4A</t>
        </is>
      </c>
      <c r="L14" s="4" t="inlineStr">
        <is>
          <t>OPS-IAC</t>
        </is>
      </c>
      <c r="M14" s="4" t="n"/>
      <c r="N14" s="4" t="n"/>
      <c r="O14" s="4" t="n"/>
      <c r="P14" s="4" t="n"/>
      <c r="Q14" s="4" t="n"/>
      <c r="R14" s="4" t="n"/>
      <c r="S14" s="4" t="n"/>
      <c r="T14" s="4" t="n"/>
      <c r="U14" s="4" t="n"/>
      <c r="V14" s="4" t="n"/>
      <c r="W14" s="4" t="n"/>
    </row>
    <row r="15">
      <c r="A15" s="5" t="inlineStr">
        <is>
          <t>OPS-021</t>
        </is>
      </c>
      <c r="B15" s="5" t="inlineStr">
        <is>
          <t>SWEBOK</t>
        </is>
      </c>
      <c r="C15" s="4" t="inlineStr">
        <is>
          <t>3. 環境管理・IaC(SWEBOK 6-2.2)</t>
        </is>
      </c>
      <c r="D15" s="9" t="inlineStr">
        <is>
          <t>High</t>
        </is>
      </c>
      <c r="E15" s="4" t="inlineStr">
        <is>
          <t>本番と非本番環境の構成差分が明記されている</t>
        </is>
      </c>
      <c r="F15" s="4" t="inlineStr">
        <is>
          <t>スペック・冗長構成・外部接続等の差分が一覧化されているか、「差分なし」と明記されている</t>
        </is>
      </c>
      <c r="G15" s="4" t="inlineStr">
        <is>
          <t>本番と非本番の差分が不明だと「テストでは動いたのに本番で落ちる」障害が繰り返される。SWEBOK が求める環境間の一貫性・同期を差分の可視化によって担保する。</t>
        </is>
      </c>
      <c r="H15" s="4" t="inlineStr">
        <is>
          <t>swebok-v4a.pdf ch06 SE Operations &gt; 2.2 Development and Operational Environments(environments coherent and synchronized with production)</t>
        </is>
      </c>
      <c r="I15" s="4" t="inlineStr">
        <is>
          <t>CORE</t>
        </is>
      </c>
      <c r="J15" s="4" t="inlineStr">
        <is>
          <t>原則適用。案件スコープ・成果物・規制・リスク上非該当の場合はN/A根拠を記録。</t>
        </is>
      </c>
      <c r="K15" s="4" t="inlineStr">
        <is>
          <t>SRC-SWEBOK-V4A</t>
        </is>
      </c>
      <c r="L15" s="4" t="inlineStr">
        <is>
          <t>OPS-IAC</t>
        </is>
      </c>
      <c r="M15" s="4" t="n"/>
      <c r="N15" s="4" t="n"/>
      <c r="O15" s="4" t="n"/>
      <c r="P15" s="4" t="n"/>
      <c r="Q15" s="4" t="n"/>
      <c r="R15" s="4" t="n"/>
      <c r="S15" s="4" t="n"/>
      <c r="T15" s="4" t="n"/>
      <c r="U15" s="4" t="n"/>
      <c r="V15" s="4" t="n"/>
      <c r="W15" s="4" t="n"/>
    </row>
    <row r="16">
      <c r="A16" s="5" t="inlineStr">
        <is>
          <t>OPS-022</t>
        </is>
      </c>
      <c r="B16" s="5" t="inlineStr">
        <is>
          <t>SWEBOK</t>
        </is>
      </c>
      <c r="C16" s="4" t="inlineStr">
        <is>
          <t>3. 環境管理・IaC(SWEBOK 6-2.2)</t>
        </is>
      </c>
      <c r="D16" s="9" t="inlineStr">
        <is>
          <t>High</t>
        </is>
      </c>
      <c r="E16" s="4" t="inlineStr">
        <is>
          <t>環境が IaC で再現可能、または手作業範囲が明示されている</t>
        </is>
      </c>
      <c r="F16" s="4" t="inlineStr">
        <is>
          <t>IaC リポジトリの参照があるか、手作業で構築する部分の範囲と理由が記載されている</t>
        </is>
      </c>
      <c r="G16" s="4" t="inlineStr">
        <is>
          <t>環境構築が手作業・暗黙知だと、災害復旧や環境増設のたびに構成差異(スノーフレーク)が生まれ、再現不能な障害の温床になる。IaC による単一ソースからの再現性を確認する。</t>
        </is>
      </c>
      <c r="H16" s="4" t="inlineStr">
        <is>
          <t>swebok-v4a.pdf ch06 SE Operations &gt; 2.2 Development and Operational Environments(IaC / single source of truth)</t>
        </is>
      </c>
      <c r="I16" s="4" t="inlineStr">
        <is>
          <t>CORE</t>
        </is>
      </c>
      <c r="J16" s="4" t="inlineStr">
        <is>
          <t>原則適用。案件スコープ・成果物・規制・リスク上非該当の場合はN/A根拠を記録。</t>
        </is>
      </c>
      <c r="K16" s="4" t="inlineStr">
        <is>
          <t>SRC-SWEBOK-V4A</t>
        </is>
      </c>
      <c r="L16" s="4" t="inlineStr">
        <is>
          <t>OPS-IAC</t>
        </is>
      </c>
      <c r="M16" s="4" t="n"/>
      <c r="N16" s="4" t="n"/>
      <c r="O16" s="4" t="n"/>
      <c r="P16" s="4" t="n"/>
      <c r="Q16" s="4" t="n"/>
      <c r="R16" s="4" t="n"/>
      <c r="S16" s="4" t="n"/>
      <c r="T16" s="4" t="n"/>
      <c r="U16" s="4" t="n"/>
      <c r="V16" s="4" t="n"/>
      <c r="W16" s="4" t="n"/>
    </row>
    <row r="17">
      <c r="A17" s="5" t="inlineStr">
        <is>
          <t>OPS-023</t>
        </is>
      </c>
      <c r="B17" s="5" t="inlineStr">
        <is>
          <t>SWEBOK</t>
        </is>
      </c>
      <c r="C17" s="4" t="inlineStr">
        <is>
          <t>3. 環境管理・IaC(SWEBOK 6-2.2)</t>
        </is>
      </c>
      <c r="D17" s="8" t="inlineStr">
        <is>
          <t>Critical</t>
        </is>
      </c>
      <c r="E17" s="4" t="inlineStr">
        <is>
          <t>本番環境へのアクセス制御が定義されている</t>
        </is>
      </c>
      <c r="F17" s="4" t="inlineStr">
        <is>
          <t>本番へのログイン・変更操作の権限者、認証方式、承認フローが記載されている</t>
        </is>
      </c>
      <c r="G17" s="4" t="inlineStr">
        <is>
          <t>本番アクセス制御が緩いと、誤操作による本番破壊や内部不正・情報漏えいが起き、原因追跡もできない。権限者・認証・承認フローを事前に定めて事故と監査指摘を防ぐ。</t>
        </is>
      </c>
      <c r="H17" s="4" t="inlineStr">
        <is>
          <t>swebok-v4a.pdf ch06 SE Operations &gt; 2.6 Software and Data Safety, Security, Integrity, Protection, and Controls</t>
        </is>
      </c>
      <c r="I17" s="4" t="inlineStr">
        <is>
          <t>CORE</t>
        </is>
      </c>
      <c r="J17" s="4" t="inlineStr">
        <is>
          <t>原則適用。案件スコープ・成果物・規制・リスク上非該当の場合はN/A根拠を記録。</t>
        </is>
      </c>
      <c r="K17" s="4" t="inlineStr">
        <is>
          <t>SRC-SWEBOK-V4A</t>
        </is>
      </c>
      <c r="L17" s="4" t="inlineStr">
        <is>
          <t>OPS-IAC</t>
        </is>
      </c>
      <c r="M17" s="4" t="n"/>
      <c r="N17" s="4" t="n"/>
      <c r="O17" s="4" t="n"/>
      <c r="P17" s="4" t="n"/>
      <c r="Q17" s="4" t="n"/>
      <c r="R17" s="4" t="n"/>
      <c r="S17" s="4" t="n"/>
      <c r="T17" s="4" t="n"/>
      <c r="U17" s="4" t="n"/>
      <c r="V17" s="4" t="n"/>
      <c r="W17" s="4" t="n"/>
    </row>
    <row r="18">
      <c r="A18" s="5" t="inlineStr">
        <is>
          <t>OPS-024</t>
        </is>
      </c>
      <c r="B18" s="5" t="inlineStr">
        <is>
          <t>SWEBOK</t>
        </is>
      </c>
      <c r="C18" s="4" t="inlineStr">
        <is>
          <t>3. 環境管理・IaC(SWEBOK 6-2.2)</t>
        </is>
      </c>
      <c r="D18" s="10" t="inlineStr">
        <is>
          <t>Medium</t>
        </is>
      </c>
      <c r="E18" s="4" t="inlineStr">
        <is>
          <t>構成情報(パラメータ・シークレット)の管理方法が定義されている</t>
        </is>
      </c>
      <c r="F18" s="4" t="inlineStr">
        <is>
          <t>設定値の管理場所と、シークレットが平文でリポジトリ・文書に置かれない旨の方式が記載されている</t>
        </is>
      </c>
      <c r="G18" s="4" t="inlineStr">
        <is>
          <t>シークレットが平文でリポジトリや文書に置かれると、漏えい時に全環境の認証情報の一斉ローテーションを迫られる重大事故になる。設定値の管理場所を一元化し漏えいリスクを下げる。</t>
        </is>
      </c>
      <c r="H18" s="4" t="inlineStr">
        <is>
          <t>swebok-v4a.pdf ch06 SE Operations &gt; 2.2 Development and Operational Environments / 2.6(protection and controls)</t>
        </is>
      </c>
      <c r="I18" s="4" t="inlineStr">
        <is>
          <t>CORE</t>
        </is>
      </c>
      <c r="J18" s="4" t="inlineStr">
        <is>
          <t>原則適用。案件スコープ・成果物・規制・リスク上非該当の場合はN/A根拠を記録。</t>
        </is>
      </c>
      <c r="K18" s="4" t="inlineStr">
        <is>
          <t>SRC-SWEBOK-V4A</t>
        </is>
      </c>
      <c r="L18" s="4" t="inlineStr">
        <is>
          <t>OPS-IAC</t>
        </is>
      </c>
      <c r="M18" s="4" t="n"/>
      <c r="N18" s="4" t="n"/>
      <c r="O18" s="4" t="n"/>
      <c r="P18" s="4" t="n"/>
      <c r="Q18" s="4" t="n"/>
      <c r="R18" s="4" t="n"/>
      <c r="S18" s="4" t="n"/>
      <c r="T18" s="4" t="n"/>
      <c r="U18" s="4" t="n"/>
      <c r="V18" s="4" t="n"/>
      <c r="W18" s="4" t="n"/>
    </row>
    <row r="19">
      <c r="A19" s="5" t="inlineStr">
        <is>
          <t>OPS-025</t>
        </is>
      </c>
      <c r="B19" s="5" t="inlineStr">
        <is>
          <t>SWEBOK</t>
        </is>
      </c>
      <c r="C19" s="4" t="inlineStr">
        <is>
          <t>3. 環境管理・IaC(SWEBOK 6-2.2)</t>
        </is>
      </c>
      <c r="D19" s="10" t="inlineStr">
        <is>
          <t>Medium</t>
        </is>
      </c>
      <c r="E19" s="4" t="inlineStr">
        <is>
          <t>環境の払い出し・破棄の手順または自動化がある</t>
        </is>
      </c>
      <c r="F19" s="4" t="inlineStr">
        <is>
          <t>新環境の作成・不要環境の削除の手順か、セルフサービス化されたパイプラインの記載がある</t>
        </is>
      </c>
      <c r="G19" s="4" t="inlineStr">
        <is>
          <t>環境の払い出し・破棄の仕組みがないと、検証のたびに環境待ちで開発が停滞したり、放置環境がコストとセキュリティホールになる。環境オンデマンド化(サービスとしての環境提供)の観点を確認する。</t>
        </is>
      </c>
      <c r="H19" s="4" t="inlineStr">
        <is>
          <t>swebok-v4a.pdf ch06 SE Operations &gt; 1.1 Definition(environment on demand)/ 2.2 Development and Operational Environments</t>
        </is>
      </c>
      <c r="I19" s="4" t="inlineStr">
        <is>
          <t>CORE</t>
        </is>
      </c>
      <c r="J19" s="4" t="inlineStr">
        <is>
          <t>原則適用。案件スコープ・成果物・規制・リスク上非該当の場合はN/A根拠を記録。</t>
        </is>
      </c>
      <c r="K19" s="4" t="inlineStr">
        <is>
          <t>SRC-SWEBOK-V4A</t>
        </is>
      </c>
      <c r="L19" s="4" t="inlineStr">
        <is>
          <t>OPS-IAC</t>
        </is>
      </c>
      <c r="M19" s="4" t="n"/>
      <c r="N19" s="4" t="n"/>
      <c r="O19" s="4" t="n"/>
      <c r="P19" s="4" t="n"/>
      <c r="Q19" s="4" t="n"/>
      <c r="R19" s="4" t="n"/>
      <c r="S19" s="4" t="n"/>
      <c r="T19" s="4" t="n"/>
      <c r="U19" s="4" t="n"/>
      <c r="V19" s="4" t="n"/>
      <c r="W19" s="4" t="n"/>
    </row>
    <row r="20">
      <c r="A20" s="5" t="inlineStr">
        <is>
          <t>OPS-030</t>
        </is>
      </c>
      <c r="B20" s="5" t="inlineStr">
        <is>
          <t>SWEBOK</t>
        </is>
      </c>
      <c r="C20" s="4" t="inlineStr">
        <is>
          <t>4. サービスレベル(SLO/SLI/SLA)(SWEBOK 6-2.3)</t>
        </is>
      </c>
      <c r="D20" s="8" t="inlineStr">
        <is>
          <t>Critical</t>
        </is>
      </c>
      <c r="E20" s="4" t="inlineStr">
        <is>
          <t>SLI が定義され、計測方法が明記されている</t>
        </is>
      </c>
      <c r="F20" s="4" t="inlineStr">
        <is>
          <t>各 SLI に定義式(分子/分母)・データソース・計測ポイントが記載され、第三者が同じ値を再現計算できる</t>
        </is>
      </c>
      <c r="G20" s="4" t="inlineStr">
        <is>
          <t>SLI の定義式・データソースが曖昧だと、関係者ごとに違う数値を見て「達成/未達」の水掛け論になる。第三者が再現計算できる定義にすることで、サービスレベル管理の土台を作る。</t>
        </is>
      </c>
      <c r="H20" s="4" t="inlineStr">
        <is>
          <t>swebok-v4a.pdf ch06 SE Operations &gt; 2.3 Software Availability, Continuity, and Service Levels(service-level management)</t>
        </is>
      </c>
      <c r="I20" s="4" t="inlineStr">
        <is>
          <t>CORE</t>
        </is>
      </c>
      <c r="J20" s="4" t="inlineStr">
        <is>
          <t>原則適用。案件スコープ・成果物・規制・リスク上非該当の場合はN/A根拠を記録。</t>
        </is>
      </c>
      <c r="K20" s="4" t="inlineStr">
        <is>
          <t>SRC-SWEBOK-V4A</t>
        </is>
      </c>
      <c r="L20" s="4" t="inlineStr"/>
      <c r="M20" s="4" t="n"/>
      <c r="N20" s="4" t="n"/>
      <c r="O20" s="4" t="n"/>
      <c r="P20" s="4" t="n"/>
      <c r="Q20" s="4" t="n"/>
      <c r="R20" s="4" t="n"/>
      <c r="S20" s="4" t="n"/>
      <c r="T20" s="4" t="n"/>
      <c r="U20" s="4" t="n"/>
      <c r="V20" s="4" t="n"/>
      <c r="W20" s="4" t="n"/>
    </row>
    <row r="21">
      <c r="A21" s="5" t="inlineStr">
        <is>
          <t>OPS-031</t>
        </is>
      </c>
      <c r="B21" s="5" t="inlineStr">
        <is>
          <t>SWEBOK</t>
        </is>
      </c>
      <c r="C21" s="4" t="inlineStr">
        <is>
          <t>4. サービスレベル(SLO/SLI/SLA)(SWEBOK 6-2.3)</t>
        </is>
      </c>
      <c r="D21" s="8" t="inlineStr">
        <is>
          <t>Critical</t>
        </is>
      </c>
      <c r="E21" s="4" t="inlineStr">
        <is>
          <t>SLO に目標値と計測期間が設定されている</t>
        </is>
      </c>
      <c r="F21" s="4" t="inlineStr">
        <is>
          <t>各 SLO に数値目標(例: 99.9%)と期間(例: 直近30日ローリング)が記載されている</t>
        </is>
      </c>
      <c r="G21" s="4" t="inlineStr">
        <is>
          <t>目標値と計測期間がないと、可用性が徐々に劣化しても「問題」と認識されず、信頼性投資の判断ができない。数値目標と期間の合意が改善サイクルの起点になる。</t>
        </is>
      </c>
      <c r="H21" s="4" t="inlineStr">
        <is>
          <t>swebok-v4a.pdf ch06 SE Operations &gt; 2.3 Software Availability, Continuity, and Service Levels(service-level targets)</t>
        </is>
      </c>
      <c r="I21" s="4" t="inlineStr">
        <is>
          <t>CORE</t>
        </is>
      </c>
      <c r="J21" s="4" t="inlineStr">
        <is>
          <t>原則適用。案件スコープ・成果物・規制・リスク上非該当の場合はN/A根拠を記録。</t>
        </is>
      </c>
      <c r="K21" s="4" t="inlineStr">
        <is>
          <t>SRC-SWEBOK-V4A</t>
        </is>
      </c>
      <c r="L21" s="4" t="inlineStr"/>
      <c r="M21" s="4" t="n"/>
      <c r="N21" s="4" t="n"/>
      <c r="O21" s="4" t="n"/>
      <c r="P21" s="4" t="n"/>
      <c r="Q21" s="4" t="n"/>
      <c r="R21" s="4" t="n"/>
      <c r="S21" s="4" t="n"/>
      <c r="T21" s="4" t="n"/>
      <c r="U21" s="4" t="n"/>
      <c r="V21" s="4" t="n"/>
      <c r="W21" s="4" t="n"/>
    </row>
    <row r="22">
      <c r="A22" s="5" t="inlineStr">
        <is>
          <t>OPS-032</t>
        </is>
      </c>
      <c r="B22" s="5" t="inlineStr">
        <is>
          <t>SWEBOK</t>
        </is>
      </c>
      <c r="C22" s="4" t="inlineStr">
        <is>
          <t>4. サービスレベル(SLO/SLI/SLA)(SWEBOK 6-2.3)</t>
        </is>
      </c>
      <c r="D22" s="9" t="inlineStr">
        <is>
          <t>High</t>
        </is>
      </c>
      <c r="E22" s="4" t="inlineStr">
        <is>
          <t>SLI がユーザー体験を代表している</t>
        </is>
      </c>
      <c r="F22" s="4" t="inlineStr">
        <is>
          <t>可用性・レイテンシ・エラー率等がユーザー接点(リクエスト成否等)で定義され、サーバー死活のみに依存していない</t>
        </is>
      </c>
      <c r="G22" s="4" t="inlineStr">
        <is>
          <t>サーバー死活だけを SLI にすると、ユーザーには使えないのに「全系正常」と表示される監視盲点が生まれる。ユーザー体験ベースの指標にすることで「動いているのに使えない」障害の見逃しを防ぐ。</t>
        </is>
      </c>
      <c r="H22" s="4" t="inlineStr">
        <is>
          <t>swebok-v4a.pdf ch06 SE Operations &gt; 2.3 Software Availability, Continuity, and Service Levels + 実務補完(Google SRE)</t>
        </is>
      </c>
      <c r="I22" s="4" t="inlineStr">
        <is>
          <t>CORE</t>
        </is>
      </c>
      <c r="J22" s="4" t="inlineStr">
        <is>
          <t>原則適用。案件スコープ・成果物・規制・リスク上非該当の場合はN/A根拠を記録。</t>
        </is>
      </c>
      <c r="K22" s="4" t="inlineStr">
        <is>
          <t>SRC-SWEBOK-V4A;SRC-GCP-AIML;SRC-SRE;SRC-PRACTICE</t>
        </is>
      </c>
      <c r="L22" s="4" t="inlineStr"/>
      <c r="M22" s="4" t="n"/>
      <c r="N22" s="4" t="n"/>
      <c r="O22" s="4" t="n"/>
      <c r="P22" s="4" t="n"/>
      <c r="Q22" s="4" t="n"/>
      <c r="R22" s="4" t="n"/>
      <c r="S22" s="4" t="n"/>
      <c r="T22" s="4" t="n"/>
      <c r="U22" s="4" t="n"/>
      <c r="V22" s="4" t="n"/>
      <c r="W22" s="4" t="n"/>
    </row>
    <row r="23">
      <c r="A23" s="5" t="inlineStr">
        <is>
          <t>OPS-033</t>
        </is>
      </c>
      <c r="B23" s="5" t="inlineStr">
        <is>
          <t>SWEBOK</t>
        </is>
      </c>
      <c r="C23" s="4" t="inlineStr">
        <is>
          <t>4. サービスレベル(SLO/SLI/SLA)(SWEBOK 6-2.3)</t>
        </is>
      </c>
      <c r="D23" s="9" t="inlineStr">
        <is>
          <t>High</t>
        </is>
      </c>
      <c r="E23" s="4" t="inlineStr">
        <is>
          <t>SLO の除外条件が定義されている</t>
        </is>
      </c>
      <c r="F23" s="4" t="inlineStr">
        <is>
          <t>計画メンテナンス・不可抗力等の除外条件の有無が明記されている(除外なしの場合はその旨)</t>
        </is>
      </c>
      <c r="G23" s="4" t="inlineStr">
        <is>
          <t>除外条件が未定義だと、計画メンテナンス後に SLO 未達の扱いをめぐって顧客・経営と紛争になる。計測ルールの解釈揺れを事前に排除する。</t>
        </is>
      </c>
      <c r="H23" s="4" t="inlineStr">
        <is>
          <t>swebok-v4a.pdf ch06 SE Operations &gt; 2.3 Software Availability, Continuity, and Service Levels(SLAs clarify obligations)</t>
        </is>
      </c>
      <c r="I23" s="4" t="inlineStr">
        <is>
          <t>CORE</t>
        </is>
      </c>
      <c r="J23" s="4" t="inlineStr">
        <is>
          <t>原則適用。案件スコープ・成果物・規制・リスク上非該当の場合はN/A根拠を記録。</t>
        </is>
      </c>
      <c r="K23" s="4" t="inlineStr">
        <is>
          <t>SRC-SWEBOK-V4A</t>
        </is>
      </c>
      <c r="L23" s="4" t="inlineStr"/>
      <c r="M23" s="4" t="n"/>
      <c r="N23" s="4" t="n"/>
      <c r="O23" s="4" t="n"/>
      <c r="P23" s="4" t="n"/>
      <c r="Q23" s="4" t="n"/>
      <c r="R23" s="4" t="n"/>
      <c r="S23" s="4" t="n"/>
      <c r="T23" s="4" t="n"/>
      <c r="U23" s="4" t="n"/>
      <c r="V23" s="4" t="n"/>
      <c r="W23" s="4" t="n"/>
    </row>
    <row r="24">
      <c r="A24" s="5" t="inlineStr">
        <is>
          <t>OPS-034</t>
        </is>
      </c>
      <c r="B24" s="5" t="inlineStr">
        <is>
          <t>SWEBOK</t>
        </is>
      </c>
      <c r="C24" s="4" t="inlineStr">
        <is>
          <t>4. サービスレベル(SLO/SLI/SLA)(SWEBOK 6-2.3)</t>
        </is>
      </c>
      <c r="D24" s="9" t="inlineStr">
        <is>
          <t>High</t>
        </is>
      </c>
      <c r="E24" s="4" t="inlineStr">
        <is>
          <t>エラーバジェット消費時のアクションが決まっている</t>
        </is>
      </c>
      <c r="F24" s="4" t="inlineStr">
        <is>
          <t>バジェット枯渇・超過時の対応(リリース凍結、信頼性作業の優先等)と判断者が記載されている</t>
        </is>
      </c>
      <c r="G24" s="4" t="inlineStr">
        <is>
          <t>エラーバジェット枯渇時のルールがないと、信頼性が悪化していても機能リリースが止まらず、SLO が形骸化する。リリース凍結等の強制力ある対応をあらかじめ合意しておく。</t>
        </is>
      </c>
      <c r="H24" s="4" t="inlineStr">
        <is>
          <t>実務補完(Google SRE: エラーバジェットポリシー)。SWEBOK 2.3 の SLO 管理を実効化する項目</t>
        </is>
      </c>
      <c r="I24" s="4" t="inlineStr">
        <is>
          <t>CORE</t>
        </is>
      </c>
      <c r="J24" s="4" t="inlineStr">
        <is>
          <t>原則適用。案件スコープ・成果物・規制・リスク上非該当の場合はN/A根拠を記録。</t>
        </is>
      </c>
      <c r="K24" s="4" t="inlineStr">
        <is>
          <t>SRC-GCP-WAF;SRC-SRE;SRC-PRACTICE</t>
        </is>
      </c>
      <c r="L24" s="4" t="inlineStr"/>
      <c r="M24" s="4" t="n"/>
      <c r="N24" s="4" t="n"/>
      <c r="O24" s="4" t="n"/>
      <c r="P24" s="4" t="n"/>
      <c r="Q24" s="4" t="n"/>
      <c r="R24" s="4" t="n"/>
      <c r="S24" s="4" t="n"/>
      <c r="T24" s="4" t="n"/>
      <c r="U24" s="4" t="n"/>
      <c r="V24" s="4" t="n"/>
      <c r="W24" s="4" t="n"/>
    </row>
    <row r="25">
      <c r="A25" s="5" t="inlineStr">
        <is>
          <t>OPS-035</t>
        </is>
      </c>
      <c r="B25" s="5" t="inlineStr">
        <is>
          <t>SWEBOK</t>
        </is>
      </c>
      <c r="C25" s="4" t="inlineStr">
        <is>
          <t>4. サービスレベル(SLO/SLI/SLA)(SWEBOK 6-2.3)</t>
        </is>
      </c>
      <c r="D25" s="10" t="inlineStr">
        <is>
          <t>Medium</t>
        </is>
      </c>
      <c r="E25" s="4" t="inlineStr">
        <is>
          <t>SLA と SLO の関係が整理されている</t>
        </is>
      </c>
      <c r="F25" s="4" t="inlineStr">
        <is>
          <t>対外 SLA がある場合、SLO が SLA より厳しい値に設定されているか、対応関係が記載されている</t>
        </is>
      </c>
      <c r="G25" s="4" t="inlineStr">
        <is>
          <t>SLO が対外 SLA と同値以下だと、内部で異常に気付いた時点で既に契約違反(違約金)が確定している。SLO を SLA より厳しく設定し、対外約束の手前で検知・対処できる余裕を確保する。</t>
        </is>
      </c>
      <c r="H25" s="4" t="inlineStr">
        <is>
          <t>swebok-v4a.pdf ch06 SE Operations &gt; 2.3 Software Availability, Continuity, and Service Levels(SLA)</t>
        </is>
      </c>
      <c r="I25" s="4" t="inlineStr">
        <is>
          <t>CORE</t>
        </is>
      </c>
      <c r="J25" s="4" t="inlineStr">
        <is>
          <t>原則適用。案件スコープ・成果物・規制・リスク上非該当の場合はN/A根拠を記録。</t>
        </is>
      </c>
      <c r="K25" s="4" t="inlineStr">
        <is>
          <t>SRC-SWEBOK-V4A</t>
        </is>
      </c>
      <c r="L25" s="4" t="inlineStr"/>
      <c r="M25" s="4" t="n"/>
      <c r="N25" s="4" t="n"/>
      <c r="O25" s="4" t="n"/>
      <c r="P25" s="4" t="n"/>
      <c r="Q25" s="4" t="n"/>
      <c r="R25" s="4" t="n"/>
      <c r="S25" s="4" t="n"/>
      <c r="T25" s="4" t="n"/>
      <c r="U25" s="4" t="n"/>
      <c r="V25" s="4" t="n"/>
      <c r="W25" s="4" t="n"/>
    </row>
    <row r="26">
      <c r="A26" s="5" t="inlineStr">
        <is>
          <t>OPS-036</t>
        </is>
      </c>
      <c r="B26" s="5" t="inlineStr">
        <is>
          <t>SWEBOK</t>
        </is>
      </c>
      <c r="C26" s="4" t="inlineStr">
        <is>
          <t>4. サービスレベル(SLO/SLI/SLA)(SWEBOK 6-2.3)</t>
        </is>
      </c>
      <c r="D26" s="10" t="inlineStr">
        <is>
          <t>Medium</t>
        </is>
      </c>
      <c r="E26" s="4" t="inlineStr">
        <is>
          <t>SLO の見直し周期と承認者が定義されている</t>
        </is>
      </c>
      <c r="F26" s="4" t="inlineStr">
        <is>
          <t>見直し頻度(例: 四半期ごと)と承認者・合意プロセスが記載されている</t>
        </is>
      </c>
      <c r="G26" s="4" t="inlineStr">
        <is>
          <t>SLO を一度決めたきり放置すると、ビジネス要求や実力値と乖離して達成不能または緩すぎる目標になり、誰も参照しなくなる。見直し周期と承認者を決めて生きた指標に保つ。</t>
        </is>
      </c>
      <c r="H26" s="4" t="inlineStr">
        <is>
          <t>swebok-v4a.pdf ch06 SE Operations &gt; 2.3(service-level management process monitors agreed service levels)/ 4.5 Service Reporting</t>
        </is>
      </c>
      <c r="I26" s="4" t="inlineStr">
        <is>
          <t>CORE</t>
        </is>
      </c>
      <c r="J26" s="4" t="inlineStr">
        <is>
          <t>原則適用。案件スコープ・成果物・規制・リスク上非該当の場合はN/A根拠を記録。</t>
        </is>
      </c>
      <c r="K26" s="4" t="inlineStr">
        <is>
          <t>SRC-SWEBOK-V4A</t>
        </is>
      </c>
      <c r="L26" s="4" t="inlineStr"/>
      <c r="M26" s="4" t="n"/>
      <c r="N26" s="4" t="n"/>
      <c r="O26" s="4" t="n"/>
      <c r="P26" s="4" t="n"/>
      <c r="Q26" s="4" t="n"/>
      <c r="R26" s="4" t="n"/>
      <c r="S26" s="4" t="n"/>
      <c r="T26" s="4" t="n"/>
      <c r="U26" s="4" t="n"/>
      <c r="V26" s="4" t="n"/>
      <c r="W26" s="4" t="n"/>
    </row>
    <row r="27">
      <c r="A27" s="5" t="inlineStr">
        <is>
          <t>OPS-037</t>
        </is>
      </c>
      <c r="B27" s="5" t="inlineStr">
        <is>
          <t>SWEBOK</t>
        </is>
      </c>
      <c r="C27" s="4" t="inlineStr">
        <is>
          <t>4. サービスレベル(SLO/SLI/SLA)(SWEBOK 6-2.3)</t>
        </is>
      </c>
      <c r="D27" s="11" t="inlineStr">
        <is>
          <t>Low</t>
        </is>
      </c>
      <c r="E27" s="4" t="inlineStr">
        <is>
          <t>サポート時間・問い合わせ窓口が定義されている</t>
        </is>
      </c>
      <c r="F27" s="4" t="inlineStr">
        <is>
          <t>ユーザーからの問い合わせ受付時間・チャネル・応答目標が記載されている</t>
        </is>
      </c>
      <c r="G27" s="4" t="inlineStr">
        <is>
          <t>問い合わせ窓口・受付時間が未定義だと、ユーザーが障害を報告できず検知が遅れたり、運用チームが無制限のサポート要求を負うことになる。CONOPS が求める「利用者が問題を報告する方法」を確認する。</t>
        </is>
      </c>
      <c r="H27" s="4" t="inlineStr">
        <is>
          <t>swebok-v4a.pdf ch06 SE Operations &gt; 2.1.1 Operations Plan(CONOPS: how users report problems)/ 4.4 Operations Support</t>
        </is>
      </c>
      <c r="I27" s="4" t="inlineStr">
        <is>
          <t>CORE</t>
        </is>
      </c>
      <c r="J27" s="4" t="inlineStr">
        <is>
          <t>原則適用。案件スコープ・成果物・規制・リスク上非該当の場合はN/A根拠を記録。</t>
        </is>
      </c>
      <c r="K27" s="4" t="inlineStr">
        <is>
          <t>SRC-SWEBOK-V4A</t>
        </is>
      </c>
      <c r="L27" s="4" t="inlineStr"/>
      <c r="M27" s="4" t="n"/>
      <c r="N27" s="4" t="n"/>
      <c r="O27" s="4" t="n"/>
      <c r="P27" s="4" t="n"/>
      <c r="Q27" s="4" t="n"/>
      <c r="R27" s="4" t="n"/>
      <c r="S27" s="4" t="n"/>
      <c r="T27" s="4" t="n"/>
      <c r="U27" s="4" t="n"/>
      <c r="V27" s="4" t="n"/>
      <c r="W27" s="4" t="n"/>
    </row>
    <row r="28">
      <c r="A28" s="5" t="inlineStr">
        <is>
          <t>OPS-040</t>
        </is>
      </c>
      <c r="B28" s="5" t="inlineStr">
        <is>
          <t>SWEBOK</t>
        </is>
      </c>
      <c r="C28" s="4" t="inlineStr">
        <is>
          <t>5. 容量・性能管理(SWEBOK 6-1.6 / 6-2.4)</t>
        </is>
      </c>
      <c r="D28" s="9" t="inlineStr">
        <is>
          <t>High</t>
        </is>
      </c>
      <c r="E28" s="4" t="inlineStr">
        <is>
          <t>現状のリソース使用状況と上限が把握されている</t>
        </is>
      </c>
      <c r="F28" s="4" t="inlineStr">
        <is>
          <t>CPU・メモリ・ストレージ・接続数等の現在値と上限(またはその計測手段)が記載されている</t>
        </is>
      </c>
      <c r="G28" s="4" t="inlineStr">
        <is>
          <t>現在のリソース使用量と上限を把握していないと、ディスク枯渇や接続数上限到達という「予見可能な障害」を突発障害として食らう。容量管理の出発点となる現状把握を確認する。</t>
        </is>
      </c>
      <c r="H28" s="4" t="inlineStr">
        <is>
          <t>swebok-v4a.pdf ch06 SE Operations &gt; 2.4 Software Capacity Management(data on resource utilization captured and analyzed)</t>
        </is>
      </c>
      <c r="I28" s="4" t="inlineStr">
        <is>
          <t>CORE</t>
        </is>
      </c>
      <c r="J28" s="4" t="inlineStr">
        <is>
          <t>原則適用。案件スコープ・成果物・規制・リスク上非該当の場合はN/A根拠を記録。</t>
        </is>
      </c>
      <c r="K28" s="4" t="inlineStr">
        <is>
          <t>SRC-SWEBOK-V4A</t>
        </is>
      </c>
      <c r="L28" s="4" t="inlineStr"/>
      <c r="M28" s="4" t="n"/>
      <c r="N28" s="4" t="n"/>
      <c r="O28" s="4" t="n"/>
      <c r="P28" s="4" t="n"/>
      <c r="Q28" s="4" t="n"/>
      <c r="R28" s="4" t="n"/>
      <c r="S28" s="4" t="n"/>
      <c r="T28" s="4" t="n"/>
      <c r="U28" s="4" t="n"/>
      <c r="V28" s="4" t="n"/>
      <c r="W28" s="4" t="n"/>
    </row>
    <row r="29">
      <c r="A29" s="5" t="inlineStr">
        <is>
          <t>OPS-041</t>
        </is>
      </c>
      <c r="B29" s="5" t="inlineStr">
        <is>
          <t>SWEBOK</t>
        </is>
      </c>
      <c r="C29" s="4" t="inlineStr">
        <is>
          <t>5. 容量・性能管理(SWEBOK 6-1.6 / 6-2.4)</t>
        </is>
      </c>
      <c r="D29" s="9" t="inlineStr">
        <is>
          <t>High</t>
        </is>
      </c>
      <c r="E29" s="4" t="inlineStr">
        <is>
          <t>需要予測に基づく容量計画がある</t>
        </is>
      </c>
      <c r="F29" s="4" t="inlineStr">
        <is>
          <t>利用者数・データ量等の増加見込みと、それに対する増強計画・時期が記載されている</t>
        </is>
      </c>
      <c r="G29" s="4" t="inlineStr">
        <is>
          <t>需要予測なしの運用は、キャンペーンや利用者増でキャパシティ超過に陥り、緊急増強(高コスト・高リスク)を強いられる。事業予測を容量要件に翻訳しておくことで計画的な増強を可能にする。</t>
        </is>
      </c>
      <c r="H29" s="4" t="inlineStr">
        <is>
          <t>swebok-v4a.pdf ch06 SE Operations &gt; 2.4 Software Capacity Management(business predictions and workload estimates translated into requirements)</t>
        </is>
      </c>
      <c r="I29" s="4" t="inlineStr">
        <is>
          <t>CORE</t>
        </is>
      </c>
      <c r="J29" s="4" t="inlineStr">
        <is>
          <t>原則適用。案件スコープ・成果物・規制・リスク上非該当の場合はN/A根拠を記録。</t>
        </is>
      </c>
      <c r="K29" s="4" t="inlineStr">
        <is>
          <t>SRC-SWEBOK-V4A</t>
        </is>
      </c>
      <c r="L29" s="4" t="inlineStr"/>
      <c r="M29" s="4" t="n"/>
      <c r="N29" s="4" t="n"/>
      <c r="O29" s="4" t="n"/>
      <c r="P29" s="4" t="n"/>
      <c r="Q29" s="4" t="n"/>
      <c r="R29" s="4" t="n"/>
      <c r="S29" s="4" t="n"/>
      <c r="T29" s="4" t="n"/>
      <c r="U29" s="4" t="n"/>
      <c r="V29" s="4" t="n"/>
      <c r="W29" s="4" t="n"/>
    </row>
    <row r="30">
      <c r="A30" s="5" t="inlineStr">
        <is>
          <t>OPS-042</t>
        </is>
      </c>
      <c r="B30" s="5" t="inlineStr">
        <is>
          <t>SWEBOK</t>
        </is>
      </c>
      <c r="C30" s="4" t="inlineStr">
        <is>
          <t>5. 容量・性能管理(SWEBOK 6-1.6 / 6-2.4)</t>
        </is>
      </c>
      <c r="D30" s="9" t="inlineStr">
        <is>
          <t>High</t>
        </is>
      </c>
      <c r="E30" s="4" t="inlineStr">
        <is>
          <t>スケール方式が定義されている</t>
        </is>
      </c>
      <c r="F30" s="4" t="inlineStr">
        <is>
          <t>垂直/水平スケールの方式、自動スケールの条件(トリガー・上限)または手動増強の手順が記載されている</t>
        </is>
      </c>
      <c r="G30" s="4" t="inlineStr">
        <is>
          <t>スケール方式が未定義だと、負荷急増時にその場しのぎの構成変更で二次障害を起こす。自動スケールの条件と上限(暴走時のコスト歯止め)まで決めておく。</t>
        </is>
      </c>
      <c r="H30" s="4" t="inlineStr">
        <is>
          <t>swebok-v4a.pdf ch06 SE Operations &gt; 1.6 Performance, Reliability and Load Balancing(adjust dynamically according to demand)/ 2.4</t>
        </is>
      </c>
      <c r="I30" s="4" t="inlineStr">
        <is>
          <t>CORE</t>
        </is>
      </c>
      <c r="J30" s="4" t="inlineStr">
        <is>
          <t>原則適用。案件スコープ・成果物・規制・リスク上非該当の場合はN/A根拠を記録。</t>
        </is>
      </c>
      <c r="K30" s="4" t="inlineStr">
        <is>
          <t>SRC-SWEBOK-V4A</t>
        </is>
      </c>
      <c r="L30" s="4" t="inlineStr"/>
      <c r="M30" s="4" t="n"/>
      <c r="N30" s="4" t="n"/>
      <c r="O30" s="4" t="n"/>
      <c r="P30" s="4" t="n"/>
      <c r="Q30" s="4" t="n"/>
      <c r="R30" s="4" t="n"/>
      <c r="S30" s="4" t="n"/>
      <c r="T30" s="4" t="n"/>
      <c r="U30" s="4" t="n"/>
      <c r="V30" s="4" t="n"/>
      <c r="W30" s="4" t="n"/>
    </row>
    <row r="31">
      <c r="A31" s="5" t="inlineStr">
        <is>
          <t>OPS-043</t>
        </is>
      </c>
      <c r="B31" s="5" t="inlineStr">
        <is>
          <t>SWEBOK</t>
        </is>
      </c>
      <c r="C31" s="4" t="inlineStr">
        <is>
          <t>5. 容量・性能管理(SWEBOK 6-1.6 / 6-2.4)</t>
        </is>
      </c>
      <c r="D31" s="10" t="inlineStr">
        <is>
          <t>Medium</t>
        </is>
      </c>
      <c r="E31" s="4" t="inlineStr">
        <is>
          <t>容量計画の見直し周期が定義されている</t>
        </is>
      </c>
      <c r="F31" s="4" t="inlineStr">
        <is>
          <t>年1回以上の見直し頻度と実施契機(定期・イベント時)が記載されている</t>
        </is>
      </c>
      <c r="G31" s="4" t="inlineStr">
        <is>
          <t>容量計画は作成時点から陳腐化するため、見直し契機がないと予測と実態が乖離したまま運用される。SWEBOK/ISO 20000-1 が求める「少なくとも年1回」の更新を担保する。</t>
        </is>
      </c>
      <c r="H31" s="4" t="inlineStr">
        <is>
          <t>swebok-v4a.pdf ch06 SE Operations &gt; 2.4 Software Capacity Management(capacity plan produced at suitable frequency, at least annually)</t>
        </is>
      </c>
      <c r="I31" s="4" t="inlineStr">
        <is>
          <t>CORE</t>
        </is>
      </c>
      <c r="J31" s="4" t="inlineStr">
        <is>
          <t>原則適用。案件スコープ・成果物・規制・リスク上非該当の場合はN/A根拠を記録。</t>
        </is>
      </c>
      <c r="K31" s="4" t="inlineStr">
        <is>
          <t>SRC-SWEBOK-V4A</t>
        </is>
      </c>
      <c r="L31" s="4" t="inlineStr"/>
      <c r="M31" s="4" t="n"/>
      <c r="N31" s="4" t="n"/>
      <c r="O31" s="4" t="n"/>
      <c r="P31" s="4" t="n"/>
      <c r="Q31" s="4" t="n"/>
      <c r="R31" s="4" t="n"/>
      <c r="S31" s="4" t="n"/>
      <c r="T31" s="4" t="n"/>
      <c r="U31" s="4" t="n"/>
      <c r="V31" s="4" t="n"/>
      <c r="W31" s="4" t="n"/>
    </row>
    <row r="32">
      <c r="A32" s="5" t="inlineStr">
        <is>
          <t>OPS-044</t>
        </is>
      </c>
      <c r="B32" s="5" t="inlineStr">
        <is>
          <t>SWEBOK</t>
        </is>
      </c>
      <c r="C32" s="4" t="inlineStr">
        <is>
          <t>5. 容量・性能管理(SWEBOK 6-1.6 / 6-2.4)</t>
        </is>
      </c>
      <c r="D32" s="10" t="inlineStr">
        <is>
          <t>Medium</t>
        </is>
      </c>
      <c r="E32" s="4" t="inlineStr">
        <is>
          <t>性能要件(レイテンシ・スループット)と負荷分散方式が記載されている</t>
        </is>
      </c>
      <c r="F32" s="4" t="inlineStr">
        <is>
          <t>性能目標値と、負荷分散の構成(方式・ヘルスチェック)が記載されている</t>
        </is>
      </c>
      <c r="G32" s="4" t="inlineStr">
        <is>
          <t>性能目標と負荷分散構成が文書化されていないと、性能劣化時に「何が正常か」の基準がなく対応判断ができない。またヘルスチェック不備は障害ノードへの振り分け継続を招く。</t>
        </is>
      </c>
      <c r="H32" s="4" t="inlineStr">
        <is>
          <t>swebok-v4a.pdf ch06 SE Operations &gt; 1.6 Performance, Reliability and Load Balancing</t>
        </is>
      </c>
      <c r="I32" s="4" t="inlineStr">
        <is>
          <t>CORE</t>
        </is>
      </c>
      <c r="J32" s="4" t="inlineStr">
        <is>
          <t>原則適用。案件スコープ・成果物・規制・リスク上非該当の場合はN/A根拠を記録。</t>
        </is>
      </c>
      <c r="K32" s="4" t="inlineStr">
        <is>
          <t>SRC-SWEBOK-V4A</t>
        </is>
      </c>
      <c r="L32" s="4" t="inlineStr"/>
      <c r="M32" s="4" t="n"/>
      <c r="N32" s="4" t="n"/>
      <c r="O32" s="4" t="n"/>
      <c r="P32" s="4" t="n"/>
      <c r="Q32" s="4" t="n"/>
      <c r="R32" s="4" t="n"/>
      <c r="S32" s="4" t="n"/>
      <c r="T32" s="4" t="n"/>
      <c r="U32" s="4" t="n"/>
      <c r="V32" s="4" t="n"/>
      <c r="W32" s="4" t="n"/>
    </row>
    <row r="33">
      <c r="A33" s="5" t="inlineStr">
        <is>
          <t>OPS-045</t>
        </is>
      </c>
      <c r="B33" s="5" t="inlineStr">
        <is>
          <t>SWEBOK</t>
        </is>
      </c>
      <c r="C33" s="4" t="inlineStr">
        <is>
          <t>5. 容量・性能管理(SWEBOK 6-1.6 / 6-2.4)</t>
        </is>
      </c>
      <c r="D33" s="10" t="inlineStr">
        <is>
          <t>Medium</t>
        </is>
      </c>
      <c r="E33" s="4" t="inlineStr">
        <is>
          <t>容量逼迫の予兆を検知するアラートがある</t>
        </is>
      </c>
      <c r="F33" s="4" t="inlineStr">
        <is>
          <t>ストレージ・接続数等の使用率に対する警告閾値(枯渇前に対応可能な水準)が監視設計に含まれる</t>
        </is>
      </c>
      <c r="G33" s="4" t="inlineStr">
        <is>
          <t>使用率アラートがないと、容量逼迫は「満杯になった瞬間」の障害として顕在化する。枯渇前に対応時間を確保できる閾値を設定し、予防保全を可能にする。</t>
        </is>
      </c>
      <c r="H33" s="4" t="inlineStr">
        <is>
          <t>swebok-v4a.pdf ch06 SE Operations &gt; 2.4 Software Capacity Management / 5.1 Incident and Problem Prevention</t>
        </is>
      </c>
      <c r="I33" s="4" t="inlineStr">
        <is>
          <t>CORE</t>
        </is>
      </c>
      <c r="J33" s="4" t="inlineStr">
        <is>
          <t>原則適用。案件スコープ・成果物・規制・リスク上非該当の場合はN/A根拠を記録。</t>
        </is>
      </c>
      <c r="K33" s="4" t="inlineStr">
        <is>
          <t>SRC-SWEBOK-V4A</t>
        </is>
      </c>
      <c r="L33" s="4" t="inlineStr">
        <is>
          <t>OPS-OBSERVABILITY</t>
        </is>
      </c>
      <c r="M33" s="4" t="n"/>
      <c r="N33" s="4" t="n"/>
      <c r="O33" s="4" t="n"/>
      <c r="P33" s="4" t="n"/>
      <c r="Q33" s="4" t="n"/>
      <c r="R33" s="4" t="n"/>
      <c r="S33" s="4" t="n"/>
      <c r="T33" s="4" t="n"/>
      <c r="U33" s="4" t="n"/>
      <c r="V33" s="4" t="n"/>
      <c r="W33" s="4" t="n"/>
    </row>
    <row r="34">
      <c r="A34" s="12" t="inlineStr">
        <is>
          <t>OPS-CA01</t>
        </is>
      </c>
      <c r="B34" s="12" t="inlineStr">
        <is>
          <t>クラウド補完</t>
        </is>
      </c>
      <c r="C34" s="13" t="inlineStr">
        <is>
          <t>5. 容量・性能管理(SWEBOK 6-1.6 / 6-2.4)</t>
        </is>
      </c>
      <c r="D34" s="9" t="inlineStr">
        <is>
          <t>High</t>
        </is>
      </c>
      <c r="E34" s="13" t="inlineStr">
        <is>
          <t>利用する外部サービス・プラットフォームの上限値(クォータ・サービス制限・APIレート制限・ライセンス数等)が棚卸しされ、使用量の監視と、フェイルオーバー/ピーク時の必要量を織り込んだ事前引き上げのプロセスがある</t>
        </is>
      </c>
      <c r="F34" s="13" t="inlineStr">
        <is>
          <t>運用設計書に依存サービスの上限一覧と現在使用率・監視方法(閾値アラート)・引き上げ手順が記載され、DR/ピーク時所要量を加味した事前確保の記録がある</t>
        </is>
      </c>
      <c r="G34" s="13" t="inlineStr">
        <is>
          <t>上限到達はスケール失敗やスロットリング、災害復旧の失敗として最悪のタイミングで突然顕在化し、容量計画だけでは防げない。</t>
        </is>
      </c>
      <c r="H34" s="13" t="inlineStr">
        <is>
          <t>AWS Well-Architected Framework &gt; 信頼性の柱 &gt; REL 1 &gt; REL01-BP04 Monitor and manage quotas / REL01-BP06 / Well-Architected Framework for OCI &gt; Reliability and Resilience &gt; Manage Your Service Limits &gt; Monitor and Manage Your Service Limits / Factor Failover Usage in Your Service Limits</t>
        </is>
      </c>
      <c r="I34" s="13" t="inlineStr">
        <is>
          <t>CORE</t>
        </is>
      </c>
      <c r="J34" s="13" t="inlineStr">
        <is>
          <t>原則適用。案件スコープ・成果物・規制・リスク上非該当の場合はN/A根拠を記録。</t>
        </is>
      </c>
      <c r="K34" s="13" t="inlineStr">
        <is>
          <t>SRC-AWS-WAF;SRC-OCI-WAF</t>
        </is>
      </c>
      <c r="L34" s="13" t="inlineStr">
        <is>
          <t>RELIABILITY-HA;OPS-OBSERVABILITY</t>
        </is>
      </c>
      <c r="M34" s="13" t="n"/>
      <c r="N34" s="13" t="n"/>
      <c r="O34" s="13" t="n"/>
      <c r="P34" s="13" t="n"/>
      <c r="Q34" s="13" t="n"/>
      <c r="R34" s="13" t="n"/>
      <c r="S34" s="13" t="n"/>
      <c r="T34" s="13" t="n"/>
      <c r="U34" s="13" t="n"/>
      <c r="V34" s="13" t="n"/>
      <c r="W34" s="13" t="n"/>
    </row>
    <row r="35">
      <c r="A35" s="12" t="inlineStr">
        <is>
          <t>OPS-CG02</t>
        </is>
      </c>
      <c r="B35" s="12" t="inlineStr">
        <is>
          <t>クラウド補完</t>
        </is>
      </c>
      <c r="C35" s="13" t="inlineStr">
        <is>
          <t>5. 容量・性能管理(SWEBOK 6-1.6 / 6-2.4)</t>
        </is>
      </c>
      <c r="D35" s="10" t="inlineStr">
        <is>
          <t>Medium</t>
        </is>
      </c>
      <c r="E35" s="13" t="inlineStr">
        <is>
          <t>過負荷・部分障害時のスロットリング・負荷制限(load shedding)および縮退モード(グレースフルデグラデーション)の方針・発動条件・運用手順が定義されている</t>
        </is>
      </c>
      <c r="F35" s="13" t="inlineStr">
        <is>
          <t>処理能力超過時のリクエスト制御方針(レート制限、過剰リクエストの早期拒否、優先度付け)と、縮退モードの発動判断基準・切替手順・ユーザー告知手順が運用設計書/Runbookに記載されている</t>
        </is>
      </c>
      <c r="G35" s="13" t="inlineStr">
        <is>
          <t>過負荷・部分障害時の制御方針がないと、突発的なトラフィックが連鎖停止に発展し、部分障害を全面停止として扱うことになる。</t>
        </is>
      </c>
      <c r="H35" s="13" t="inlineStr">
        <is>
          <t>Google Cloud Well-Architected Framework &gt; 信頼性 &gt; Design for graceful degradation &gt; Implement throttling / Drop excess requests early / Azure Well-Architected Framework &gt; 信頼性の柱 &gt; RE:07 (Self-healing and self-preservation &gt; Implement a graceful degradation mode)</t>
        </is>
      </c>
      <c r="I35" s="13" t="inlineStr">
        <is>
          <t>CORE</t>
        </is>
      </c>
      <c r="J35" s="13" t="inlineStr">
        <is>
          <t>原則適用。案件スコープ・成果物・規制・リスク上非該当の場合はN/A根拠を記録。</t>
        </is>
      </c>
      <c r="K35" s="13" t="inlineStr">
        <is>
          <t>SRC-GCP-WAF;SRC-AZR-WAF</t>
        </is>
      </c>
      <c r="L35" s="13" t="inlineStr"/>
      <c r="M35" s="13" t="n"/>
      <c r="N35" s="13" t="n"/>
      <c r="O35" s="13" t="n"/>
      <c r="P35" s="13" t="n"/>
      <c r="Q35" s="13" t="n"/>
      <c r="R35" s="13" t="n"/>
      <c r="S35" s="13" t="n"/>
      <c r="T35" s="13" t="n"/>
      <c r="U35" s="13" t="n"/>
      <c r="V35" s="13" t="n"/>
      <c r="W35" s="13" t="n"/>
    </row>
    <row r="36">
      <c r="A36" s="5" t="inlineStr">
        <is>
          <t>OPS-050</t>
        </is>
      </c>
      <c r="B36" s="5" t="inlineStr">
        <is>
          <t>SWEBOK</t>
        </is>
      </c>
      <c r="C36" s="4" t="inlineStr">
        <is>
          <t>6. バックアップ・災害復旧・フェイルオーバー(SWEBOK 6-2.5)</t>
        </is>
      </c>
      <c r="D36" s="8" t="inlineStr">
        <is>
          <t>Critical</t>
        </is>
      </c>
      <c r="E36" s="4" t="inlineStr">
        <is>
          <t>RTO/RPO が数値で定義されている</t>
        </is>
      </c>
      <c r="F36" s="4" t="inlineStr">
        <is>
          <t>目標復旧時間(RTO)と目標復旧時点(RPO)が数値で記載され、業務要求との対応が示されている</t>
        </is>
      </c>
      <c r="G36" s="4" t="inlineStr">
        <is>
          <t>RTO/RPO が未定義だと、バックアップ頻度や DR 構成の妥当性を判断する基準がなく、被災後に「そんなに失われるとは思わなかった」という業務側との認識齟齬が露呈する。復旧目標を業務要求と紐付けて合意する。</t>
        </is>
      </c>
      <c r="H36" s="4" t="inlineStr">
        <is>
          <t>swebok-v4a.pdf ch06 SE Operations &gt; 2.5 Software Backup, Disaster Recovery, and Failover(recovery needs influence backup methods, restore points, retention)</t>
        </is>
      </c>
      <c r="I36" s="4" t="inlineStr">
        <is>
          <t>CORE</t>
        </is>
      </c>
      <c r="J36" s="4" t="inlineStr">
        <is>
          <t>原則適用。案件スコープ・成果物・規制・リスク上非該当の場合はN/A根拠を記録。</t>
        </is>
      </c>
      <c r="K36" s="4" t="inlineStr">
        <is>
          <t>SRC-SWEBOK-V4A</t>
        </is>
      </c>
      <c r="L36" s="4" t="inlineStr">
        <is>
          <t>CONTINUITY-BACKUP;CONTINUITY-DR;RELIABILITY-HA</t>
        </is>
      </c>
      <c r="M36" s="4" t="n"/>
      <c r="N36" s="4" t="n"/>
      <c r="O36" s="4" t="n"/>
      <c r="P36" s="4" t="n"/>
      <c r="Q36" s="4" t="n"/>
      <c r="R36" s="4" t="n"/>
      <c r="S36" s="4" t="n"/>
      <c r="T36" s="4" t="n"/>
      <c r="U36" s="4" t="n"/>
      <c r="V36" s="4" t="n"/>
      <c r="W36" s="4" t="n"/>
    </row>
    <row r="37">
      <c r="A37" s="5" t="inlineStr">
        <is>
          <t>OPS-051</t>
        </is>
      </c>
      <c r="B37" s="5" t="inlineStr">
        <is>
          <t>SWEBOK</t>
        </is>
      </c>
      <c r="C37" s="4" t="inlineStr">
        <is>
          <t>6. バックアップ・災害復旧・フェイルオーバー(SWEBOK 6-2.5)</t>
        </is>
      </c>
      <c r="D37" s="8" t="inlineStr">
        <is>
          <t>Critical</t>
        </is>
      </c>
      <c r="E37" s="4" t="inlineStr">
        <is>
          <t>バックアップの対象・頻度・保持期間・保管先が定義されている</t>
        </is>
      </c>
      <c r="F37" s="4" t="inlineStr">
        <is>
          <t>データ・構成・ソフトウェアごとに、取得頻度・世代数/保持期間・保管先(別リージョン等)が表等で記載されている</t>
        </is>
      </c>
      <c r="G37" s="4" t="inlineStr">
        <is>
          <t>バックアップの対象・頻度・保管先に漏れがあると、被災時に「その系だけ取っていなかった」「同一リージョンで共倒れ」が発覚する。データ・構成・ソフトウェアを網羅した設計を確認する。</t>
        </is>
      </c>
      <c r="H37" s="4" t="inlineStr">
        <is>
          <t>swebok-v4a.pdf ch06 SE Operations &gt; 2.5 Software Backup, Disaster Recovery, and Failover(backups of data, documents and software)</t>
        </is>
      </c>
      <c r="I37" s="4" t="inlineStr">
        <is>
          <t>CORE</t>
        </is>
      </c>
      <c r="J37" s="4" t="inlineStr">
        <is>
          <t>原則適用。案件スコープ・成果物・規制・リスク上非該当の場合はN/A根拠を記録。</t>
        </is>
      </c>
      <c r="K37" s="4" t="inlineStr">
        <is>
          <t>SRC-SWEBOK-V4A</t>
        </is>
      </c>
      <c r="L37" s="4" t="inlineStr">
        <is>
          <t>CONTINUITY-BACKUP;CONTINUITY-DR;RELIABILITY-HA</t>
        </is>
      </c>
      <c r="M37" s="4" t="n"/>
      <c r="N37" s="4" t="n"/>
      <c r="O37" s="4" t="n"/>
      <c r="P37" s="4" t="n"/>
      <c r="Q37" s="4" t="n"/>
      <c r="R37" s="4" t="n"/>
      <c r="S37" s="4" t="n"/>
      <c r="T37" s="4" t="n"/>
      <c r="U37" s="4" t="n"/>
      <c r="V37" s="4" t="n"/>
      <c r="W37" s="4" t="n"/>
    </row>
    <row r="38">
      <c r="A38" s="5" t="inlineStr">
        <is>
          <t>OPS-052</t>
        </is>
      </c>
      <c r="B38" s="5" t="inlineStr">
        <is>
          <t>SWEBOK</t>
        </is>
      </c>
      <c r="C38" s="4" t="inlineStr">
        <is>
          <t>6. バックアップ・災害復旧・フェイルオーバー(SWEBOK 6-2.5)</t>
        </is>
      </c>
      <c r="D38" s="8" t="inlineStr">
        <is>
          <t>Critical</t>
        </is>
      </c>
      <c r="E38" s="4" t="inlineStr">
        <is>
          <t>リストア手順が文書化されている</t>
        </is>
      </c>
      <c r="F38" s="4" t="inlineStr">
        <is>
          <t>バックアップからの復元手順が番号付きステップで記載され、所要時間の見込みがある</t>
        </is>
      </c>
      <c r="G38" s="4" t="inlineStr">
        <is>
          <t>リストア手順が文書化されていないと、最も切迫した状況(データ喪失直後)でぶっつけ本番の復旧作業となり、誤操作でバックアップ自体を壊すリスクすらある。手順と所要時間見込みを事前に用意する。</t>
        </is>
      </c>
      <c r="H38" s="4" t="inlineStr">
        <is>
          <t>swebok-v4a.pdf ch06 SE Operations &gt; 2.5 Software Backup, Disaster Recovery, and Failover(successful recovery is especially vital)</t>
        </is>
      </c>
      <c r="I38" s="4" t="inlineStr">
        <is>
          <t>CORE</t>
        </is>
      </c>
      <c r="J38" s="4" t="inlineStr">
        <is>
          <t>原則適用。案件スコープ・成果物・規制・リスク上非該当の場合はN/A根拠を記録。</t>
        </is>
      </c>
      <c r="K38" s="4" t="inlineStr">
        <is>
          <t>SRC-SWEBOK-V4A</t>
        </is>
      </c>
      <c r="L38" s="4" t="inlineStr">
        <is>
          <t>CONTINUITY-BACKUP;CONTINUITY-DR;RELIABILITY-HA</t>
        </is>
      </c>
      <c r="M38" s="4" t="n"/>
      <c r="N38" s="4" t="n"/>
      <c r="O38" s="4" t="n"/>
      <c r="P38" s="4" t="n"/>
      <c r="Q38" s="4" t="n"/>
      <c r="R38" s="4" t="n"/>
      <c r="S38" s="4" t="n"/>
      <c r="T38" s="4" t="n"/>
      <c r="U38" s="4" t="n"/>
      <c r="V38" s="4" t="n"/>
      <c r="W38" s="4" t="n"/>
    </row>
    <row r="39">
      <c r="A39" s="5" t="inlineStr">
        <is>
          <t>OPS-053</t>
        </is>
      </c>
      <c r="B39" s="5" t="inlineStr">
        <is>
          <t>SWEBOK</t>
        </is>
      </c>
      <c r="C39" s="4" t="inlineStr">
        <is>
          <t>6. バックアップ・災害復旧・フェイルオーバー(SWEBOK 6-2.5)</t>
        </is>
      </c>
      <c r="D39" s="9" t="inlineStr">
        <is>
          <t>High</t>
        </is>
      </c>
      <c r="E39" s="4" t="inlineStr">
        <is>
          <t>リストア/フェイルオーバーの検証(訓練)実績または計画がある</t>
        </is>
      </c>
      <c r="F39" s="4" t="inlineStr">
        <is>
          <t>実施日と結果の記録、または実施予定(頻度・シナリオ)が記載されている</t>
        </is>
      </c>
      <c r="G39" s="4" t="inlineStr">
        <is>
          <t>テストされていないバックアップは「あるつもり」で実際には復元できないことが多い(取得漏れ・破損・手順齟齬)。SWEBOK が求める継続的なリハーサルの実績・計画を確認する。</t>
        </is>
      </c>
      <c r="H39" s="4" t="inlineStr">
        <is>
          <t>swebok-v4a.pdf ch06 SE Operations &gt; 2.5(preparedness and regular test of backup, disaster recovery, and failover should be constantly rehearsed)</t>
        </is>
      </c>
      <c r="I39" s="4" t="inlineStr">
        <is>
          <t>CORE</t>
        </is>
      </c>
      <c r="J39" s="4" t="inlineStr">
        <is>
          <t>原則適用。案件スコープ・成果物・規制・リスク上非該当の場合はN/A根拠を記録。</t>
        </is>
      </c>
      <c r="K39" s="4" t="inlineStr">
        <is>
          <t>SRC-SWEBOK-V4A</t>
        </is>
      </c>
      <c r="L39" s="4" t="inlineStr">
        <is>
          <t>CONTINUITY-BACKUP;CONTINUITY-DR;RELIABILITY-HA</t>
        </is>
      </c>
      <c r="M39" s="4" t="n"/>
      <c r="N39" s="4" t="n"/>
      <c r="O39" s="4" t="n"/>
      <c r="P39" s="4" t="n"/>
      <c r="Q39" s="4" t="n"/>
      <c r="R39" s="4" t="n"/>
      <c r="S39" s="4" t="n"/>
      <c r="T39" s="4" t="n"/>
      <c r="U39" s="4" t="n"/>
      <c r="V39" s="4" t="n"/>
      <c r="W39" s="4" t="n"/>
    </row>
    <row r="40">
      <c r="A40" s="5" t="inlineStr">
        <is>
          <t>OPS-054</t>
        </is>
      </c>
      <c r="B40" s="5" t="inlineStr">
        <is>
          <t>SWEBOK</t>
        </is>
      </c>
      <c r="C40" s="4" t="inlineStr">
        <is>
          <t>6. バックアップ・災害復旧・フェイルオーバー(SWEBOK 6-2.5)</t>
        </is>
      </c>
      <c r="D40" s="9" t="inlineStr">
        <is>
          <t>High</t>
        </is>
      </c>
      <c r="E40" s="4" t="inlineStr">
        <is>
          <t>フェイルオーバー方式(自動/手動)と切り替え条件が定義されている</t>
        </is>
      </c>
      <c r="F40" s="4" t="inlineStr">
        <is>
          <t>冗長構成の方式、自動切り替えのトリガー条件、または手動切り替えの判断者・手順が記載されている</t>
        </is>
      </c>
      <c r="G40" s="4" t="inlineStr">
        <is>
          <t>切り替え条件と判断者が未定義だと、フェイルオーバーすべき場面で誰も決断できず停止が長引く。自動化できれば復旧時間を劇的に短縮できるため、方式の選択を明示させる。</t>
        </is>
      </c>
      <c r="H40" s="4" t="inlineStr">
        <is>
          <t>swebok-v4a.pdf ch06 SE Operations &gt; 2.5 Software Backup, Disaster Recovery, and Failover(automated failover daemons can reduce recovery time drastically)</t>
        </is>
      </c>
      <c r="I40" s="4" t="inlineStr">
        <is>
          <t>CORE</t>
        </is>
      </c>
      <c r="J40" s="4" t="inlineStr">
        <is>
          <t>原則適用。案件スコープ・成果物・規制・リスク上非該当の場合はN/A根拠を記録。</t>
        </is>
      </c>
      <c r="K40" s="4" t="inlineStr">
        <is>
          <t>SRC-SWEBOK-V4A</t>
        </is>
      </c>
      <c r="L40" s="4" t="inlineStr">
        <is>
          <t>CONTINUITY-BACKUP;CONTINUITY-DR;RELIABILITY-HA</t>
        </is>
      </c>
      <c r="M40" s="4" t="n"/>
      <c r="N40" s="4" t="n"/>
      <c r="O40" s="4" t="n"/>
      <c r="P40" s="4" t="n"/>
      <c r="Q40" s="4" t="n"/>
      <c r="R40" s="4" t="n"/>
      <c r="S40" s="4" t="n"/>
      <c r="T40" s="4" t="n"/>
      <c r="U40" s="4" t="n"/>
      <c r="V40" s="4" t="n"/>
      <c r="W40" s="4" t="n"/>
    </row>
    <row r="41">
      <c r="A41" s="5" t="inlineStr">
        <is>
          <t>OPS-055</t>
        </is>
      </c>
      <c r="B41" s="5" t="inlineStr">
        <is>
          <t>SWEBOK</t>
        </is>
      </c>
      <c r="C41" s="4" t="inlineStr">
        <is>
          <t>6. バックアップ・災害復旧・フェイルオーバー(SWEBOK 6-2.5)</t>
        </is>
      </c>
      <c r="D41" s="10" t="inlineStr">
        <is>
          <t>Medium</t>
        </is>
      </c>
      <c r="E41" s="4" t="inlineStr">
        <is>
          <t>バックアップ自体の成否が監視されている</t>
        </is>
      </c>
      <c r="F41" s="4" t="inlineStr">
        <is>
          <t>バックアップジョブの失敗を検知するアラートが監視設計に含まれる</t>
        </is>
      </c>
      <c r="G41" s="4" t="inlineStr">
        <is>
          <t>バックアップジョブは静かに失敗し続けることがあり、気付くのは復元が必要になった時である。失敗検知アラートで「いざという時に空だった」事故を防ぐ。</t>
        </is>
      </c>
      <c r="H41" s="4" t="inlineStr">
        <is>
          <t>swebok-v4a.pdf ch06 SE Operations &gt; 2.5 Software Backup, Disaster Recovery, and Failover + 実務補完(バックアップ監視)</t>
        </is>
      </c>
      <c r="I41" s="4" t="inlineStr">
        <is>
          <t>CORE</t>
        </is>
      </c>
      <c r="J41" s="4" t="inlineStr">
        <is>
          <t>原則適用。案件スコープ・成果物・規制・リスク上非該当の場合はN/A根拠を記録。</t>
        </is>
      </c>
      <c r="K41" s="4" t="inlineStr">
        <is>
          <t>SRC-SWEBOK-V4A;SRC-PRACTICE</t>
        </is>
      </c>
      <c r="L41" s="4" t="inlineStr">
        <is>
          <t>CONTINUITY-BACKUP;CONTINUITY-DR;RELIABILITY-HA;OPS-OBSERVABILITY</t>
        </is>
      </c>
      <c r="M41" s="4" t="n"/>
      <c r="N41" s="4" t="n"/>
      <c r="O41" s="4" t="n"/>
      <c r="P41" s="4" t="n"/>
      <c r="Q41" s="4" t="n"/>
      <c r="R41" s="4" t="n"/>
      <c r="S41" s="4" t="n"/>
      <c r="T41" s="4" t="n"/>
      <c r="U41" s="4" t="n"/>
      <c r="V41" s="4" t="n"/>
      <c r="W41" s="4" t="n"/>
    </row>
    <row r="42">
      <c r="A42" s="5" t="inlineStr">
        <is>
          <t>OPS-056</t>
        </is>
      </c>
      <c r="B42" s="5" t="inlineStr">
        <is>
          <t>SWEBOK</t>
        </is>
      </c>
      <c r="C42" s="4" t="inlineStr">
        <is>
          <t>6. バックアップ・災害復旧・フェイルオーバー(SWEBOK 6-2.5)</t>
        </is>
      </c>
      <c r="D42" s="10" t="inlineStr">
        <is>
          <t>Medium</t>
        </is>
      </c>
      <c r="E42" s="4" t="inlineStr">
        <is>
          <t>広域災害シナリオ(リージョン障害等)の方針がある</t>
        </is>
      </c>
      <c r="F42" s="4" t="inlineStr">
        <is>
          <t>大規模災害時の復旧方針(別リージョン復旧、縮退運転、復旧断念の判断を含む)が記載されている</t>
        </is>
      </c>
      <c r="G42" s="4" t="inlineStr">
        <is>
          <t>リージョン全体障害のような広域災害は方針なしでは現場判断不能であり、復旧か縮退か断念かで数日を空費する。大規模災害時の意思決定の枠組みを事前に用意する。</t>
        </is>
      </c>
      <c r="H42" s="4" t="inlineStr">
        <is>
          <t>swebok-v4a.pdf ch06 SE Operations &gt; 2.5 Software Backup, Disaster Recovery, and Failover(continuity planning / major service failure or disaster)</t>
        </is>
      </c>
      <c r="I42" s="4" t="inlineStr">
        <is>
          <t>CORE</t>
        </is>
      </c>
      <c r="J42" s="4" t="inlineStr">
        <is>
          <t>原則適用。案件スコープ・成果物・規制・リスク上非該当の場合はN/A根拠を記録。</t>
        </is>
      </c>
      <c r="K42" s="4" t="inlineStr">
        <is>
          <t>SRC-SWEBOK-V4A</t>
        </is>
      </c>
      <c r="L42" s="4" t="inlineStr">
        <is>
          <t>CONTINUITY-BACKUP;CONTINUITY-DR;RELIABILITY-HA</t>
        </is>
      </c>
      <c r="M42" s="4" t="n"/>
      <c r="N42" s="4" t="n"/>
      <c r="O42" s="4" t="n"/>
      <c r="P42" s="4" t="n"/>
      <c r="Q42" s="4" t="n"/>
      <c r="R42" s="4" t="n"/>
      <c r="S42" s="4" t="n"/>
      <c r="T42" s="4" t="n"/>
      <c r="U42" s="4" t="n"/>
      <c r="V42" s="4" t="n"/>
      <c r="W42" s="4" t="n"/>
    </row>
    <row r="43">
      <c r="A43" s="5" t="inlineStr">
        <is>
          <t>OPS-060</t>
        </is>
      </c>
      <c r="B43" s="5" t="inlineStr">
        <is>
          <t>SWEBOK</t>
        </is>
      </c>
      <c r="C43" s="4" t="inlineStr">
        <is>
          <t>7. セキュリティ・データ保護(SWEBOK 6-2.6)</t>
        </is>
      </c>
      <c r="D43" s="8" t="inlineStr">
        <is>
          <t>Critical</t>
        </is>
      </c>
      <c r="E43" s="4" t="inlineStr">
        <is>
          <t>アクセス権限の付与・剥奪プロセスが定義されている</t>
        </is>
      </c>
      <c r="F43" s="4" t="inlineStr">
        <is>
          <t>権限の申請・承認・付与・棚卸し・退職/異動時の剥奪の流れが記載されている</t>
        </is>
      </c>
      <c r="G43" s="4" t="inlineStr">
        <is>
          <t>権限の棚卸しと剥奪プロセスがないと、退職者アカウントの放置や過剰権限の蓄積が進み、不正アクセス・内部犯行の温床となる。監査でも真っ先に指摘される統制を確認する。</t>
        </is>
      </c>
      <c r="H43" s="4" t="inlineStr">
        <is>
          <t>swebok-v4a.pdf ch06 SE Operations &gt; 2.6 Software and Data Safety, Security, Integrity, Protection, and Controls(controls b: roles and responsibilities allocated)</t>
        </is>
      </c>
      <c r="I43" s="4" t="inlineStr">
        <is>
          <t>CORE</t>
        </is>
      </c>
      <c r="J43" s="4" t="inlineStr">
        <is>
          <t>原則適用。案件スコープ・成果物・規制・リスク上非該当の場合はN/A根拠を記録。</t>
        </is>
      </c>
      <c r="K43" s="4" t="inlineStr">
        <is>
          <t>SRC-SWEBOK-V4A</t>
        </is>
      </c>
      <c r="L43" s="4" t="inlineStr"/>
      <c r="M43" s="4" t="n"/>
      <c r="N43" s="4" t="n"/>
      <c r="O43" s="4" t="n"/>
      <c r="P43" s="4" t="n"/>
      <c r="Q43" s="4" t="n"/>
      <c r="R43" s="4" t="n"/>
      <c r="S43" s="4" t="n"/>
      <c r="T43" s="4" t="n"/>
      <c r="U43" s="4" t="n"/>
      <c r="V43" s="4" t="n"/>
      <c r="W43" s="4" t="n"/>
    </row>
    <row r="44">
      <c r="A44" s="5" t="inlineStr">
        <is>
          <t>OPS-061</t>
        </is>
      </c>
      <c r="B44" s="5" t="inlineStr">
        <is>
          <t>SWEBOK</t>
        </is>
      </c>
      <c r="C44" s="4" t="inlineStr">
        <is>
          <t>7. セキュリティ・データ保護(SWEBOK 6-2.6)</t>
        </is>
      </c>
      <c r="D44" s="8" t="inlineStr">
        <is>
          <t>Critical</t>
        </is>
      </c>
      <c r="E44" s="4" t="inlineStr">
        <is>
          <t>セキュリティインシデントの報告経路が定義されている</t>
        </is>
      </c>
      <c r="F44" s="4" t="inlineStr">
        <is>
          <t>検知時の報告先・報告期限・対応体制(CSIRT 等)が記載されている</t>
        </is>
      </c>
      <c r="G44" s="4" t="inlineStr">
        <is>
          <t>セキュリティインシデントは初動の遅れが被害範囲を拡大させ、法定報告期限(個人情報漏えい等)の徒過は法的リスクに直結する。報告経路と対応体制を事前に定める。</t>
        </is>
      </c>
      <c r="H44" s="4" t="inlineStr">
        <is>
          <t>swebok-v4a.pdf ch06 SE Operations &gt; 2.6(controls h: security incidents reported following incident management procedures)</t>
        </is>
      </c>
      <c r="I44" s="4" t="inlineStr">
        <is>
          <t>CORE</t>
        </is>
      </c>
      <c r="J44" s="4" t="inlineStr">
        <is>
          <t>原則適用。案件スコープ・成果物・規制・リスク上非該当の場合はN/A根拠を記録。</t>
        </is>
      </c>
      <c r="K44" s="4" t="inlineStr">
        <is>
          <t>SRC-SWEBOK-V4A</t>
        </is>
      </c>
      <c r="L44" s="4" t="inlineStr"/>
      <c r="M44" s="4" t="n"/>
      <c r="N44" s="4" t="n"/>
      <c r="O44" s="4" t="n"/>
      <c r="P44" s="4" t="n"/>
      <c r="Q44" s="4" t="n"/>
      <c r="R44" s="4" t="n"/>
      <c r="S44" s="4" t="n"/>
      <c r="T44" s="4" t="n"/>
      <c r="U44" s="4" t="n"/>
      <c r="V44" s="4" t="n"/>
      <c r="W44" s="4" t="n"/>
    </row>
    <row r="45">
      <c r="A45" s="5" t="inlineStr">
        <is>
          <t>OPS-062</t>
        </is>
      </c>
      <c r="B45" s="5" t="inlineStr">
        <is>
          <t>SWEBOK</t>
        </is>
      </c>
      <c r="C45" s="4" t="inlineStr">
        <is>
          <t>7. セキュリティ・データ保護(SWEBOK 6-2.6)</t>
        </is>
      </c>
      <c r="D45" s="9" t="inlineStr">
        <is>
          <t>High</t>
        </is>
      </c>
      <c r="E45" s="4" t="inlineStr">
        <is>
          <t>パッチ・脆弱性対応の方針が定義されている</t>
        </is>
      </c>
      <c r="F45" s="4" t="inlineStr">
        <is>
          <t>脆弱性情報の収集方法、深刻度別の適用期限、緊急パッチの手順が記載されている</t>
        </is>
      </c>
      <c r="G45" s="4" t="inlineStr">
        <is>
          <t>パッチ適用方針がないと、既知脆弱性が放置され、公開エクスプロイトによる侵害という「防げた事故」が起きる。深刻度別の適用期限で対応の優先順位を強制する。</t>
        </is>
      </c>
      <c r="H45" s="4" t="inlineStr">
        <is>
          <t>swebok-v4a.pdf ch06 SE Operations &gt; 2.6 Software and Data Safety, Security, Integrity, Protection, and Controls + 実務補完(脆弱性管理)</t>
        </is>
      </c>
      <c r="I45" s="4" t="inlineStr">
        <is>
          <t>CORE</t>
        </is>
      </c>
      <c r="J45" s="4" t="inlineStr">
        <is>
          <t>原則適用。案件スコープ・成果物・規制・リスク上非該当の場合はN/A根拠を記録。</t>
        </is>
      </c>
      <c r="K45" s="4" t="inlineStr">
        <is>
          <t>SRC-SWEBOK-V4A;SRC-PRACTICE</t>
        </is>
      </c>
      <c r="L45" s="4" t="inlineStr">
        <is>
          <t>SEC-SUPPLY-CHAIN</t>
        </is>
      </c>
      <c r="M45" s="4" t="n"/>
      <c r="N45" s="4" t="n"/>
      <c r="O45" s="4" t="n"/>
      <c r="P45" s="4" t="n"/>
      <c r="Q45" s="4" t="n"/>
      <c r="R45" s="4" t="n"/>
      <c r="S45" s="4" t="n"/>
      <c r="T45" s="4" t="n"/>
      <c r="U45" s="4" t="n"/>
      <c r="V45" s="4" t="n"/>
      <c r="W45" s="4" t="n"/>
    </row>
    <row r="46">
      <c r="A46" s="5" t="inlineStr">
        <is>
          <t>OPS-063</t>
        </is>
      </c>
      <c r="B46" s="5" t="inlineStr">
        <is>
          <t>SWEBOK</t>
        </is>
      </c>
      <c r="C46" s="4" t="inlineStr">
        <is>
          <t>7. セキュリティ・データ保護(SWEBOK 6-2.6)</t>
        </is>
      </c>
      <c r="D46" s="9" t="inlineStr">
        <is>
          <t>High</t>
        </is>
      </c>
      <c r="E46" s="4" t="inlineStr">
        <is>
          <t>監査ログ(操作記録)の取得と保護が定義されている</t>
        </is>
      </c>
      <c r="F46" s="4" t="inlineStr">
        <is>
          <t>本番での特権操作・データアクセスのログ取得範囲・保持期間・改ざん防止策が記載されている</t>
        </is>
      </c>
      <c r="G46" s="4" t="inlineStr">
        <is>
          <t>監査ログがない・改ざん可能だと、事故発生時に「誰が何をしたか」を特定できず、原因究明も法的対応もできない。特権操作の追跡可能性を稼働前に確保する。</t>
        </is>
      </c>
      <c r="H46" s="4" t="inlineStr">
        <is>
          <t>swebok-v4a.pdf ch06 SE Operations &gt; 2.6 Software and Data Safety, Security, Integrity, Protection, and Controls(integrity, protection and controls)</t>
        </is>
      </c>
      <c r="I46" s="4" t="inlineStr">
        <is>
          <t>CORE</t>
        </is>
      </c>
      <c r="J46" s="4" t="inlineStr">
        <is>
          <t>原則適用。案件スコープ・成果物・規制・リスク上非該当の場合はN/A根拠を記録。</t>
        </is>
      </c>
      <c r="K46" s="4" t="inlineStr">
        <is>
          <t>SRC-SWEBOK-V4A</t>
        </is>
      </c>
      <c r="L46" s="4" t="inlineStr">
        <is>
          <t>OPS-OBSERVABILITY</t>
        </is>
      </c>
      <c r="M46" s="4" t="n"/>
      <c r="N46" s="4" t="n"/>
      <c r="O46" s="4" t="n"/>
      <c r="P46" s="4" t="n"/>
      <c r="Q46" s="4" t="n"/>
      <c r="R46" s="4" t="n"/>
      <c r="S46" s="4" t="n"/>
      <c r="T46" s="4" t="n"/>
      <c r="U46" s="4" t="n"/>
      <c r="V46" s="4" t="n"/>
      <c r="W46" s="4" t="n"/>
    </row>
    <row r="47">
      <c r="A47" s="5" t="inlineStr">
        <is>
          <t>OPS-064</t>
        </is>
      </c>
      <c r="B47" s="5" t="inlineStr">
        <is>
          <t>SWEBOK</t>
        </is>
      </c>
      <c r="C47" s="4" t="inlineStr">
        <is>
          <t>7. セキュリティ・データ保護(SWEBOK 6-2.6)</t>
        </is>
      </c>
      <c r="D47" s="9" t="inlineStr">
        <is>
          <t>High</t>
        </is>
      </c>
      <c r="E47" s="4" t="inlineStr">
        <is>
          <t>データの分類と保護策が定義されている</t>
        </is>
      </c>
      <c r="F47" s="4" t="inlineStr">
        <is>
          <t>個人情報・機密データの所在と、暗号化(保存時/転送時)・マスキング等の保護策が記載されている</t>
        </is>
      </c>
      <c r="G47" s="4" t="inlineStr">
        <is>
          <t>どこに個人情報・機密データがあるか把握していないと、保護策の適用漏れ(暗号化されていない複製、ログへの混入)が生じ、漏えい時の影響評価もできない。データの所在と保護策の対応を確認する。</t>
        </is>
      </c>
      <c r="H47" s="4" t="inlineStr">
        <is>
          <t>swebok-v4a.pdf ch06 SE Operations &gt; 2.6(risk assessment on the security and availability of information / data protection)</t>
        </is>
      </c>
      <c r="I47" s="4" t="inlineStr">
        <is>
          <t>CORE</t>
        </is>
      </c>
      <c r="J47" s="4" t="inlineStr">
        <is>
          <t>原則適用。案件スコープ・成果物・規制・リスク上非該当の場合はN/A根拠を記録。</t>
        </is>
      </c>
      <c r="K47" s="4" t="inlineStr">
        <is>
          <t>SRC-SWEBOK-V4A</t>
        </is>
      </c>
      <c r="L47" s="4" t="inlineStr"/>
      <c r="M47" s="4" t="n"/>
      <c r="N47" s="4" t="n"/>
      <c r="O47" s="4" t="n"/>
      <c r="P47" s="4" t="n"/>
      <c r="Q47" s="4" t="n"/>
      <c r="R47" s="4" t="n"/>
      <c r="S47" s="4" t="n"/>
      <c r="T47" s="4" t="n"/>
      <c r="U47" s="4" t="n"/>
      <c r="V47" s="4" t="n"/>
      <c r="W47" s="4" t="n"/>
    </row>
    <row r="48">
      <c r="A48" s="5" t="inlineStr">
        <is>
          <t>OPS-065</t>
        </is>
      </c>
      <c r="B48" s="5" t="inlineStr">
        <is>
          <t>SWEBOK</t>
        </is>
      </c>
      <c r="C48" s="4" t="inlineStr">
        <is>
          <t>7. セキュリティ・データ保護(SWEBOK 6-2.6)</t>
        </is>
      </c>
      <c r="D48" s="10" t="inlineStr">
        <is>
          <t>Medium</t>
        </is>
      </c>
      <c r="E48" s="4" t="inlineStr">
        <is>
          <t>セキュリティがプロセスに早期統合されている(DevSecOps)</t>
        </is>
      </c>
      <c r="F48" s="4" t="inlineStr">
        <is>
          <t>パイプライン内のセキュリティ検査(脆弱性スキャン等)または設計段階のセキュリティレビューの記載がある</t>
        </is>
      </c>
      <c r="G48" s="4" t="inlineStr">
        <is>
          <t>セキュリティ検査をリリース直前・稼働後に後回しにすると、発見された脆弱性の修正コストが跳ね上がり、リリース遅延か脆弱なままの稼働かの二択を迫られる。DevSecOps の早期統合を確認する。</t>
        </is>
      </c>
      <c r="H48" s="4" t="inlineStr">
        <is>
          <t>swebok-v4a.pdf ch06 SE Operations &gt; 2.6(DevSecOps: integration of security early and throughout the software process)</t>
        </is>
      </c>
      <c r="I48" s="4" t="inlineStr">
        <is>
          <t>CORE</t>
        </is>
      </c>
      <c r="J48" s="4" t="inlineStr">
        <is>
          <t>原則適用。案件スコープ・成果物・規制・リスク上非該当の場合はN/A根拠を記録。</t>
        </is>
      </c>
      <c r="K48" s="4" t="inlineStr">
        <is>
          <t>SRC-SWEBOK-V4A</t>
        </is>
      </c>
      <c r="L48" s="4" t="inlineStr"/>
      <c r="M48" s="4" t="n"/>
      <c r="N48" s="4" t="n"/>
      <c r="O48" s="4" t="n"/>
      <c r="P48" s="4" t="n"/>
      <c r="Q48" s="4" t="n"/>
      <c r="R48" s="4" t="n"/>
      <c r="S48" s="4" t="n"/>
      <c r="T48" s="4" t="n"/>
      <c r="U48" s="4" t="n"/>
      <c r="V48" s="4" t="n"/>
      <c r="W48" s="4" t="n"/>
    </row>
    <row r="49">
      <c r="A49" s="5" t="inlineStr">
        <is>
          <t>OPS-066</t>
        </is>
      </c>
      <c r="B49" s="5" t="inlineStr">
        <is>
          <t>SWEBOK</t>
        </is>
      </c>
      <c r="C49" s="4" t="inlineStr">
        <is>
          <t>7. セキュリティ・データ保護(SWEBOK 6-2.6)</t>
        </is>
      </c>
      <c r="D49" s="10" t="inlineStr">
        <is>
          <t>Medium</t>
        </is>
      </c>
      <c r="E49" s="4" t="inlineStr">
        <is>
          <t>権限の最小化(最小権限の原則)が適用されている</t>
        </is>
      </c>
      <c r="F49" s="4" t="inlineStr">
        <is>
          <t>ロール別の権限設計があり、全員が管理者権限を持つ設計になっていない</t>
        </is>
      </c>
      <c r="G49" s="4" t="inlineStr">
        <is>
          <t>全員が管理者権限を持つ設計は、一つの認証情報漏えいや一人の誤操作が全システム侵害・全損に直結する。権限を業務上必要な範囲に絞り、事故の影響半径を限定する。</t>
        </is>
      </c>
      <c r="H49" s="4" t="inlineStr">
        <is>
          <t>swebok-v4a.pdf ch06 SE Operations &gt; 2.6 Software and Data Safety, Security, Integrity, Protection, and Controls + 実務補完(最小権限の原則)</t>
        </is>
      </c>
      <c r="I49" s="4" t="inlineStr">
        <is>
          <t>CORE</t>
        </is>
      </c>
      <c r="J49" s="4" t="inlineStr">
        <is>
          <t>原則適用。案件スコープ・成果物・規制・リスク上非該当の場合はN/A根拠を記録。</t>
        </is>
      </c>
      <c r="K49" s="4" t="inlineStr">
        <is>
          <t>SRC-SWEBOK-V4A;SRC-PRACTICE</t>
        </is>
      </c>
      <c r="L49" s="4" t="inlineStr">
        <is>
          <t>SEC-IAM</t>
        </is>
      </c>
      <c r="M49" s="4" t="n"/>
      <c r="N49" s="4" t="n"/>
      <c r="O49" s="4" t="n"/>
      <c r="P49" s="4" t="n"/>
      <c r="Q49" s="4" t="n"/>
      <c r="R49" s="4" t="n"/>
      <c r="S49" s="4" t="n"/>
      <c r="T49" s="4" t="n"/>
      <c r="U49" s="4" t="n"/>
      <c r="V49" s="4" t="n"/>
      <c r="W49" s="4" t="n"/>
    </row>
    <row r="50">
      <c r="A50" s="5" t="inlineStr">
        <is>
          <t>OPS-902</t>
        </is>
      </c>
      <c r="B50" s="5" t="inlineStr">
        <is>
          <t>追加承認</t>
        </is>
      </c>
      <c r="C50" s="4" t="inlineStr">
        <is>
          <t>7. セキュリティ・データ保護(SWEBOK 6-2.6)</t>
        </is>
      </c>
      <c r="D50" s="9" t="inlineStr">
        <is>
          <t>High</t>
        </is>
      </c>
      <c r="E50" s="4" t="inlineStr">
        <is>
          <t>情報セキュリティリスクアセスメントとポリシー・教育の枠組みがある</t>
        </is>
      </c>
      <c r="F50" s="4" t="inlineStr">
        <is>
          <t>情報資産に対するリスクアセスメントの実施記録(または計画)と、準拠するセキュリティポリシーの参照、運用要員へのセキュリティ教育・周知の方法が記載されている</t>
        </is>
      </c>
      <c r="G50" s="4" t="inlineStr">
        <is>
          <t>個別の技術対策だけではリスクの見落とし(未評価の資産・脅威)が残り、ポリシーと教育がなければ統制が現場で実行されない。対策の網羅性を上流のリスク評価で担保し、要員の認識不足による事故を防ぐ。</t>
        </is>
      </c>
      <c r="H50" s="4" t="inlineStr">
        <is>
          <t>swebok-v4a.pdf ch06 SE Operations &gt; 2.6 Software and Data Safety, Security, Integrity, Protection, and Controls — 情報セキュリティリスクアセスメントとポリシー・教育(security risk assessment, information security policy, staff awareness/training)</t>
        </is>
      </c>
      <c r="I50" s="4" t="inlineStr">
        <is>
          <t>CORE</t>
        </is>
      </c>
      <c r="J50" s="4" t="inlineStr">
        <is>
          <t>原則適用。案件スコープ・成果物・規制・リスク上非該当の場合はN/A根拠を記録。</t>
        </is>
      </c>
      <c r="K50" s="4" t="inlineStr">
        <is>
          <t>SRC-SWEBOK-V4A</t>
        </is>
      </c>
      <c r="L50" s="4" t="inlineStr"/>
      <c r="M50" s="4" t="n"/>
      <c r="N50" s="4" t="n"/>
      <c r="O50" s="4" t="n"/>
      <c r="P50" s="4" t="n"/>
      <c r="Q50" s="4" t="n"/>
      <c r="R50" s="4" t="n"/>
      <c r="S50" s="4" t="n"/>
      <c r="T50" s="4" t="n"/>
      <c r="U50" s="4" t="n"/>
      <c r="V50" s="4" t="n"/>
      <c r="W50" s="4" t="n"/>
    </row>
    <row r="51">
      <c r="A51" s="5" t="inlineStr">
        <is>
          <t>OPS-070</t>
        </is>
      </c>
      <c r="B51" s="5" t="inlineStr">
        <is>
          <t>SWEBOK</t>
        </is>
      </c>
      <c r="C51" s="4" t="inlineStr">
        <is>
          <t>8. デプロイ/リリース工学(SWEBOK 6-3.1 / 6-3.2)</t>
        </is>
      </c>
      <c r="D51" s="9" t="inlineStr">
        <is>
          <t>High</t>
        </is>
      </c>
      <c r="E51" s="4" t="inlineStr">
        <is>
          <t>デプロイとリリースが区別されている</t>
        </is>
      </c>
      <c r="F51" s="4" t="inlineStr">
        <is>
          <t>バージョンの環境導入(デプロイ)と機能の顧客公開(リリース)が区別され、それぞれの手順・判断が記載されている</t>
        </is>
      </c>
      <c r="G51" s="4" t="inlineStr">
        <is>
          <t>デプロイとリリースを混同すると、「本番に載せる=即ユーザー公開」となり段階的公開・即時無効化ができず、リリースリスクを制御する手段を失う。両者を分離する設計判断を確認する。</t>
        </is>
      </c>
      <c r="H51" s="4" t="inlineStr">
        <is>
          <t>swebok-v4a.pdf ch06 SE Operations &gt; 3.2 Deployment/Release Engineering(deployment vs. release の定義)</t>
        </is>
      </c>
      <c r="I51" s="4" t="inlineStr">
        <is>
          <t>CORE</t>
        </is>
      </c>
      <c r="J51" s="4" t="inlineStr">
        <is>
          <t>原則適用。案件スコープ・成果物・規制・リスク上非該当の場合はN/A根拠を記録。</t>
        </is>
      </c>
      <c r="K51" s="4" t="inlineStr">
        <is>
          <t>SRC-SWEBOK-V4A</t>
        </is>
      </c>
      <c r="L51" s="4" t="inlineStr"/>
      <c r="M51" s="4" t="n"/>
      <c r="N51" s="4" t="n"/>
      <c r="O51" s="4" t="n"/>
      <c r="P51" s="4" t="n"/>
      <c r="Q51" s="4" t="n"/>
      <c r="R51" s="4" t="n"/>
      <c r="S51" s="4" t="n"/>
      <c r="T51" s="4" t="n"/>
      <c r="U51" s="4" t="n"/>
      <c r="V51" s="4" t="n"/>
      <c r="W51" s="4" t="n"/>
    </row>
    <row r="52">
      <c r="A52" s="5" t="inlineStr">
        <is>
          <t>OPS-071</t>
        </is>
      </c>
      <c r="B52" s="5" t="inlineStr">
        <is>
          <t>SWEBOK</t>
        </is>
      </c>
      <c r="C52" s="4" t="inlineStr">
        <is>
          <t>8. デプロイ/リリース工学(SWEBOK 6-3.1 / 6-3.2)</t>
        </is>
      </c>
      <c r="D52" s="8" t="inlineStr">
        <is>
          <t>Critical</t>
        </is>
      </c>
      <c r="E52" s="4" t="inlineStr">
        <is>
          <t>デプロイ手順が再現可能な具体性で書かれている</t>
        </is>
      </c>
      <c r="F52" s="4" t="inlineStr">
        <is>
          <t>各ステップに実行コマンド/パイプライン名・実行者・期待結果が記載され、担当者によらず同じ結果になる</t>
        </is>
      </c>
      <c r="G52" s="4" t="inlineStr">
        <is>
          <t>手順が担当者の暗黙知に依存すると、代理実施者のミスや手順飛ばしによるデプロイ事故が起きる。誰が実行しても同じ結果になる具体性を要求し、属人化と作業ミスを防ぐ。</t>
        </is>
      </c>
      <c r="H52" s="4" t="inlineStr">
        <is>
          <t>swebok-v4a.pdf ch06 SE Operations &gt; 3.2 Deployment/Release Engineering(automating the different deployment steps)</t>
        </is>
      </c>
      <c r="I52" s="4" t="inlineStr">
        <is>
          <t>CORE</t>
        </is>
      </c>
      <c r="J52" s="4" t="inlineStr">
        <is>
          <t>原則適用。案件スコープ・成果物・規制・リスク上非該当の場合はN/A根拠を記録。</t>
        </is>
      </c>
      <c r="K52" s="4" t="inlineStr">
        <is>
          <t>SRC-SWEBOK-V4A</t>
        </is>
      </c>
      <c r="L52" s="4" t="inlineStr"/>
      <c r="M52" s="4" t="n"/>
      <c r="N52" s="4" t="n"/>
      <c r="O52" s="4" t="n"/>
      <c r="P52" s="4" t="n"/>
      <c r="Q52" s="4" t="n"/>
      <c r="R52" s="4" t="n"/>
      <c r="S52" s="4" t="n"/>
      <c r="T52" s="4" t="n"/>
      <c r="U52" s="4" t="n"/>
      <c r="V52" s="4" t="n"/>
      <c r="W52" s="4" t="n"/>
    </row>
    <row r="53">
      <c r="A53" s="5" t="inlineStr">
        <is>
          <t>OPS-072</t>
        </is>
      </c>
      <c r="B53" s="5" t="inlineStr">
        <is>
          <t>SWEBOK</t>
        </is>
      </c>
      <c r="C53" s="4" t="inlineStr">
        <is>
          <t>8. デプロイ/リリース工学(SWEBOK 6-3.1 / 6-3.2)</t>
        </is>
      </c>
      <c r="D53" s="8" t="inlineStr">
        <is>
          <t>Critical</t>
        </is>
      </c>
      <c r="E53" s="4" t="inlineStr">
        <is>
          <t>リリース判定基準(事前条件)が定義されている</t>
        </is>
      </c>
      <c r="F53" s="4" t="inlineStr">
        <is>
          <t>テスト完了・承認・監視準備等の判定項目がチェックリスト形式で記載され、判定者が明記されている</t>
        </is>
      </c>
      <c r="G53" s="4" t="inlineStr">
        <is>
          <t>判定基準がないと、テスト未完・監視未準備のまま「なんとなく」リリースされ、初日から障害対応に追われる。Go/No-Go の判定項目と判定者を明確にしてリリース品質のゲートを設ける。</t>
        </is>
      </c>
      <c r="H53" s="4" t="inlineStr">
        <is>
          <t>swebok-v4a.pdf ch06 SE Operations &gt; 3.2 Deployment/Release Engineering(release requests identified, recorded and approved — ISO 12207 release control)</t>
        </is>
      </c>
      <c r="I53" s="4" t="inlineStr">
        <is>
          <t>CORE</t>
        </is>
      </c>
      <c r="J53" s="4" t="inlineStr">
        <is>
          <t>原則適用。案件スコープ・成果物・規制・リスク上非該当の場合はN/A根拠を記録。</t>
        </is>
      </c>
      <c r="K53" s="4" t="inlineStr">
        <is>
          <t>SRC-SWEBOK-V4A;SRC-ISO-GENERAL</t>
        </is>
      </c>
      <c r="L53" s="4" t="inlineStr"/>
      <c r="M53" s="4" t="n"/>
      <c r="N53" s="4" t="n"/>
      <c r="O53" s="4" t="n"/>
      <c r="P53" s="4" t="n"/>
      <c r="Q53" s="4" t="n"/>
      <c r="R53" s="4" t="n"/>
      <c r="S53" s="4" t="n"/>
      <c r="T53" s="4" t="n"/>
      <c r="U53" s="4" t="n"/>
      <c r="V53" s="4" t="n"/>
      <c r="W53" s="4" t="n"/>
    </row>
    <row r="54">
      <c r="A54" s="5" t="inlineStr">
        <is>
          <t>OPS-073</t>
        </is>
      </c>
      <c r="B54" s="5" t="inlineStr">
        <is>
          <t>SWEBOK</t>
        </is>
      </c>
      <c r="C54" s="4" t="inlineStr">
        <is>
          <t>8. デプロイ/リリース工学(SWEBOK 6-3.1 / 6-3.2)</t>
        </is>
      </c>
      <c r="D54" s="9" t="inlineStr">
        <is>
          <t>High</t>
        </is>
      </c>
      <c r="E54" s="4" t="inlineStr">
        <is>
          <t>リリース戦略(段階的展開)が選択・記載されている</t>
        </is>
      </c>
      <c r="F54" s="4" t="inlineStr">
        <is>
          <t>環境ベース/アプリケーションベース(フィーチャートグル)の別と、カナリアリリース等の段階展開の要否・方法が記載されている</t>
        </is>
      </c>
      <c r="G54" s="4" t="inlineStr">
        <is>
          <t>全ユーザー一斉リリースは、不具合の影響が即座に全体へ波及する。環境ベース/アプリケーションベース(トグル)やカナリアによる段階展開の選択を求め、リリースの爆発半径を制御する。</t>
        </is>
      </c>
      <c r="H54" s="4" t="inlineStr">
        <is>
          <t>swebok-v4a.pdf ch06 SE Operations &gt; 3.2 Deployment/Release Engineering(environment-based / application-based release strategies, canary release)</t>
        </is>
      </c>
      <c r="I54" s="4" t="inlineStr">
        <is>
          <t>CORE</t>
        </is>
      </c>
      <c r="J54" s="4" t="inlineStr">
        <is>
          <t>原則適用。案件スコープ・成果物・規制・リスク上非該当の場合はN/A根拠を記録。</t>
        </is>
      </c>
      <c r="K54" s="4" t="inlineStr">
        <is>
          <t>SRC-SWEBOK-V4A</t>
        </is>
      </c>
      <c r="L54" s="4" t="inlineStr"/>
      <c r="M54" s="4" t="n"/>
      <c r="N54" s="4" t="n"/>
      <c r="O54" s="4" t="n"/>
      <c r="P54" s="4" t="n"/>
      <c r="Q54" s="4" t="n"/>
      <c r="R54" s="4" t="n"/>
      <c r="S54" s="4" t="n"/>
      <c r="T54" s="4" t="n"/>
      <c r="U54" s="4" t="n"/>
      <c r="V54" s="4" t="n"/>
      <c r="W54" s="4" t="n"/>
    </row>
    <row r="55">
      <c r="A55" s="5" t="inlineStr">
        <is>
          <t>OPS-074</t>
        </is>
      </c>
      <c r="B55" s="5" t="inlineStr">
        <is>
          <t>SWEBOK</t>
        </is>
      </c>
      <c r="C55" s="4" t="inlineStr">
        <is>
          <t>8. デプロイ/リリース工学(SWEBOK 6-3.1 / 6-3.2)</t>
        </is>
      </c>
      <c r="D55" s="9" t="inlineStr">
        <is>
          <t>High</t>
        </is>
      </c>
      <c r="E55" s="4" t="inlineStr">
        <is>
          <t>リリース後の検証項目が定義されている</t>
        </is>
      </c>
      <c r="F55" s="4" t="inlineStr">
        <is>
          <t>スモークテスト項目・監視確認項目・確認担当と確認時間が列挙されている</t>
        </is>
      </c>
      <c r="G55" s="4" t="inlineStr">
        <is>
          <t>リリース後の確認項目がないと、デプロイ起因の不具合をユーザーからの苦情で初めて知ることになる。スモークテストと監視確認で「静かな失敗」を即座に検知する。</t>
        </is>
      </c>
      <c r="H55" s="4" t="inlineStr">
        <is>
          <t>swebok-v4a.pdf ch06 SE Operations &gt; 3.2 Deployment/Release Engineering(executing smoke testing / observing newly started software)/ 1.3 Software Installation(verification step)</t>
        </is>
      </c>
      <c r="I55" s="4" t="inlineStr">
        <is>
          <t>CORE</t>
        </is>
      </c>
      <c r="J55" s="4" t="inlineStr">
        <is>
          <t>原則適用。案件スコープ・成果物・規制・リスク上非該当の場合はN/A根拠を記録。</t>
        </is>
      </c>
      <c r="K55" s="4" t="inlineStr">
        <is>
          <t>SRC-SWEBOK-V4A</t>
        </is>
      </c>
      <c r="L55" s="4" t="inlineStr"/>
      <c r="M55" s="4" t="n"/>
      <c r="N55" s="4" t="n"/>
      <c r="O55" s="4" t="n"/>
      <c r="P55" s="4" t="n"/>
      <c r="Q55" s="4" t="n"/>
      <c r="R55" s="4" t="n"/>
      <c r="S55" s="4" t="n"/>
      <c r="T55" s="4" t="n"/>
      <c r="U55" s="4" t="n"/>
      <c r="V55" s="4" t="n"/>
      <c r="W55" s="4" t="n"/>
    </row>
    <row r="56">
      <c r="A56" s="5" t="inlineStr">
        <is>
          <t>OPS-075</t>
        </is>
      </c>
      <c r="B56" s="5" t="inlineStr">
        <is>
          <t>SWEBOK</t>
        </is>
      </c>
      <c r="C56" s="4" t="inlineStr">
        <is>
          <t>8. デプロイ/リリース工学(SWEBOK 6-3.1 / 6-3.2)</t>
        </is>
      </c>
      <c r="D56" s="9" t="inlineStr">
        <is>
          <t>High</t>
        </is>
      </c>
      <c r="E56" s="4" t="inlineStr">
        <is>
          <t>関係者への周知(事前告知・完了報告)が定義されている</t>
        </is>
      </c>
      <c r="F56" s="4" t="inlineStr">
        <is>
          <t>通知先・タイミング・テンプレートまたは記載例がある</t>
        </is>
      </c>
      <c r="G56" s="4" t="inlineStr">
        <is>
          <t>周知がないと、関係部署がリリース起因の事象を通常障害として二重調査したり、ユーザー窓口が変更を知らずに誤案内する。ステークホルダーへの情報伝達を仕組み化する。</t>
        </is>
      </c>
      <c r="H56" s="4" t="inlineStr">
        <is>
          <t>swebok-v4a.pdf ch06 SE Operations &gt; 2.1.1 Operations Plan(inform all stakeholders)</t>
        </is>
      </c>
      <c r="I56" s="4" t="inlineStr">
        <is>
          <t>CORE</t>
        </is>
      </c>
      <c r="J56" s="4" t="inlineStr">
        <is>
          <t>原則適用。案件スコープ・成果物・規制・リスク上非該当の場合はN/A根拠を記録。</t>
        </is>
      </c>
      <c r="K56" s="4" t="inlineStr">
        <is>
          <t>SRC-SWEBOK-V4A</t>
        </is>
      </c>
      <c r="L56" s="4" t="inlineStr"/>
      <c r="M56" s="4" t="n"/>
      <c r="N56" s="4" t="n"/>
      <c r="O56" s="4" t="n"/>
      <c r="P56" s="4" t="n"/>
      <c r="Q56" s="4" t="n"/>
      <c r="R56" s="4" t="n"/>
      <c r="S56" s="4" t="n"/>
      <c r="T56" s="4" t="n"/>
      <c r="U56" s="4" t="n"/>
      <c r="V56" s="4" t="n"/>
      <c r="W56" s="4" t="n"/>
    </row>
    <row r="57">
      <c r="A57" s="5" t="inlineStr">
        <is>
          <t>OPS-076</t>
        </is>
      </c>
      <c r="B57" s="5" t="inlineStr">
        <is>
          <t>SWEBOK</t>
        </is>
      </c>
      <c r="C57" s="4" t="inlineStr">
        <is>
          <t>8. デプロイ/リリース工学(SWEBOK 6-3.1 / 6-3.2)</t>
        </is>
      </c>
      <c r="D57" s="10" t="inlineStr">
        <is>
          <t>Medium</t>
        </is>
      </c>
      <c r="E57" s="4" t="inlineStr">
        <is>
          <t>変更内容とリスク評価がリリース単位で記録される</t>
        </is>
      </c>
      <c r="F57" s="4" t="inlineStr">
        <is>
          <t>リリースごとに変更概要・影響範囲・リスクと対策を記録する様式がある</t>
        </is>
      </c>
      <c r="G57" s="4" t="inlineStr">
        <is>
          <t>リリース単位のリスク評価がないと、危険な変更(スキーマ変更・依存更新)が通常変更と同じ軽さで扱われ、対策なしで本番に入る。ISO 12207 のリリース計画が求めるリスク評価を記録させる。</t>
        </is>
      </c>
      <c r="H57" s="4" t="inlineStr">
        <is>
          <t>swebok-v4a.pdf ch06 SE Operations &gt; 2.1.1 Operations Plan(assess the risk of a given release)/ 4.2 Change Management</t>
        </is>
      </c>
      <c r="I57" s="4" t="inlineStr">
        <is>
          <t>CORE</t>
        </is>
      </c>
      <c r="J57" s="4" t="inlineStr">
        <is>
          <t>原則適用。案件スコープ・成果物・規制・リスク上非該当の場合はN/A根拠を記録。</t>
        </is>
      </c>
      <c r="K57" s="4" t="inlineStr">
        <is>
          <t>SRC-SWEBOK-V4A</t>
        </is>
      </c>
      <c r="L57" s="4" t="inlineStr"/>
      <c r="M57" s="4" t="n"/>
      <c r="N57" s="4" t="n"/>
      <c r="O57" s="4" t="n"/>
      <c r="P57" s="4" t="n"/>
      <c r="Q57" s="4" t="n"/>
      <c r="R57" s="4" t="n"/>
      <c r="S57" s="4" t="n"/>
      <c r="T57" s="4" t="n"/>
      <c r="U57" s="4" t="n"/>
      <c r="V57" s="4" t="n"/>
      <c r="W57" s="4" t="n"/>
    </row>
    <row r="58">
      <c r="A58" s="5" t="inlineStr">
        <is>
          <t>OPS-077</t>
        </is>
      </c>
      <c r="B58" s="5" t="inlineStr">
        <is>
          <t>SWEBOK</t>
        </is>
      </c>
      <c r="C58" s="4" t="inlineStr">
        <is>
          <t>8. デプロイ/リリース工学(SWEBOK 6-3.1 / 6-3.2)</t>
        </is>
      </c>
      <c r="D58" s="10" t="inlineStr">
        <is>
          <t>Medium</t>
        </is>
      </c>
      <c r="E58" s="4" t="inlineStr">
        <is>
          <t>デプロイパイプラインが自動化されている(または自動化計画がある)</t>
        </is>
      </c>
      <c r="F58" s="4" t="inlineStr">
        <is>
          <t>CI/CD による自動ビルド・テスト・デプロイの記載、または手動部分の自動化計画がある</t>
        </is>
      </c>
      <c r="G58" s="4" t="inlineStr">
        <is>
          <t>手動デプロイは時間と品質の両面で非効率であり、ヒューマンエラーの主要因になる。CI/CD による自動化(または計画)を確認し、デプロイの再現性と頻度を高める。</t>
        </is>
      </c>
      <c r="H58" s="4" t="inlineStr">
        <is>
          <t>swebok-v4a.pdf ch06 SE Operations &gt; 3.2 Deployment/Release Engineering / 6. Software Engineering Operations Tools(CI/CD)</t>
        </is>
      </c>
      <c r="I58" s="4" t="inlineStr">
        <is>
          <t>CORE</t>
        </is>
      </c>
      <c r="J58" s="4" t="inlineStr">
        <is>
          <t>原則適用。案件スコープ・成果物・規制・リスク上非該当の場合はN/A根拠を記録。</t>
        </is>
      </c>
      <c r="K58" s="4" t="inlineStr">
        <is>
          <t>SRC-SWEBOK-V4A</t>
        </is>
      </c>
      <c r="L58" s="4" t="inlineStr"/>
      <c r="M58" s="4" t="n"/>
      <c r="N58" s="4" t="n"/>
      <c r="O58" s="4" t="n"/>
      <c r="P58" s="4" t="n"/>
      <c r="Q58" s="4" t="n"/>
      <c r="R58" s="4" t="n"/>
      <c r="S58" s="4" t="n"/>
      <c r="T58" s="4" t="n"/>
      <c r="U58" s="4" t="n"/>
      <c r="V58" s="4" t="n"/>
      <c r="W58" s="4" t="n"/>
    </row>
    <row r="59">
      <c r="A59" s="5" t="inlineStr">
        <is>
          <t>OPS-078</t>
        </is>
      </c>
      <c r="B59" s="5" t="inlineStr">
        <is>
          <t>SWEBOK</t>
        </is>
      </c>
      <c r="C59" s="4" t="inlineStr">
        <is>
          <t>8. デプロイ/リリース工学(SWEBOK 6-3.1 / 6-3.2)</t>
        </is>
      </c>
      <c r="D59" s="11" t="inlineStr">
        <is>
          <t>Low</t>
        </is>
      </c>
      <c r="E59" s="4" t="inlineStr">
        <is>
          <t>デプロイ頻度・所要時間が計測されている</t>
        </is>
      </c>
      <c r="F59" s="4" t="inlineStr">
        <is>
          <t>デプロイの頻度・リードタイム等の指標を記録する仕組みの記載がある</t>
        </is>
      </c>
      <c r="G59" s="4" t="inlineStr">
        <is>
          <t>デプロイ頻度・リードタイムを計測しないと、デリバリー能力の劣化(リリースが重く・怖くなっていく傾向)に気付けない。改善の基礎データとして計測の仕組みを確認する。</t>
        </is>
      </c>
      <c r="H59" s="4" t="inlineStr">
        <is>
          <t>swebok-v4a.pdf ch06 SE Operations &gt; 4.3 Monitor, Measure, Track, and Review + 実務補完(DORA メトリクス)</t>
        </is>
      </c>
      <c r="I59" s="4" t="inlineStr">
        <is>
          <t>CORE</t>
        </is>
      </c>
      <c r="J59" s="4" t="inlineStr">
        <is>
          <t>原則適用。案件スコープ・成果物・規制・リスク上非該当の場合はN/A根拠を記録。</t>
        </is>
      </c>
      <c r="K59" s="4" t="inlineStr">
        <is>
          <t>SRC-SWEBOK-V4A;SRC-DORA;SRC-PRACTICE</t>
        </is>
      </c>
      <c r="L59" s="4" t="inlineStr"/>
      <c r="M59" s="4" t="n"/>
      <c r="N59" s="4" t="n"/>
      <c r="O59" s="4" t="n"/>
      <c r="P59" s="4" t="n"/>
      <c r="Q59" s="4" t="n"/>
      <c r="R59" s="4" t="n"/>
      <c r="S59" s="4" t="n"/>
      <c r="T59" s="4" t="n"/>
      <c r="U59" s="4" t="n"/>
      <c r="V59" s="4" t="n"/>
      <c r="W59" s="4" t="n"/>
    </row>
    <row r="60">
      <c r="A60" s="5" t="inlineStr">
        <is>
          <t>OPS-080</t>
        </is>
      </c>
      <c r="B60" s="5" t="inlineStr">
        <is>
          <t>SWEBOK</t>
        </is>
      </c>
      <c r="C60" s="4" t="inlineStr">
        <is>
          <t>9. ロールバック・データ移行(SWEBOK 6-3.3)</t>
        </is>
      </c>
      <c r="D60" s="8" t="inlineStr">
        <is>
          <t>Critical</t>
        </is>
      </c>
      <c r="E60" s="4" t="inlineStr">
        <is>
          <t>すべてのリリース手順にロールバック手順が併記されている</t>
        </is>
      </c>
      <c r="F60" s="4" t="inlineStr">
        <is>
          <t>前バージョンへ戻す具体的手順(コマンド・所要時間)が記載され、「ロールバック不可」の場合は代替(前方修正)方針が明記されている</t>
        </is>
      </c>
      <c r="G60" s="4" t="inlineStr">
        <is>
          <t>ロールバック手順なしのリリースは、不具合発生時に前方修正しか選択肢がなく、障害が数時間〜数日単位で長期化する。SWEBOK が求める「デプロイ前に計画・リハーサル済みのロールバック」を担保する。</t>
        </is>
      </c>
      <c r="H60" s="4" t="inlineStr">
        <is>
          <t>swebok-v4a.pdf ch06 SE Operations &gt; 3.3 Rollback and Data Migration(planned and rehearsed rollback before deployment)</t>
        </is>
      </c>
      <c r="I60" s="4" t="inlineStr">
        <is>
          <t>CORE</t>
        </is>
      </c>
      <c r="J60" s="4" t="inlineStr">
        <is>
          <t>原則適用。案件スコープ・成果物・規制・リスク上非該当の場合はN/A根拠を記録。</t>
        </is>
      </c>
      <c r="K60" s="4" t="inlineStr">
        <is>
          <t>SRC-SWEBOK-V4A</t>
        </is>
      </c>
      <c r="L60" s="4" t="inlineStr"/>
      <c r="M60" s="4" t="n"/>
      <c r="N60" s="4" t="n"/>
      <c r="O60" s="4" t="n"/>
      <c r="P60" s="4" t="n"/>
      <c r="Q60" s="4" t="n"/>
      <c r="R60" s="4" t="n"/>
      <c r="S60" s="4" t="n"/>
      <c r="T60" s="4" t="n"/>
      <c r="U60" s="4" t="n"/>
      <c r="V60" s="4" t="n"/>
      <c r="W60" s="4" t="n"/>
    </row>
    <row r="61">
      <c r="A61" s="5" t="inlineStr">
        <is>
          <t>OPS-081</t>
        </is>
      </c>
      <c r="B61" s="5" t="inlineStr">
        <is>
          <t>SWEBOK</t>
        </is>
      </c>
      <c r="C61" s="4" t="inlineStr">
        <is>
          <t>9. ロールバック・データ移行(SWEBOK 6-3.3)</t>
        </is>
      </c>
      <c r="D61" s="8" t="inlineStr">
        <is>
          <t>Critical</t>
        </is>
      </c>
      <c r="E61" s="4" t="inlineStr">
        <is>
          <t>ロールバックの判断基準が明文化されている</t>
        </is>
      </c>
      <c r="F61" s="4" t="inlineStr">
        <is>
          <t>発動条件(エラー率・SLO 違反等の数値条件、または判断者と判断材料)が記載されている</t>
        </is>
      </c>
      <c r="G61" s="4" t="inlineStr">
        <is>
          <t>発動基準がないと、障害中に「戻すか粘るか」の議論で貴重な復旧時間を浪費する。数値条件または判断者を事前に決め、ロールバック判断を迅速化する。</t>
        </is>
      </c>
      <c r="H61" s="4" t="inlineStr">
        <is>
          <t>swebok-v4a.pdf ch06 SE Operations &gt; 3.3 Rollback and Data Migration / 4.2 Change Management(need for a rollback strategy)</t>
        </is>
      </c>
      <c r="I61" s="4" t="inlineStr">
        <is>
          <t>CORE</t>
        </is>
      </c>
      <c r="J61" s="4" t="inlineStr">
        <is>
          <t>原則適用。案件スコープ・成果物・規制・リスク上非該当の場合はN/A根拠を記録。</t>
        </is>
      </c>
      <c r="K61" s="4" t="inlineStr">
        <is>
          <t>SRC-SWEBOK-V4A</t>
        </is>
      </c>
      <c r="L61" s="4" t="inlineStr"/>
      <c r="M61" s="4" t="n"/>
      <c r="N61" s="4" t="n"/>
      <c r="O61" s="4" t="n"/>
      <c r="P61" s="4" t="n"/>
      <c r="Q61" s="4" t="n"/>
      <c r="R61" s="4" t="n"/>
      <c r="S61" s="4" t="n"/>
      <c r="T61" s="4" t="n"/>
      <c r="U61" s="4" t="n"/>
      <c r="V61" s="4" t="n"/>
      <c r="W61" s="4" t="n"/>
    </row>
    <row r="62">
      <c r="A62" s="5" t="inlineStr">
        <is>
          <t>OPS-082</t>
        </is>
      </c>
      <c r="B62" s="5" t="inlineStr">
        <is>
          <t>SWEBOK</t>
        </is>
      </c>
      <c r="C62" s="4" t="inlineStr">
        <is>
          <t>9. ロールバック・データ移行(SWEBOK 6-3.3)</t>
        </is>
      </c>
      <c r="D62" s="9" t="inlineStr">
        <is>
          <t>High</t>
        </is>
      </c>
      <c r="E62" s="4" t="inlineStr">
        <is>
          <t>データ移行(スキーマ変更)の後方互換性が検討されている</t>
        </is>
      </c>
      <c r="F62" s="4" t="inlineStr">
        <is>
          <t>DB スキーマ・データ形式の変更時に、ロールバック後も旧バージョンが動作するか(互換性維持策または非互換時の手順)が記載されている</t>
        </is>
      </c>
      <c r="G62" s="4" t="inlineStr">
        <is>
          <t>スキーマ変更に後方互換がないと、アプリをロールバックしてもデータベースが旧版と動かず「戻れない」状態に陥る。ロールバック可能性はデータ層を含めて初めて成立することを確認する。</t>
        </is>
      </c>
      <c r="H62" s="4" t="inlineStr">
        <is>
          <t>swebok-v4a.pdf ch06 SE Operations &gt; 3.3 Rollback and Data Migration(returning software and its database to a working state)</t>
        </is>
      </c>
      <c r="I62" s="4" t="inlineStr">
        <is>
          <t>CORE</t>
        </is>
      </c>
      <c r="J62" s="4" t="inlineStr">
        <is>
          <t>原則適用。案件スコープ・成果物・規制・リスク上非該当の場合はN/A根拠を記録。</t>
        </is>
      </c>
      <c r="K62" s="4" t="inlineStr">
        <is>
          <t>SRC-SWEBOK-V4A</t>
        </is>
      </c>
      <c r="L62" s="4" t="inlineStr"/>
      <c r="M62" s="4" t="n"/>
      <c r="N62" s="4" t="n"/>
      <c r="O62" s="4" t="n"/>
      <c r="P62" s="4" t="n"/>
      <c r="Q62" s="4" t="n"/>
      <c r="R62" s="4" t="n"/>
      <c r="S62" s="4" t="n"/>
      <c r="T62" s="4" t="n"/>
      <c r="U62" s="4" t="n"/>
      <c r="V62" s="4" t="n"/>
      <c r="W62" s="4" t="n"/>
    </row>
    <row r="63">
      <c r="A63" s="5" t="inlineStr">
        <is>
          <t>OPS-083</t>
        </is>
      </c>
      <c r="B63" s="5" t="inlineStr">
        <is>
          <t>SWEBOK</t>
        </is>
      </c>
      <c r="C63" s="4" t="inlineStr">
        <is>
          <t>9. ロールバック・データ移行(SWEBOK 6-3.3)</t>
        </is>
      </c>
      <c r="D63" s="9" t="inlineStr">
        <is>
          <t>High</t>
        </is>
      </c>
      <c r="E63" s="4" t="inlineStr">
        <is>
          <t>データ移行手順に検証ステップがある</t>
        </is>
      </c>
      <c r="F63" s="4" t="inlineStr">
        <is>
          <t>移行前後の件数照合・整合性チェック等の検証方法が記載されている</t>
        </is>
      </c>
      <c r="G63" s="4" t="inlineStr">
        <is>
          <t>移行の検証ステップがないと、データ欠損・重複・変換誤りが移行後しばらくして発覚し、原状回復が困難になる。件数照合・整合性チェックで移行直後に異常を検出する。</t>
        </is>
      </c>
      <c r="H63" s="4" t="inlineStr">
        <is>
          <t>swebok-v4a.pdf ch06 SE Operations &gt; 3.3 Rollback and Data Migration</t>
        </is>
      </c>
      <c r="I63" s="4" t="inlineStr">
        <is>
          <t>CORE</t>
        </is>
      </c>
      <c r="J63" s="4" t="inlineStr">
        <is>
          <t>原則適用。案件スコープ・成果物・規制・リスク上非該当の場合はN/A根拠を記録。</t>
        </is>
      </c>
      <c r="K63" s="4" t="inlineStr">
        <is>
          <t>SRC-SWEBOK-V4A</t>
        </is>
      </c>
      <c r="L63" s="4" t="inlineStr"/>
      <c r="M63" s="4" t="n"/>
      <c r="N63" s="4" t="n"/>
      <c r="O63" s="4" t="n"/>
      <c r="P63" s="4" t="n"/>
      <c r="Q63" s="4" t="n"/>
      <c r="R63" s="4" t="n"/>
      <c r="S63" s="4" t="n"/>
      <c r="T63" s="4" t="n"/>
      <c r="U63" s="4" t="n"/>
      <c r="V63" s="4" t="n"/>
      <c r="W63" s="4" t="n"/>
    </row>
    <row r="64">
      <c r="A64" s="5" t="inlineStr">
        <is>
          <t>OPS-084</t>
        </is>
      </c>
      <c r="B64" s="5" t="inlineStr">
        <is>
          <t>SWEBOK</t>
        </is>
      </c>
      <c r="C64" s="4" t="inlineStr">
        <is>
          <t>9. ロールバック・データ移行(SWEBOK 6-3.3)</t>
        </is>
      </c>
      <c r="D64" s="10" t="inlineStr">
        <is>
          <t>Medium</t>
        </is>
      </c>
      <c r="E64" s="4" t="inlineStr">
        <is>
          <t>ロールバックの自動トリガーが検討されている</t>
        </is>
      </c>
      <c r="F64" s="4" t="inlineStr">
        <is>
          <t>監視指標によるロールバック自動化の有無と、採用/不採用の理由が記載されている</t>
        </is>
      </c>
      <c r="G64" s="4" t="inlineStr">
        <is>
          <t>人手の検知・判断・実行に頼るロールバックは分単位の被害拡大を許す。SWEBOK は監視によるロールバック自動発動でユーザーが気付く前に復旧できると述べており、その採否検討を求める。</t>
        </is>
      </c>
      <c r="H64" s="4" t="inlineStr">
        <is>
          <t>swebok-v4a.pdf ch06 SE Operations &gt; 3.3 Rollback and Data Migration(automated surveillance can trigger rollback)</t>
        </is>
      </c>
      <c r="I64" s="4" t="inlineStr">
        <is>
          <t>CORE</t>
        </is>
      </c>
      <c r="J64" s="4" t="inlineStr">
        <is>
          <t>原則適用。案件スコープ・成果物・規制・リスク上非該当の場合はN/A根拠を記録。</t>
        </is>
      </c>
      <c r="K64" s="4" t="inlineStr">
        <is>
          <t>SRC-SWEBOK-V4A</t>
        </is>
      </c>
      <c r="L64" s="4" t="inlineStr"/>
      <c r="M64" s="4" t="n"/>
      <c r="N64" s="4" t="n"/>
      <c r="O64" s="4" t="n"/>
      <c r="P64" s="4" t="n"/>
      <c r="Q64" s="4" t="n"/>
      <c r="R64" s="4" t="n"/>
      <c r="S64" s="4" t="n"/>
      <c r="T64" s="4" t="n"/>
      <c r="U64" s="4" t="n"/>
      <c r="V64" s="4" t="n"/>
      <c r="W64" s="4" t="n"/>
    </row>
    <row r="65">
      <c r="A65" s="5" t="inlineStr">
        <is>
          <t>OPS-085</t>
        </is>
      </c>
      <c r="B65" s="5" t="inlineStr">
        <is>
          <t>SWEBOK</t>
        </is>
      </c>
      <c r="C65" s="4" t="inlineStr">
        <is>
          <t>9. ロールバック・データ移行(SWEBOK 6-3.3)</t>
        </is>
      </c>
      <c r="D65" s="10" t="inlineStr">
        <is>
          <t>Medium</t>
        </is>
      </c>
      <c r="E65" s="4" t="inlineStr">
        <is>
          <t>ロールバックがリハーサル(検証)されている</t>
        </is>
      </c>
      <c r="F65" s="4" t="inlineStr">
        <is>
          <t>非本番環境でのロールバック実施記録、または検証計画が記載されている</t>
        </is>
      </c>
      <c r="G65" s="4" t="inlineStr">
        <is>
          <t>リハーサルなしのロールバック手順は、本番障害時に初めて実行されて手順不備が発覚するという最悪のタイミングで破綻する。事前検証で手順の実行可能性を保証する。</t>
        </is>
      </c>
      <c r="H65" s="4" t="inlineStr">
        <is>
          <t>swebok-v4a.pdf ch06 SE Operations &gt; 3.3 Rollback and Data Migration(planned and rehearsed rollback)</t>
        </is>
      </c>
      <c r="I65" s="4" t="inlineStr">
        <is>
          <t>CORE</t>
        </is>
      </c>
      <c r="J65" s="4" t="inlineStr">
        <is>
          <t>原則適用。案件スコープ・成果物・規制・リスク上非該当の場合はN/A根拠を記録。</t>
        </is>
      </c>
      <c r="K65" s="4" t="inlineStr">
        <is>
          <t>SRC-SWEBOK-V4A</t>
        </is>
      </c>
      <c r="L65" s="4" t="inlineStr"/>
      <c r="M65" s="4" t="n"/>
      <c r="N65" s="4" t="n"/>
      <c r="O65" s="4" t="n"/>
      <c r="P65" s="4" t="n"/>
      <c r="Q65" s="4" t="n"/>
      <c r="R65" s="4" t="n"/>
      <c r="S65" s="4" t="n"/>
      <c r="T65" s="4" t="n"/>
      <c r="U65" s="4" t="n"/>
      <c r="V65" s="4" t="n"/>
      <c r="W65" s="4" t="n"/>
    </row>
    <row r="66">
      <c r="A66" s="5" t="inlineStr">
        <is>
          <t>OPS-090</t>
        </is>
      </c>
      <c r="B66" s="5" t="inlineStr">
        <is>
          <t>SWEBOK</t>
        </is>
      </c>
      <c r="C66" s="4" t="inlineStr">
        <is>
          <t>10. インシデント管理・Runbook(SWEBOK 6-4.1 / 6-3.4)</t>
        </is>
      </c>
      <c r="D66" s="8" t="inlineStr">
        <is>
          <t>Critical</t>
        </is>
      </c>
      <c r="E66" s="4" t="inlineStr">
        <is>
          <t>重大度(Severity)の判定基準が客観的に定義されている</t>
        </is>
      </c>
      <c r="F66" s="4" t="inlineStr">
        <is>
          <t>影響範囲・影響ユーザー数・SLO への影響等の数値/条件による Severity 定義表がある</t>
        </is>
      </c>
      <c r="G66" s="4" t="inlineStr">
        <is>
          <t>重大度の判定が主観だと、担当者によって同じ障害の扱いが変わり、重大障害の初動が軽く見積もられて対応が遅れる。客観条件による判定表で優先順位付けを標準化する。</t>
        </is>
      </c>
      <c r="H66" s="4" t="inlineStr">
        <is>
          <t>swebok-v4a.pdf ch06 SE Operations &gt; 4.1 Incident Management(prioritizing and assessing the business impact)</t>
        </is>
      </c>
      <c r="I66" s="4" t="inlineStr">
        <is>
          <t>CORE</t>
        </is>
      </c>
      <c r="J66" s="4" t="inlineStr">
        <is>
          <t>原則適用。案件スコープ・成果物・規制・リスク上非該当の場合はN/A根拠を記録。</t>
        </is>
      </c>
      <c r="K66" s="4" t="inlineStr">
        <is>
          <t>SRC-SWEBOK-V4A</t>
        </is>
      </c>
      <c r="L66" s="4" t="inlineStr"/>
      <c r="M66" s="4" t="n"/>
      <c r="N66" s="4" t="n"/>
      <c r="O66" s="4" t="n"/>
      <c r="P66" s="4" t="n"/>
      <c r="Q66" s="4" t="n"/>
      <c r="R66" s="4" t="n"/>
      <c r="S66" s="4" t="n"/>
      <c r="T66" s="4" t="n"/>
      <c r="U66" s="4" t="n"/>
      <c r="V66" s="4" t="n"/>
      <c r="W66" s="4" t="n"/>
    </row>
    <row r="67">
      <c r="A67" s="5" t="inlineStr">
        <is>
          <t>OPS-091</t>
        </is>
      </c>
      <c r="B67" s="5" t="inlineStr">
        <is>
          <t>SWEBOK</t>
        </is>
      </c>
      <c r="C67" s="4" t="inlineStr">
        <is>
          <t>10. インシデント管理・Runbook(SWEBOK 6-4.1 / 6-3.4)</t>
        </is>
      </c>
      <c r="D67" s="8" t="inlineStr">
        <is>
          <t>Critical</t>
        </is>
      </c>
      <c r="E67" s="4" t="inlineStr">
        <is>
          <t>インシデント対応フロー(記録→優先順位付け→対応→クローズ)が定義されている</t>
        </is>
      </c>
      <c r="F67" s="4" t="inlineStr">
        <is>
          <t>検知からクローズまでの各ステップと記録先(チケットシステム等)が記載されている</t>
        </is>
      </c>
      <c r="G67" s="4" t="inlineStr">
        <is>
          <t>対応フローと記録先が未定義だと、対応が口頭・チャットに散逸し、対応状況の把握もクローズ判定も事後分析もできなくなる。記録→優先順位付け→解決→クローズの流れを定型化する。</t>
        </is>
      </c>
      <c r="H67" s="4" t="inlineStr">
        <is>
          <t>swebok-v4a.pdf ch06 SE Operations &gt; 4.1 Incident Management(recording, prioritizing, resolution, escalation and closure)</t>
        </is>
      </c>
      <c r="I67" s="4" t="inlineStr">
        <is>
          <t>CORE</t>
        </is>
      </c>
      <c r="J67" s="4" t="inlineStr">
        <is>
          <t>原則適用。案件スコープ・成果物・規制・リスク上非該当の場合はN/A根拠を記録。</t>
        </is>
      </c>
      <c r="K67" s="4" t="inlineStr">
        <is>
          <t>SRC-SWEBOK-V4A</t>
        </is>
      </c>
      <c r="L67" s="4" t="inlineStr"/>
      <c r="M67" s="4" t="n"/>
      <c r="N67" s="4" t="n"/>
      <c r="O67" s="4" t="n"/>
      <c r="P67" s="4" t="n"/>
      <c r="Q67" s="4" t="n"/>
      <c r="R67" s="4" t="n"/>
      <c r="S67" s="4" t="n"/>
      <c r="T67" s="4" t="n"/>
      <c r="U67" s="4" t="n"/>
      <c r="V67" s="4" t="n"/>
      <c r="W67" s="4" t="n"/>
    </row>
    <row r="68">
      <c r="A68" s="5" t="inlineStr">
        <is>
          <t>OPS-092</t>
        </is>
      </c>
      <c r="B68" s="5" t="inlineStr">
        <is>
          <t>SWEBOK</t>
        </is>
      </c>
      <c r="C68" s="4" t="inlineStr">
        <is>
          <t>10. インシデント管理・Runbook(SWEBOK 6-4.1 / 6-3.4)</t>
        </is>
      </c>
      <c r="D68" s="8" t="inlineStr">
        <is>
          <t>Critical</t>
        </is>
      </c>
      <c r="E68" s="4" t="inlineStr">
        <is>
          <t>エスカレーション条件が定義されている</t>
        </is>
      </c>
      <c r="F68" s="4" t="inlineStr">
        <is>
          <t>Severity・経過時間による上位者/ベンダーへのエスカレーション条件と連絡先が記載されている</t>
        </is>
      </c>
      <c r="G68" s="4" t="inlineStr">
        <is>
          <t>エスカレーション条件がないと、一次対応者が「もう少しで直る」と抱え込み、上位者・ベンダーの投入が遅れて障害が長期化する。Severity と経過時間による機械的な発動条件を定める。</t>
        </is>
      </c>
      <c r="H68" s="4" t="inlineStr">
        <is>
          <t>swebok-v4a.pdf ch06 SE Operations &gt; 4.1 Incident Management(escalation)</t>
        </is>
      </c>
      <c r="I68" s="4" t="inlineStr">
        <is>
          <t>CORE</t>
        </is>
      </c>
      <c r="J68" s="4" t="inlineStr">
        <is>
          <t>原則適用。案件スコープ・成果物・規制・リスク上非該当の場合はN/A根拠を記録。</t>
        </is>
      </c>
      <c r="K68" s="4" t="inlineStr">
        <is>
          <t>SRC-SWEBOK-V4A</t>
        </is>
      </c>
      <c r="L68" s="4" t="inlineStr"/>
      <c r="M68" s="4" t="n"/>
      <c r="N68" s="4" t="n"/>
      <c r="O68" s="4" t="n"/>
      <c r="P68" s="4" t="n"/>
      <c r="Q68" s="4" t="n"/>
      <c r="R68" s="4" t="n"/>
      <c r="S68" s="4" t="n"/>
      <c r="T68" s="4" t="n"/>
      <c r="U68" s="4" t="n"/>
      <c r="V68" s="4" t="n"/>
      <c r="W68" s="4" t="n"/>
    </row>
    <row r="69">
      <c r="A69" s="5" t="inlineStr">
        <is>
          <t>OPS-093</t>
        </is>
      </c>
      <c r="B69" s="5" t="inlineStr">
        <is>
          <t>SWEBOK</t>
        </is>
      </c>
      <c r="C69" s="4" t="inlineStr">
        <is>
          <t>10. インシデント管理・Runbook(SWEBOK 6-4.1 / 6-3.4)</t>
        </is>
      </c>
      <c r="D69" s="8" t="inlineStr">
        <is>
          <t>Critical</t>
        </is>
      </c>
      <c r="E69" s="4" t="inlineStr">
        <is>
          <t>主要障害シナリオに対する Runbook が存在する</t>
        </is>
      </c>
      <c r="F69" s="4" t="inlineStr">
        <is>
          <t>主要アラート/障害シナリオ(サービス停止、性能劣化、依存先障害等)ごとに Runbook が用意され、アラートから参照できる</t>
        </is>
      </c>
      <c r="G69" s="4" t="inlineStr">
        <is>
          <t>Runbook がないと、障害対応の質が当番者の経験に依存し、深夜対応で調査の振り出しから始めることになる。主要シナリオの対応手順を事前に整備し MTTR を短縮する。</t>
        </is>
      </c>
      <c r="H69" s="4" t="inlineStr">
        <is>
          <t>swebok-v4a.pdf ch06 SE Operations &gt; 4.4 Operations Support / 2. Operations Planning(procedures)+ 実務補完(SRE Runbook)</t>
        </is>
      </c>
      <c r="I69" s="4" t="inlineStr">
        <is>
          <t>CORE</t>
        </is>
      </c>
      <c r="J69" s="4" t="inlineStr">
        <is>
          <t>原則適用。案件スコープ・成果物・規制・リスク上非該当の場合はN/A根拠を記録。</t>
        </is>
      </c>
      <c r="K69" s="4" t="inlineStr">
        <is>
          <t>SRC-SWEBOK-V4A;SRC-SRE;SRC-PRACTICE</t>
        </is>
      </c>
      <c r="L69" s="4" t="inlineStr"/>
      <c r="M69" s="4" t="n"/>
      <c r="N69" s="4" t="n"/>
      <c r="O69" s="4" t="n"/>
      <c r="P69" s="4" t="n"/>
      <c r="Q69" s="4" t="n"/>
      <c r="R69" s="4" t="n"/>
      <c r="S69" s="4" t="n"/>
      <c r="T69" s="4" t="n"/>
      <c r="U69" s="4" t="n"/>
      <c r="V69" s="4" t="n"/>
      <c r="W69" s="4" t="n"/>
    </row>
    <row r="70">
      <c r="A70" s="5" t="inlineStr">
        <is>
          <t>OPS-094</t>
        </is>
      </c>
      <c r="B70" s="5" t="inlineStr">
        <is>
          <t>SWEBOK</t>
        </is>
      </c>
      <c r="C70" s="4" t="inlineStr">
        <is>
          <t>10. インシデント管理・Runbook(SWEBOK 6-4.1 / 6-3.4)</t>
        </is>
      </c>
      <c r="D70" s="8" t="inlineStr">
        <is>
          <t>Critical</t>
        </is>
      </c>
      <c r="E70" s="4" t="inlineStr">
        <is>
          <t>Runbook の手順が当番者だけで実行可能な具体性である</t>
        </is>
      </c>
      <c r="F70" s="4" t="inlineStr">
        <is>
          <t>確認コマンド・ダッシュボード URL・復旧ステップ・期待結果が記載され、暗黙知(「担当者に聞く」等)への依存がない</t>
        </is>
      </c>
      <c r="G70" s="4" t="inlineStr">
        <is>
          <t>「詳しい人に聞く」で終わる Runbook は深夜・休日に機能せず、結局属人対応に戻る。当番者単独で完遂できる具体性を要求し、対応の脱属人化を実効化する。</t>
        </is>
      </c>
      <c r="H70" s="4" t="inlineStr">
        <is>
          <t>swebok-v4a.pdf ch06 SE Operations &gt; 4.4 Operations Support + 実務補完(SRE Runbook)</t>
        </is>
      </c>
      <c r="I70" s="4" t="inlineStr">
        <is>
          <t>CORE</t>
        </is>
      </c>
      <c r="J70" s="4" t="inlineStr">
        <is>
          <t>原則適用。案件スコープ・成果物・規制・リスク上非該当の場合はN/A根拠を記録。</t>
        </is>
      </c>
      <c r="K70" s="4" t="inlineStr">
        <is>
          <t>SRC-SWEBOK-V4A;SRC-SRE;SRC-PRACTICE</t>
        </is>
      </c>
      <c r="L70" s="4" t="inlineStr"/>
      <c r="M70" s="4" t="n"/>
      <c r="N70" s="4" t="n"/>
      <c r="O70" s="4" t="n"/>
      <c r="P70" s="4" t="n"/>
      <c r="Q70" s="4" t="n"/>
      <c r="R70" s="4" t="n"/>
      <c r="S70" s="4" t="n"/>
      <c r="T70" s="4" t="n"/>
      <c r="U70" s="4" t="n"/>
      <c r="V70" s="4" t="n"/>
      <c r="W70" s="4" t="n"/>
    </row>
    <row r="71">
      <c r="A71" s="5" t="inlineStr">
        <is>
          <t>OPS-095</t>
        </is>
      </c>
      <c r="B71" s="5" t="inlineStr">
        <is>
          <t>SWEBOK</t>
        </is>
      </c>
      <c r="C71" s="4" t="inlineStr">
        <is>
          <t>10. インシデント管理・Runbook(SWEBOK 6-4.1 / 6-3.4)</t>
        </is>
      </c>
      <c r="D71" s="9" t="inlineStr">
        <is>
          <t>High</t>
        </is>
      </c>
      <c r="E71" s="4" t="inlineStr">
        <is>
          <t>Runbook に切り分けフローがある</t>
        </is>
      </c>
      <c r="F71" s="4" t="inlineStr">
        <is>
          <t>症状から原因候補を絞り込む手順(確認順序と分岐)が記載されている</t>
        </is>
      </c>
      <c r="G71" s="4" t="inlineStr">
        <is>
          <t>切り分けフローがないと、原因候補を場当たり的に試して復旧が遅れ、無関係な変更で二次障害を起こすこともある。症状から原因を絞り込む確認順序を定型化する。</t>
        </is>
      </c>
      <c r="H71" s="4" t="inlineStr">
        <is>
          <t>swebok-v4a.pdf ch06 SE Operations &gt; 1.5 Effective Testing and Troubleshooting(running diagnostics, assessing impact)</t>
        </is>
      </c>
      <c r="I71" s="4" t="inlineStr">
        <is>
          <t>CORE</t>
        </is>
      </c>
      <c r="J71" s="4" t="inlineStr">
        <is>
          <t>原則適用。案件スコープ・成果物・規制・リスク上非該当の場合はN/A根拠を記録。</t>
        </is>
      </c>
      <c r="K71" s="4" t="inlineStr">
        <is>
          <t>SRC-SWEBOK-V4A</t>
        </is>
      </c>
      <c r="L71" s="4" t="inlineStr"/>
      <c r="M71" s="4" t="n"/>
      <c r="N71" s="4" t="n"/>
      <c r="O71" s="4" t="n"/>
      <c r="P71" s="4" t="n"/>
      <c r="Q71" s="4" t="n"/>
      <c r="R71" s="4" t="n"/>
      <c r="S71" s="4" t="n"/>
      <c r="T71" s="4" t="n"/>
      <c r="U71" s="4" t="n"/>
      <c r="V71" s="4" t="n"/>
      <c r="W71" s="4" t="n"/>
    </row>
    <row r="72">
      <c r="A72" s="5" t="inlineStr">
        <is>
          <t>OPS-096</t>
        </is>
      </c>
      <c r="B72" s="5" t="inlineStr">
        <is>
          <t>SWEBOK</t>
        </is>
      </c>
      <c r="C72" s="4" t="inlineStr">
        <is>
          <t>10. インシデント管理・Runbook(SWEBOK 6-4.1 / 6-3.4)</t>
        </is>
      </c>
      <c r="D72" s="9" t="inlineStr">
        <is>
          <t>High</t>
        </is>
      </c>
      <c r="E72" s="4" t="inlineStr">
        <is>
          <t>対応時のコミュニケーションルールが定義されている</t>
        </is>
      </c>
      <c r="F72" s="4" t="inlineStr">
        <is>
          <t>対応中の状況共有(社内周知、ユーザー向けステータス更新)の頻度・チャネル・担当が記載されている</t>
        </is>
      </c>
      <c r="G72" s="4" t="inlineStr">
        <is>
          <t>対応中の情報共有ルールがないと、経営・営業・ユーザー窓口への説明が対応者に殺到し、復旧作業そのものが妨害される。共有の頻度・チャネル・担当を分離して定める。</t>
        </is>
      </c>
      <c r="H72" s="4" t="inlineStr">
        <is>
          <t>swebok-v4a.pdf ch06 SE Operations &gt; 4.1 Incident Management / 2.1.1 Operations Plan(communication to the relevant parties)</t>
        </is>
      </c>
      <c r="I72" s="4" t="inlineStr">
        <is>
          <t>CORE</t>
        </is>
      </c>
      <c r="J72" s="4" t="inlineStr">
        <is>
          <t>原則適用。案件スコープ・成果物・規制・リスク上非該当の場合はN/A根拠を記録。</t>
        </is>
      </c>
      <c r="K72" s="4" t="inlineStr">
        <is>
          <t>SRC-SWEBOK-V4A</t>
        </is>
      </c>
      <c r="L72" s="4" t="inlineStr"/>
      <c r="M72" s="4" t="n"/>
      <c r="N72" s="4" t="n"/>
      <c r="O72" s="4" t="n"/>
      <c r="P72" s="4" t="n"/>
      <c r="Q72" s="4" t="n"/>
      <c r="R72" s="4" t="n"/>
      <c r="S72" s="4" t="n"/>
      <c r="T72" s="4" t="n"/>
      <c r="U72" s="4" t="n"/>
      <c r="V72" s="4" t="n"/>
      <c r="W72" s="4" t="n"/>
    </row>
    <row r="73">
      <c r="A73" s="5" t="inlineStr">
        <is>
          <t>OPS-097</t>
        </is>
      </c>
      <c r="B73" s="5" t="inlineStr">
        <is>
          <t>SWEBOK</t>
        </is>
      </c>
      <c r="C73" s="4" t="inlineStr">
        <is>
          <t>10. インシデント管理・Runbook(SWEBOK 6-4.1 / 6-3.4)</t>
        </is>
      </c>
      <c r="D73" s="9" t="inlineStr">
        <is>
          <t>High</t>
        </is>
      </c>
      <c r="E73" s="4" t="inlineStr">
        <is>
          <t>再発する問題を根本解決につなげるプロセス(Problem Resolution)がある</t>
        </is>
      </c>
      <c r="F73" s="4" t="inlineStr">
        <is>
          <t>インシデントの傾向分析から問題管理・RCA へ引き継ぐ基準と流れが記載されている</t>
        </is>
      </c>
      <c r="G73" s="4" t="inlineStr">
        <is>
          <t>個別インシデントの復旧だけを繰り返すと、同じ根本原因による障害が再発し続け、対応コストが恒常化する。SWEBOK の Problem Resolution(傾向分析→根本原因の究明)への接続を確認する。</t>
        </is>
      </c>
      <c r="H73" s="4" t="inlineStr">
        <is>
          <t>swebok-v4a.pdf ch06 SE Operations &gt; 3.4 Problem Resolution(identification and analysis of the cause of recurring problems)</t>
        </is>
      </c>
      <c r="I73" s="4" t="inlineStr">
        <is>
          <t>CORE</t>
        </is>
      </c>
      <c r="J73" s="4" t="inlineStr">
        <is>
          <t>原則適用。案件スコープ・成果物・規制・リスク上非該当の場合はN/A根拠を記録。</t>
        </is>
      </c>
      <c r="K73" s="4" t="inlineStr">
        <is>
          <t>SRC-SWEBOK-V4A</t>
        </is>
      </c>
      <c r="L73" s="4" t="inlineStr"/>
      <c r="M73" s="4" t="n"/>
      <c r="N73" s="4" t="n"/>
      <c r="O73" s="4" t="n"/>
      <c r="P73" s="4" t="n"/>
      <c r="Q73" s="4" t="n"/>
      <c r="R73" s="4" t="n"/>
      <c r="S73" s="4" t="n"/>
      <c r="T73" s="4" t="n"/>
      <c r="U73" s="4" t="n"/>
      <c r="V73" s="4" t="n"/>
      <c r="W73" s="4" t="n"/>
    </row>
    <row r="74">
      <c r="A74" s="5" t="inlineStr">
        <is>
          <t>OPS-098</t>
        </is>
      </c>
      <c r="B74" s="5" t="inlineStr">
        <is>
          <t>SWEBOK</t>
        </is>
      </c>
      <c r="C74" s="4" t="inlineStr">
        <is>
          <t>10. インシデント管理・Runbook(SWEBOK 6-4.1 / 6-3.4)</t>
        </is>
      </c>
      <c r="D74" s="10" t="inlineStr">
        <is>
          <t>Medium</t>
        </is>
      </c>
      <c r="E74" s="4" t="inlineStr">
        <is>
          <t>Runbook の更新ルールがある</t>
        </is>
      </c>
      <c r="F74" s="4" t="inlineStr">
        <is>
          <t>インシデント対応後に Runbook を見直す契機と更新責任者が定義されている</t>
        </is>
      </c>
      <c r="G74" s="4" t="inlineStr">
        <is>
          <t>Runbook は更新されなければ実環境と乖離し、障害時に「手順どおりやったのに動かない」という二重の混乱を生む。インシデント後の見直し契機と責任者を定めて陳腐化を防ぐ。</t>
        </is>
      </c>
      <c r="H74" s="4" t="inlineStr">
        <is>
          <t>swebok-v4a.pdf ch06 SE Operations &gt; 4.1 Incident Management(post mortems → solutions implemented)+ 実務補完</t>
        </is>
      </c>
      <c r="I74" s="4" t="inlineStr">
        <is>
          <t>CORE</t>
        </is>
      </c>
      <c r="J74" s="4" t="inlineStr">
        <is>
          <t>原則適用。案件スコープ・成果物・規制・リスク上非該当の場合はN/A根拠を記録。</t>
        </is>
      </c>
      <c r="K74" s="4" t="inlineStr">
        <is>
          <t>SRC-SWEBOK-V4A;SRC-PRACTICE</t>
        </is>
      </c>
      <c r="L74" s="4" t="inlineStr"/>
      <c r="M74" s="4" t="n"/>
      <c r="N74" s="4" t="n"/>
      <c r="O74" s="4" t="n"/>
      <c r="P74" s="4" t="n"/>
      <c r="Q74" s="4" t="n"/>
      <c r="R74" s="4" t="n"/>
      <c r="S74" s="4" t="n"/>
      <c r="T74" s="4" t="n"/>
      <c r="U74" s="4" t="n"/>
      <c r="V74" s="4" t="n"/>
      <c r="W74" s="4" t="n"/>
    </row>
    <row r="75">
      <c r="A75" s="5" t="inlineStr">
        <is>
          <t>OPS-099</t>
        </is>
      </c>
      <c r="B75" s="5" t="inlineStr">
        <is>
          <t>SWEBOK</t>
        </is>
      </c>
      <c r="C75" s="4" t="inlineStr">
        <is>
          <t>10. インシデント管理・Runbook(SWEBOK 6-4.1 / 6-3.4)</t>
        </is>
      </c>
      <c r="D75" s="11" t="inlineStr">
        <is>
          <t>Low</t>
        </is>
      </c>
      <c r="E75" s="4" t="inlineStr">
        <is>
          <t>インシデント対応演習の計画がある</t>
        </is>
      </c>
      <c r="F75" s="4" t="inlineStr">
        <is>
          <t>障害対応訓練(ゲームデイ等)の実施頻度・シナリオの記載がある</t>
        </is>
      </c>
      <c r="G75" s="4" t="inlineStr">
        <is>
          <t>訓練なしでは、Runbook・エスカレーション・連絡網が本番障害で初めて試されることになる。ゲームデイ等で対応能力と手順の不備を平時に検証する。</t>
        </is>
      </c>
      <c r="H75" s="4" t="inlineStr">
        <is>
          <t>swebok-v4a.pdf ch06 SE Operations &gt; 5.1 Incident and Problem Prevention + 実務補完(ゲームデイ/カオスエンジニアリング)</t>
        </is>
      </c>
      <c r="I75" s="4" t="inlineStr">
        <is>
          <t>CORE</t>
        </is>
      </c>
      <c r="J75" s="4" t="inlineStr">
        <is>
          <t>原則適用。案件スコープ・成果物・規制・リスク上非該当の場合はN/A根拠を記録。</t>
        </is>
      </c>
      <c r="K75" s="4" t="inlineStr">
        <is>
          <t>SRC-SWEBOK-V4A;SRC-PRACTICE</t>
        </is>
      </c>
      <c r="L75" s="4" t="inlineStr"/>
      <c r="M75" s="4" t="n"/>
      <c r="N75" s="4" t="n"/>
      <c r="O75" s="4" t="n"/>
      <c r="P75" s="4" t="n"/>
      <c r="Q75" s="4" t="n"/>
      <c r="R75" s="4" t="n"/>
      <c r="S75" s="4" t="n"/>
      <c r="T75" s="4" t="n"/>
      <c r="U75" s="4" t="n"/>
      <c r="V75" s="4" t="n"/>
      <c r="W75" s="4" t="n"/>
    </row>
    <row r="76">
      <c r="A76" s="5" t="inlineStr">
        <is>
          <t>OPS-100</t>
        </is>
      </c>
      <c r="B76" s="5" t="inlineStr">
        <is>
          <t>SWEBOK</t>
        </is>
      </c>
      <c r="C76" s="4" t="inlineStr">
        <is>
          <t>11. 変更管理(SWEBOK 6-4.2)</t>
        </is>
      </c>
      <c r="D76" s="9" t="inlineStr">
        <is>
          <t>High</t>
        </is>
      </c>
      <c r="E76" s="4" t="inlineStr">
        <is>
          <t>変更カテゴリと承認フローが定義されている</t>
        </is>
      </c>
      <c r="F76" s="4" t="inlineStr">
        <is>
          <t>変更の分類(緊急・至急・major・minor 等)と、カテゴリ別の承認者・リードタイムが記載されている</t>
        </is>
      </c>
      <c r="G76" s="4" t="inlineStr">
        <is>
          <t>変更の分類と承認フローがないと、影響の大きい変更が無審査で本番に入るか、逆に軽微な変更まで重い承認で滞留する。分類別のリードタイムでリスクと速度を両立させる。</t>
        </is>
      </c>
      <c r="H76" s="4" t="inlineStr">
        <is>
          <t>swebok-v4a.pdf ch06 SE Operations &gt; 4.2 Change Management(all change requests recorded and classified: emergency, urgent, major, minor)</t>
        </is>
      </c>
      <c r="I76" s="4" t="inlineStr">
        <is>
          <t>CORE</t>
        </is>
      </c>
      <c r="J76" s="4" t="inlineStr">
        <is>
          <t>原則適用。案件スコープ・成果物・規制・リスク上非該当の場合はN/A根拠を記録。</t>
        </is>
      </c>
      <c r="K76" s="4" t="inlineStr">
        <is>
          <t>SRC-SWEBOK-V4A</t>
        </is>
      </c>
      <c r="L76" s="4" t="inlineStr"/>
      <c r="M76" s="4" t="n"/>
      <c r="N76" s="4" t="n"/>
      <c r="O76" s="4" t="n"/>
      <c r="P76" s="4" t="n"/>
      <c r="Q76" s="4" t="n"/>
      <c r="R76" s="4" t="n"/>
      <c r="S76" s="4" t="n"/>
      <c r="T76" s="4" t="n"/>
      <c r="U76" s="4" t="n"/>
      <c r="V76" s="4" t="n"/>
      <c r="W76" s="4" t="n"/>
    </row>
    <row r="77">
      <c r="A77" s="5" t="inlineStr">
        <is>
          <t>OPS-101</t>
        </is>
      </c>
      <c r="B77" s="5" t="inlineStr">
        <is>
          <t>SWEBOK</t>
        </is>
      </c>
      <c r="C77" s="4" t="inlineStr">
        <is>
          <t>11. 変更管理(SWEBOK 6-4.2)</t>
        </is>
      </c>
      <c r="D77" s="8" t="inlineStr">
        <is>
          <t>Critical</t>
        </is>
      </c>
      <c r="E77" s="4" t="inlineStr">
        <is>
          <t>緊急変更の手続きが定義されている</t>
        </is>
      </c>
      <c r="F77" s="4" t="inlineStr">
        <is>
          <t>通常承認を経ない緊急変更の条件・実施権限・事後承認の手順が記載されている</t>
        </is>
      </c>
      <c r="G77" s="4" t="inlineStr">
        <is>
          <t>緊急変更の手続きがないと、障害対応中の応急処置が無記録・無承認で行われ、後から「誰が何を変えたか分からない」状態になる。緊急時の実施権限と事後承認を明文化する。</t>
        </is>
      </c>
      <c r="H77" s="4" t="inlineStr">
        <is>
          <t>swebok-v4a.pdf ch06 SE Operations &gt; 4.2 Change Management(emergency classification)</t>
        </is>
      </c>
      <c r="I77" s="4" t="inlineStr">
        <is>
          <t>CORE</t>
        </is>
      </c>
      <c r="J77" s="4" t="inlineStr">
        <is>
          <t>原則適用。案件スコープ・成果物・規制・リスク上非該当の場合はN/A根拠を記録。</t>
        </is>
      </c>
      <c r="K77" s="4" t="inlineStr">
        <is>
          <t>SRC-SWEBOK-V4A</t>
        </is>
      </c>
      <c r="L77" s="4" t="inlineStr"/>
      <c r="M77" s="4" t="n"/>
      <c r="N77" s="4" t="n"/>
      <c r="O77" s="4" t="n"/>
      <c r="P77" s="4" t="n"/>
      <c r="Q77" s="4" t="n"/>
      <c r="R77" s="4" t="n"/>
      <c r="S77" s="4" t="n"/>
      <c r="T77" s="4" t="n"/>
      <c r="U77" s="4" t="n"/>
      <c r="V77" s="4" t="n"/>
      <c r="W77" s="4" t="n"/>
    </row>
    <row r="78">
      <c r="A78" s="5" t="inlineStr">
        <is>
          <t>OPS-102</t>
        </is>
      </c>
      <c r="B78" s="5" t="inlineStr">
        <is>
          <t>SWEBOK</t>
        </is>
      </c>
      <c r="C78" s="4" t="inlineStr">
        <is>
          <t>11. 変更管理(SWEBOK 6-4.2)</t>
        </is>
      </c>
      <c r="D78" s="9" t="inlineStr">
        <is>
          <t>High</t>
        </is>
      </c>
      <c r="E78" s="4" t="inlineStr">
        <is>
          <t>変更の記録と実施後レビューが定義されている</t>
        </is>
      </c>
      <c r="F78" s="4" t="inlineStr">
        <is>
          <t>すべての変更が記録され、実施結果(成功/失敗/ロールバック)をレビューする流れが記載されている</t>
        </is>
      </c>
      <c r="G78" s="4" t="inlineStr">
        <is>
          <t>変更記録と実施後レビューがないと、失敗した変更の教訓が蓄積されず、同じ失敗パターンが繰り返される。「すべての変更が統制下で評価・承認・実施・レビューされる」ことを担保する。</t>
        </is>
      </c>
      <c r="H78" s="4" t="inlineStr">
        <is>
          <t>swebok-v4a.pdf ch06 SE Operations &gt; 4.2 Change Management(changes assessed, approved, implemented and reviewed in a controlled manner)</t>
        </is>
      </c>
      <c r="I78" s="4" t="inlineStr">
        <is>
          <t>CORE</t>
        </is>
      </c>
      <c r="J78" s="4" t="inlineStr">
        <is>
          <t>原則適用。案件スコープ・成果物・規制・リスク上非該当の場合はN/A根拠を記録。</t>
        </is>
      </c>
      <c r="K78" s="4" t="inlineStr">
        <is>
          <t>SRC-SWEBOK-V4A</t>
        </is>
      </c>
      <c r="L78" s="4" t="inlineStr"/>
      <c r="M78" s="4" t="n"/>
      <c r="N78" s="4" t="n"/>
      <c r="O78" s="4" t="n"/>
      <c r="P78" s="4" t="n"/>
      <c r="Q78" s="4" t="n"/>
      <c r="R78" s="4" t="n"/>
      <c r="S78" s="4" t="n"/>
      <c r="T78" s="4" t="n"/>
      <c r="U78" s="4" t="n"/>
      <c r="V78" s="4" t="n"/>
      <c r="W78" s="4" t="n"/>
    </row>
    <row r="79">
      <c r="A79" s="5" t="inlineStr">
        <is>
          <t>OPS-103</t>
        </is>
      </c>
      <c r="B79" s="5" t="inlineStr">
        <is>
          <t>SWEBOK</t>
        </is>
      </c>
      <c r="C79" s="4" t="inlineStr">
        <is>
          <t>11. 変更管理(SWEBOK 6-4.2)</t>
        </is>
      </c>
      <c r="D79" s="10" t="inlineStr">
        <is>
          <t>Medium</t>
        </is>
      </c>
      <c r="E79" s="4" t="inlineStr">
        <is>
          <t>変更の衝突・凍結期間の管理がある</t>
        </is>
      </c>
      <c r="F79" s="4" t="inlineStr">
        <is>
          <t>同時変更の調整方法、リリース凍結期間(繁忙期等)のルールが記載されている</t>
        </is>
      </c>
      <c r="G79" s="4" t="inlineStr">
        <is>
          <t>変更の衝突管理がないと、同時変更の干渉で原因特定不能な障害が起き、繁忙期の変更で事業影響が最大化する。変更スケジュールの調整と凍結期間を定める。</t>
        </is>
      </c>
      <c r="H79" s="4" t="inlineStr">
        <is>
          <t>swebok-v4a.pdf ch06 SE Operations &gt; 4.2 Change Management(change schedule planned)/ 2.1.1(identify potential conflicts)</t>
        </is>
      </c>
      <c r="I79" s="4" t="inlineStr">
        <is>
          <t>CORE</t>
        </is>
      </c>
      <c r="J79" s="4" t="inlineStr">
        <is>
          <t>原則適用。案件スコープ・成果物・規制・リスク上非該当の場合はN/A根拠を記録。</t>
        </is>
      </c>
      <c r="K79" s="4" t="inlineStr">
        <is>
          <t>SRC-SWEBOK-V4A</t>
        </is>
      </c>
      <c r="L79" s="4" t="inlineStr"/>
      <c r="M79" s="4" t="n"/>
      <c r="N79" s="4" t="n"/>
      <c r="O79" s="4" t="n"/>
      <c r="P79" s="4" t="n"/>
      <c r="Q79" s="4" t="n"/>
      <c r="R79" s="4" t="n"/>
      <c r="S79" s="4" t="n"/>
      <c r="T79" s="4" t="n"/>
      <c r="U79" s="4" t="n"/>
      <c r="V79" s="4" t="n"/>
      <c r="W79" s="4" t="n"/>
    </row>
    <row r="80">
      <c r="A80" s="5" t="inlineStr">
        <is>
          <t>OPS-104</t>
        </is>
      </c>
      <c r="B80" s="5" t="inlineStr">
        <is>
          <t>SWEBOK</t>
        </is>
      </c>
      <c r="C80" s="4" t="inlineStr">
        <is>
          <t>11. 変更管理(SWEBOK 6-4.2)</t>
        </is>
      </c>
      <c r="D80" s="10" t="inlineStr">
        <is>
          <t>Medium</t>
        </is>
      </c>
      <c r="E80" s="4" t="inlineStr">
        <is>
          <t>小さく頻繁な変更を可能にする方針がある</t>
        </is>
      </c>
      <c r="F80" s="4" t="inlineStr">
        <is>
          <t>変更を小単位で独立してデプロイできる方針・仕組み(トランクベース開発、CD 等)の記載、または大規模一括リリースとする理由の記載がある</t>
        </is>
      </c>
      <c r="G80" s="4" t="inlineStr">
        <is>
          <t>大規模一括リリースは変更間の相互作用でリスクが乗算的に増え、失敗時の切り分けも困難になる。DevOps が推奨する小さく独立した変更を可能にする方針(またはそうしない理由)を確認する。</t>
        </is>
      </c>
      <c r="H80" s="4" t="inlineStr">
        <is>
          <t>swebok-v4a.pdf ch06 SE Operations &gt; 4.2 Change Management(deliver small units of change on demand and independently)</t>
        </is>
      </c>
      <c r="I80" s="4" t="inlineStr">
        <is>
          <t>CORE</t>
        </is>
      </c>
      <c r="J80" s="4" t="inlineStr">
        <is>
          <t>原則適用。案件スコープ・成果物・規制・リスク上非該当の場合はN/A根拠を記録。</t>
        </is>
      </c>
      <c r="K80" s="4" t="inlineStr">
        <is>
          <t>SRC-SWEBOK-V4A</t>
        </is>
      </c>
      <c r="L80" s="4" t="inlineStr"/>
      <c r="M80" s="4" t="n"/>
      <c r="N80" s="4" t="n"/>
      <c r="O80" s="4" t="n"/>
      <c r="P80" s="4" t="n"/>
      <c r="Q80" s="4" t="n"/>
      <c r="R80" s="4" t="n"/>
      <c r="S80" s="4" t="n"/>
      <c r="T80" s="4" t="n"/>
      <c r="U80" s="4" t="n"/>
      <c r="V80" s="4" t="n"/>
      <c r="W80" s="4" t="n"/>
    </row>
    <row r="81">
      <c r="A81" s="5" t="inlineStr">
        <is>
          <t>OPS-110</t>
        </is>
      </c>
      <c r="B81" s="5" t="inlineStr">
        <is>
          <t>SWEBOK</t>
        </is>
      </c>
      <c r="C81" s="4" t="inlineStr">
        <is>
          <t>12. 監視・テレメトリ・アラート(SWEBOK 6-4.3 / 6-5.1 / 6-6.4)</t>
        </is>
      </c>
      <c r="D81" s="8" t="inlineStr">
        <is>
          <t>Critical</t>
        </is>
      </c>
      <c r="E81" s="4" t="inlineStr">
        <is>
          <t>アプリケーション・OS・インフラの3層で監視項目が定義されている</t>
        </is>
      </c>
      <c r="F81" s="4" t="inlineStr">
        <is>
          <t>各層のログ・メトリクス・トレースの収集対象が一覧化され、いずれかの層が丸ごと欠けていない</t>
        </is>
      </c>
      <c r="G81" s="4" t="inlineStr">
        <is>
          <t>いずれかの層(アプリ/OS/インフラ)の監視が丸ごと欠けると、その層で起きる障害が検知不能な盲点になり、原因特定も他層からの推測頼みになる。SWEBOK が求める全層でのデータ収集を確認する。</t>
        </is>
      </c>
      <c r="H81" s="4" t="inlineStr">
        <is>
          <t>swebok-v4a.pdf ch06 SE Operations &gt; 6.4 Monitoring and Telemetry(collect data at all layers)/ 5.1 Incident and Problem Prevention</t>
        </is>
      </c>
      <c r="I81" s="4" t="inlineStr">
        <is>
          <t>CORE</t>
        </is>
      </c>
      <c r="J81" s="4" t="inlineStr">
        <is>
          <t>原則適用。案件スコープ・成果物・規制・リスク上非該当の場合はN/A根拠を記録。</t>
        </is>
      </c>
      <c r="K81" s="4" t="inlineStr">
        <is>
          <t>SRC-SWEBOK-V4A</t>
        </is>
      </c>
      <c r="L81" s="4" t="inlineStr">
        <is>
          <t>OPS-OBSERVABILITY</t>
        </is>
      </c>
      <c r="M81" s="4" t="n"/>
      <c r="N81" s="4" t="n"/>
      <c r="O81" s="4" t="n"/>
      <c r="P81" s="4" t="n"/>
      <c r="Q81" s="4" t="n"/>
      <c r="R81" s="4" t="n"/>
      <c r="S81" s="4" t="n"/>
      <c r="T81" s="4" t="n"/>
      <c r="U81" s="4" t="n"/>
      <c r="V81" s="4" t="n"/>
      <c r="W81" s="4" t="n"/>
    </row>
    <row r="82">
      <c r="A82" s="5" t="inlineStr">
        <is>
          <t>OPS-111</t>
        </is>
      </c>
      <c r="B82" s="5" t="inlineStr">
        <is>
          <t>SWEBOK</t>
        </is>
      </c>
      <c r="C82" s="4" t="inlineStr">
        <is>
          <t>12. 監視・テレメトリ・アラート(SWEBOK 6-4.3 / 6-5.1 / 6-6.4)</t>
        </is>
      </c>
      <c r="D82" s="8" t="inlineStr">
        <is>
          <t>Critical</t>
        </is>
      </c>
      <c r="E82" s="4" t="inlineStr">
        <is>
          <t>各アラートに閾値・重要度・通知先が定義されている</t>
        </is>
      </c>
      <c r="F82" s="4" t="inlineStr">
        <is>
          <t>アラート定義表に、監視項目・発報条件(数値閾値)・重要度・通知先(チャネル/オンコール)が揃っている</t>
        </is>
      </c>
      <c r="G82" s="4" t="inlineStr">
        <is>
          <t>閾値・重要度・通知先のいずれかが欠けたアラートは、発報されない・誰にも届かない・重要度が判断できないのいずれかで機能しない。アラート定義の完全性を表形式で検証可能にする。</t>
        </is>
      </c>
      <c r="H82" s="4" t="inlineStr">
        <is>
          <t>swebok-v4a.pdf ch06 SE Operations &gt; 5.2 Operational Risk Management(automate the alerts / agreed-upon risk tolerance)/ 6.4 Monitoring and Telemetry</t>
        </is>
      </c>
      <c r="I82" s="4" t="inlineStr">
        <is>
          <t>CORE</t>
        </is>
      </c>
      <c r="J82" s="4" t="inlineStr">
        <is>
          <t>原則適用。案件スコープ・成果物・規制・リスク上非該当の場合はN/A根拠を記録。</t>
        </is>
      </c>
      <c r="K82" s="4" t="inlineStr">
        <is>
          <t>SRC-SWEBOK-V4A</t>
        </is>
      </c>
      <c r="L82" s="4" t="inlineStr">
        <is>
          <t>OPS-OBSERVABILITY</t>
        </is>
      </c>
      <c r="M82" s="4" t="n"/>
      <c r="N82" s="4" t="n"/>
      <c r="O82" s="4" t="n"/>
      <c r="P82" s="4" t="n"/>
      <c r="Q82" s="4" t="n"/>
      <c r="R82" s="4" t="n"/>
      <c r="S82" s="4" t="n"/>
      <c r="T82" s="4" t="n"/>
      <c r="U82" s="4" t="n"/>
      <c r="V82" s="4" t="n"/>
      <c r="W82" s="4" t="n"/>
    </row>
    <row r="83">
      <c r="A83" s="5" t="inlineStr">
        <is>
          <t>OPS-112</t>
        </is>
      </c>
      <c r="B83" s="5" t="inlineStr">
        <is>
          <t>SWEBOK</t>
        </is>
      </c>
      <c r="C83" s="4" t="inlineStr">
        <is>
          <t>12. 監視・テレメトリ・アラート(SWEBOK 6-4.3 / 6-5.1 / 6-6.4)</t>
        </is>
      </c>
      <c r="D83" s="8" t="inlineStr">
        <is>
          <t>Critical</t>
        </is>
      </c>
      <c r="E83" s="4" t="inlineStr">
        <is>
          <t>各アラートに対応アクションが紐付いている</t>
        </is>
      </c>
      <c r="F83" s="4" t="inlineStr">
        <is>
          <t>すべてのアラートが対応 Runbook を参照するか、対応不要(情報のみ)と明示されている</t>
        </is>
      </c>
      <c r="G83" s="4" t="inlineStr">
        <is>
          <t>対応アクションのないアラートは受信者に判断を丸投げし、放置か場当たり対応を生む。全アラートを Runbook 参照または「対応不要」明示のいずれかに分類し、通知の実効性を保証する。</t>
        </is>
      </c>
      <c r="H83" s="4" t="inlineStr">
        <is>
          <t>swebok-v4a.pdf ch06 SE Operations &gt; 6.4 Monitoring and Telemetry + 実務補完(アクショナブルアラート)</t>
        </is>
      </c>
      <c r="I83" s="4" t="inlineStr">
        <is>
          <t>CORE</t>
        </is>
      </c>
      <c r="J83" s="4" t="inlineStr">
        <is>
          <t>原則適用。案件スコープ・成果物・規制・リスク上非該当の場合はN/A根拠を記録。</t>
        </is>
      </c>
      <c r="K83" s="4" t="inlineStr">
        <is>
          <t>SRC-SWEBOK-V4A;SRC-PRACTICE</t>
        </is>
      </c>
      <c r="L83" s="4" t="inlineStr">
        <is>
          <t>OPS-OBSERVABILITY</t>
        </is>
      </c>
      <c r="M83" s="4" t="n"/>
      <c r="N83" s="4" t="n"/>
      <c r="O83" s="4" t="n"/>
      <c r="P83" s="4" t="n"/>
      <c r="Q83" s="4" t="n"/>
      <c r="R83" s="4" t="n"/>
      <c r="S83" s="4" t="n"/>
      <c r="T83" s="4" t="n"/>
      <c r="U83" s="4" t="n"/>
      <c r="V83" s="4" t="n"/>
      <c r="W83" s="4" t="n"/>
    </row>
    <row r="84">
      <c r="A84" s="5" t="inlineStr">
        <is>
          <t>OPS-113</t>
        </is>
      </c>
      <c r="B84" s="5" t="inlineStr">
        <is>
          <t>SWEBOK</t>
        </is>
      </c>
      <c r="C84" s="4" t="inlineStr">
        <is>
          <t>12. 監視・テレメトリ・アラート(SWEBOK 6-4.3 / 6-5.1 / 6-6.4)</t>
        </is>
      </c>
      <c r="D84" s="9" t="inlineStr">
        <is>
          <t>High</t>
        </is>
      </c>
      <c r="E84" s="4" t="inlineStr">
        <is>
          <t>SLO 違反を検知できる監視がある</t>
        </is>
      </c>
      <c r="F84" s="4" t="inlineStr">
        <is>
          <t>SLI の計測とSLO 違反(またはバジェット消費の加速)を検知するアラートが定義されている</t>
        </is>
      </c>
      <c r="G84" s="4" t="inlineStr">
        <is>
          <t>SLO を定義しても違反を検知する監視がなければ、未達は月次報告で事後に判明するだけで対処が間に合わない。SLI 計測とバジェット消費の監視を接続する。</t>
        </is>
      </c>
      <c r="H84" s="4" t="inlineStr">
        <is>
          <t>swebok-v4a.pdf ch06 SE Operations &gt; 2.3 Software Availability, Continuity, and Service Levels(availability measured and recorded)/ 4.3 Monitor, Measure, Track, and Review</t>
        </is>
      </c>
      <c r="I84" s="4" t="inlineStr">
        <is>
          <t>CORE</t>
        </is>
      </c>
      <c r="J84" s="4" t="inlineStr">
        <is>
          <t>原則適用。案件スコープ・成果物・規制・リスク上非該当の場合はN/A根拠を記録。</t>
        </is>
      </c>
      <c r="K84" s="4" t="inlineStr">
        <is>
          <t>SRC-SWEBOK-V4A</t>
        </is>
      </c>
      <c r="L84" s="4" t="inlineStr">
        <is>
          <t>OPS-OBSERVABILITY</t>
        </is>
      </c>
      <c r="M84" s="4" t="n"/>
      <c r="N84" s="4" t="n"/>
      <c r="O84" s="4" t="n"/>
      <c r="P84" s="4" t="n"/>
      <c r="Q84" s="4" t="n"/>
      <c r="R84" s="4" t="n"/>
      <c r="S84" s="4" t="n"/>
      <c r="T84" s="4" t="n"/>
      <c r="U84" s="4" t="n"/>
      <c r="V84" s="4" t="n"/>
      <c r="W84" s="4" t="n"/>
    </row>
    <row r="85">
      <c r="A85" s="5" t="inlineStr">
        <is>
          <t>OPS-114</t>
        </is>
      </c>
      <c r="B85" s="5" t="inlineStr">
        <is>
          <t>SWEBOK</t>
        </is>
      </c>
      <c r="C85" s="4" t="inlineStr">
        <is>
          <t>12. 監視・テレメトリ・アラート(SWEBOK 6-4.3 / 6-5.1 / 6-6.4)</t>
        </is>
      </c>
      <c r="D85" s="9" t="inlineStr">
        <is>
          <t>High</t>
        </is>
      </c>
      <c r="E85" s="4" t="inlineStr">
        <is>
          <t>対応不能・恒常的に無視されるアラートがない設計である</t>
        </is>
      </c>
      <c r="F85" s="4" t="inlineStr">
        <is>
          <t>アラートの抑制条件・チューニング(見直し)プロセスが定義されている</t>
        </is>
      </c>
      <c r="G85" s="4" t="inlineStr">
        <is>
          <t>対応不能・常時発報のアラートはオンコールを疲弊させ、本当に重要なアラートが埋もれて見逃される(アラート疲れ)。抑制条件とチューニングプロセスで信号対雑音比を維持する。</t>
        </is>
      </c>
      <c r="H85" s="4" t="inlineStr">
        <is>
          <t>swebok-v4a.pdf ch06 SE Operations &gt; 5.2 Operational Risk Management(agreed-upon level of risk tolerance for alerts)+ 実務補完(アラート疲れ対策)</t>
        </is>
      </c>
      <c r="I85" s="4" t="inlineStr">
        <is>
          <t>CORE</t>
        </is>
      </c>
      <c r="J85" s="4" t="inlineStr">
        <is>
          <t>原則適用。案件スコープ・成果物・規制・リスク上非該当の場合はN/A根拠を記録。</t>
        </is>
      </c>
      <c r="K85" s="4" t="inlineStr">
        <is>
          <t>SRC-SWEBOK-V4A;SRC-PRACTICE</t>
        </is>
      </c>
      <c r="L85" s="4" t="inlineStr">
        <is>
          <t>OPS-OBSERVABILITY</t>
        </is>
      </c>
      <c r="M85" s="4" t="n"/>
      <c r="N85" s="4" t="n"/>
      <c r="O85" s="4" t="n"/>
      <c r="P85" s="4" t="n"/>
      <c r="Q85" s="4" t="n"/>
      <c r="R85" s="4" t="n"/>
      <c r="S85" s="4" t="n"/>
      <c r="T85" s="4" t="n"/>
      <c r="U85" s="4" t="n"/>
      <c r="V85" s="4" t="n"/>
      <c r="W85" s="4" t="n"/>
    </row>
    <row r="86">
      <c r="A86" s="5" t="inlineStr">
        <is>
          <t>OPS-115</t>
        </is>
      </c>
      <c r="B86" s="5" t="inlineStr">
        <is>
          <t>SWEBOK</t>
        </is>
      </c>
      <c r="C86" s="4" t="inlineStr">
        <is>
          <t>12. 監視・テレメトリ・アラート(SWEBOK 6-4.3 / 6-5.1 / 6-6.4)</t>
        </is>
      </c>
      <c r="D86" s="9" t="inlineStr">
        <is>
          <t>High</t>
        </is>
      </c>
      <c r="E86" s="4" t="inlineStr">
        <is>
          <t>ログ・メトリクスの保持期間が定義されている</t>
        </is>
      </c>
      <c r="F86" s="4" t="inlineStr">
        <is>
          <t>データ種別ごとの保持期間と、障害調査・監査要件との整合が記載されている</t>
        </is>
      </c>
      <c r="G86" s="4" t="inlineStr">
        <is>
          <t>保持期間が短すぎると障害調査や監査で過去データが参照できず、長すぎると保管コストが膨張する。調査・監査要件との整合を根拠にした保持設計を求める。</t>
        </is>
      </c>
      <c r="H86" s="4" t="inlineStr">
        <is>
          <t>swebok-v4a.pdf ch06 SE Operations &gt; 6.4 Monitoring and Telemetry / 2.6(controls)</t>
        </is>
      </c>
      <c r="I86" s="4" t="inlineStr">
        <is>
          <t>CORE</t>
        </is>
      </c>
      <c r="J86" s="4" t="inlineStr">
        <is>
          <t>原則適用。案件スコープ・成果物・規制・リスク上非該当の場合はN/A根拠を記録。</t>
        </is>
      </c>
      <c r="K86" s="4" t="inlineStr">
        <is>
          <t>SRC-SWEBOK-V4A</t>
        </is>
      </c>
      <c r="L86" s="4" t="inlineStr">
        <is>
          <t>OPS-OBSERVABILITY</t>
        </is>
      </c>
      <c r="M86" s="4" t="n"/>
      <c r="N86" s="4" t="n"/>
      <c r="O86" s="4" t="n"/>
      <c r="P86" s="4" t="n"/>
      <c r="Q86" s="4" t="n"/>
      <c r="R86" s="4" t="n"/>
      <c r="S86" s="4" t="n"/>
      <c r="T86" s="4" t="n"/>
      <c r="U86" s="4" t="n"/>
      <c r="V86" s="4" t="n"/>
      <c r="W86" s="4" t="n"/>
    </row>
    <row r="87">
      <c r="A87" s="5" t="inlineStr">
        <is>
          <t>OPS-116</t>
        </is>
      </c>
      <c r="B87" s="5" t="inlineStr">
        <is>
          <t>SWEBOK</t>
        </is>
      </c>
      <c r="C87" s="4" t="inlineStr">
        <is>
          <t>12. 監視・テレメトリ・アラート(SWEBOK 6-4.3 / 6-5.1 / 6-6.4)</t>
        </is>
      </c>
      <c r="D87" s="10" t="inlineStr">
        <is>
          <t>Medium</t>
        </is>
      </c>
      <c r="E87" s="4" t="inlineStr">
        <is>
          <t>閲覧者別のダッシュボードが設計されている</t>
        </is>
      </c>
      <c r="F87" s="4" t="inlineStr">
        <is>
          <t>オンコール用・管理/報告用など目的別のダッシュボード構成が記載されている</t>
        </is>
      </c>
      <c r="G87" s="4" t="inlineStr">
        <is>
          <t>単一のダッシュボードに全情報を詰め込むと、オンコールは障害時に必要な情報を探せず、経営層は読めない。SWEBOK が述べる「ステークホルダー別のダッシュボード」設計を確認する。</t>
        </is>
      </c>
      <c r="H87" s="4" t="inlineStr">
        <is>
          <t>swebok-v4a.pdf ch06 SE Operations &gt; 6.4 Monitoring and Telemetry(different dashboards for different stakeholders)</t>
        </is>
      </c>
      <c r="I87" s="4" t="inlineStr">
        <is>
          <t>CORE</t>
        </is>
      </c>
      <c r="J87" s="4" t="inlineStr">
        <is>
          <t>原則適用。案件スコープ・成果物・規制・リスク上非該当の場合はN/A根拠を記録。</t>
        </is>
      </c>
      <c r="K87" s="4" t="inlineStr">
        <is>
          <t>SRC-SWEBOK-V4A</t>
        </is>
      </c>
      <c r="L87" s="4" t="inlineStr">
        <is>
          <t>OPS-OBSERVABILITY</t>
        </is>
      </c>
      <c r="M87" s="4" t="n"/>
      <c r="N87" s="4" t="n"/>
      <c r="O87" s="4" t="n"/>
      <c r="P87" s="4" t="n"/>
      <c r="Q87" s="4" t="n"/>
      <c r="R87" s="4" t="n"/>
      <c r="S87" s="4" t="n"/>
      <c r="T87" s="4" t="n"/>
      <c r="U87" s="4" t="n"/>
      <c r="V87" s="4" t="n"/>
      <c r="W87" s="4" t="n"/>
    </row>
    <row r="88">
      <c r="A88" s="5" t="inlineStr">
        <is>
          <t>OPS-117</t>
        </is>
      </c>
      <c r="B88" s="5" t="inlineStr">
        <is>
          <t>SWEBOK</t>
        </is>
      </c>
      <c r="C88" s="4" t="inlineStr">
        <is>
          <t>12. 監視・テレメトリ・アラート(SWEBOK 6-4.3 / 6-5.1 / 6-6.4)</t>
        </is>
      </c>
      <c r="D88" s="10" t="inlineStr">
        <is>
          <t>Medium</t>
        </is>
      </c>
      <c r="E88" s="4" t="inlineStr">
        <is>
          <t>予防的検知(傾向監視)が含まれている</t>
        </is>
      </c>
      <c r="F88" s="4" t="inlineStr">
        <is>
          <t>突発障害だけでなく、リソース逼迫・エラー率漸増などの予兆を捉える監視項目がある</t>
        </is>
      </c>
      <c r="G88" s="4" t="inlineStr">
        <is>
          <t>突発障害の検知だけでは、リソース逼迫やエラー率漸増のような「予告された障害」を防げない。テレメトリ分析による早期発見(インシデント予防)の観点を求める。</t>
        </is>
      </c>
      <c r="H88" s="4" t="inlineStr">
        <is>
          <t>swebok-v4a.pdf ch06 SE Operations &gt; 5.1 Incident and Problem Prevention(product telemetry with analytics to detect problems as early as possible)</t>
        </is>
      </c>
      <c r="I88" s="4" t="inlineStr">
        <is>
          <t>CORE</t>
        </is>
      </c>
      <c r="J88" s="4" t="inlineStr">
        <is>
          <t>原則適用。案件スコープ・成果物・規制・リスク上非該当の場合はN/A根拠を記録。</t>
        </is>
      </c>
      <c r="K88" s="4" t="inlineStr">
        <is>
          <t>SRC-SWEBOK-V4A</t>
        </is>
      </c>
      <c r="L88" s="4" t="inlineStr">
        <is>
          <t>OPS-OBSERVABILITY</t>
        </is>
      </c>
      <c r="M88" s="4" t="n"/>
      <c r="N88" s="4" t="n"/>
      <c r="O88" s="4" t="n"/>
      <c r="P88" s="4" t="n"/>
      <c r="Q88" s="4" t="n"/>
      <c r="R88" s="4" t="n"/>
      <c r="S88" s="4" t="n"/>
      <c r="T88" s="4" t="n"/>
      <c r="U88" s="4" t="n"/>
      <c r="V88" s="4" t="n"/>
      <c r="W88" s="4" t="n"/>
    </row>
    <row r="89">
      <c r="A89" s="5" t="inlineStr">
        <is>
          <t>OPS-118</t>
        </is>
      </c>
      <c r="B89" s="5" t="inlineStr">
        <is>
          <t>SWEBOK</t>
        </is>
      </c>
      <c r="C89" s="4" t="inlineStr">
        <is>
          <t>12. 監視・テレメトリ・アラート(SWEBOK 6-4.3 / 6-5.1 / 6-6.4)</t>
        </is>
      </c>
      <c r="D89" s="11" t="inlineStr">
        <is>
          <t>Low</t>
        </is>
      </c>
      <c r="E89" s="4" t="inlineStr">
        <is>
          <t>テレメトリのコストが考慮されている</t>
        </is>
      </c>
      <c r="F89" s="4" t="inlineStr">
        <is>
          <t>収集量・保持期間に対するコスト見積もりまたは抑制方針の記載がある</t>
        </is>
      </c>
      <c r="G89" s="4" t="inlineStr">
        <is>
          <t>テレメトリは無計画に収集するとログ保管・転送コストがインフラ本体を上回ることがある。収集量・保持のコスト見積もりで観測性と費用のバランスを取る。</t>
        </is>
      </c>
      <c r="H89" s="4" t="inlineStr">
        <is>
          <t>実務補完(オブザーバビリティコスト管理)。SWEBOK 6.4 Monitoring and Telemetry の運用面の補完</t>
        </is>
      </c>
      <c r="I89" s="4" t="inlineStr">
        <is>
          <t>CORE</t>
        </is>
      </c>
      <c r="J89" s="4" t="inlineStr">
        <is>
          <t>原則適用。案件スコープ・成果物・規制・リスク上非該当の場合はN/A根拠を記録。</t>
        </is>
      </c>
      <c r="K89" s="4" t="inlineStr">
        <is>
          <t>SRC-PRACTICE</t>
        </is>
      </c>
      <c r="L89" s="4" t="inlineStr">
        <is>
          <t>OPS-OBSERVABILITY;COST</t>
        </is>
      </c>
      <c r="M89" s="4" t="n"/>
      <c r="N89" s="4" t="n"/>
      <c r="O89" s="4" t="n"/>
      <c r="P89" s="4" t="n"/>
      <c r="Q89" s="4" t="n"/>
      <c r="R89" s="4" t="n"/>
      <c r="S89" s="4" t="n"/>
      <c r="T89" s="4" t="n"/>
      <c r="U89" s="4" t="n"/>
      <c r="V89" s="4" t="n"/>
      <c r="W89" s="4" t="n"/>
    </row>
    <row r="90">
      <c r="A90" s="5" t="inlineStr">
        <is>
          <t>OPS-903</t>
        </is>
      </c>
      <c r="B90" s="5" t="inlineStr">
        <is>
          <t>追加承認</t>
        </is>
      </c>
      <c r="C90" s="4" t="inlineStr">
        <is>
          <t>12. 監視・テレメトリ・アラート(SWEBOK 6-4.3 / 6-5.1 / 6-6.4)</t>
        </is>
      </c>
      <c r="D90" s="10" t="inlineStr">
        <is>
          <t>Medium</t>
        </is>
      </c>
      <c r="E90" s="4" t="inlineStr">
        <is>
          <t>承認外の構成変更(構成ドリフト)を検知する仕組みがある</t>
        </is>
      </c>
      <c r="F90" s="4" t="inlineStr">
        <is>
          <t>承認されたデプロイ・変更作業以外による本番構成の変更を検知する手段(IaC 差分検出、構成監査、変更検知アラート等)が記載されている</t>
        </is>
      </c>
      <c r="G90" s="4" t="inlineStr">
        <is>
          <t>手動 hotfix や不正操作による構成ドリフトを放置すると、IaC と実環境が乖離して再現不能な障害を生み、セキュリティ侵害の兆候も見逃す。承認プロセスを迂回した変更を検知して統制の実効性を保つ。</t>
        </is>
      </c>
      <c r="H90" s="4" t="inlineStr">
        <is>
          <t>swebok-v4a.pdf ch06 SE Operations &gt; 4.3 Monitor, Measure, Track, and Review — 承認外の構成変更の検知(configuration changes unrelated to approved deployment tasks)</t>
        </is>
      </c>
      <c r="I90" s="4" t="inlineStr">
        <is>
          <t>CORE</t>
        </is>
      </c>
      <c r="J90" s="4" t="inlineStr">
        <is>
          <t>原則適用。案件スコープ・成果物・規制・リスク上非該当の場合はN/A根拠を記録。</t>
        </is>
      </c>
      <c r="K90" s="4" t="inlineStr">
        <is>
          <t>SRC-SWEBOK-V4A</t>
        </is>
      </c>
      <c r="L90" s="4" t="inlineStr">
        <is>
          <t>OPS-OBSERVABILITY</t>
        </is>
      </c>
      <c r="M90" s="4" t="n"/>
      <c r="N90" s="4" t="n"/>
      <c r="O90" s="4" t="n"/>
      <c r="P90" s="4" t="n"/>
      <c r="Q90" s="4" t="n"/>
      <c r="R90" s="4" t="n"/>
      <c r="S90" s="4" t="n"/>
      <c r="T90" s="4" t="n"/>
      <c r="U90" s="4" t="n"/>
      <c r="V90" s="4" t="n"/>
      <c r="W90" s="4" t="n"/>
    </row>
    <row r="91">
      <c r="A91" s="5" t="inlineStr">
        <is>
          <t>OPS-120</t>
        </is>
      </c>
      <c r="B91" s="5" t="inlineStr">
        <is>
          <t>SWEBOK</t>
        </is>
      </c>
      <c r="C91" s="4" t="inlineStr">
        <is>
          <t>13. サービス報告・障害報告書・継続的改善(SWEBOK 6-4.5 / 6-5)</t>
        </is>
      </c>
      <c r="D91" s="9" t="inlineStr">
        <is>
          <t>High</t>
        </is>
      </c>
      <c r="E91" s="4" t="inlineStr">
        <is>
          <t>定期サービス報告の内容と頻度が定義されている</t>
        </is>
      </c>
      <c r="F91" s="4" t="inlineStr">
        <is>
          <t>SLO 達成状況・インシデント件数/傾向・セキュリティ事象・容量トレンドを含む報告項目と頻度・宛先が記載されている</t>
        </is>
      </c>
      <c r="G91" s="4" t="inlineStr">
        <is>
          <t>定期報告がないと、サービスレベルの劣化傾向や容量トレンドが意思決定層に届かず、投資判断が障害後の後手に回る。SWEBOK が挙げる報告項目(SLA 達成・セキュリティ・傾向・満足度)を網羅させる。</t>
        </is>
      </c>
      <c r="H91" s="4" t="inlineStr">
        <is>
          <t>swebok-v4a.pdf ch06 SE Operations &gt; 4.5 Service Reporting(performance against service-level targets, security breaches, trend information)</t>
        </is>
      </c>
      <c r="I91" s="4" t="inlineStr">
        <is>
          <t>CORE</t>
        </is>
      </c>
      <c r="J91" s="4" t="inlineStr">
        <is>
          <t>原則適用。案件スコープ・成果物・規制・リスク上非該当の場合はN/A根拠を記録。</t>
        </is>
      </c>
      <c r="K91" s="4" t="inlineStr">
        <is>
          <t>SRC-SWEBOK-V4A</t>
        </is>
      </c>
      <c r="L91" s="4" t="inlineStr"/>
      <c r="M91" s="4" t="n"/>
      <c r="N91" s="4" t="n"/>
      <c r="O91" s="4" t="n"/>
      <c r="P91" s="4" t="n"/>
      <c r="Q91" s="4" t="n"/>
      <c r="R91" s="4" t="n"/>
      <c r="S91" s="4" t="n"/>
      <c r="T91" s="4" t="n"/>
      <c r="U91" s="4" t="n"/>
      <c r="V91" s="4" t="n"/>
      <c r="W91" s="4" t="n"/>
    </row>
    <row r="92">
      <c r="A92" s="5" t="inlineStr">
        <is>
          <t>OPS-121</t>
        </is>
      </c>
      <c r="B92" s="5" t="inlineStr">
        <is>
          <t>SWEBOK</t>
        </is>
      </c>
      <c r="C92" s="4" t="inlineStr">
        <is>
          <t>13. サービス報告・障害報告書・継続的改善(SWEBOK 6-4.5 / 6-5)</t>
        </is>
      </c>
      <c r="D92" s="8" t="inlineStr">
        <is>
          <t>Critical</t>
        </is>
      </c>
      <c r="E92" s="4" t="inlineStr">
        <is>
          <t>障害報告書にタイムラインがある</t>
        </is>
      </c>
      <c r="F92" s="4" t="inlineStr">
        <is>
          <t>発生・検知・対応判断・復旧の時刻が時系列で記録され、検知までの時間と復旧までの時間が読み取れる</t>
        </is>
      </c>
      <c r="G92" s="4" t="inlineStr">
        <is>
          <t>タイムラインがない障害報告書では、検知の遅れと復旧の遅れを区別できず、どこを改善すべきか(監視か手順か)が特定できない。時系列記録を必須にして改善点の分析を可能にする。</t>
        </is>
      </c>
      <c r="H92" s="4" t="inlineStr">
        <is>
          <t>swebok-v4a.pdf ch06 SE Operations &gt; 4.1 Incident Management(proper analysis and/or post mortems)</t>
        </is>
      </c>
      <c r="I92" s="4" t="inlineStr">
        <is>
          <t>CORE</t>
        </is>
      </c>
      <c r="J92" s="4" t="inlineStr">
        <is>
          <t>原則適用。案件スコープ・成果物・規制・リスク上非該当の場合はN/A根拠を記録。</t>
        </is>
      </c>
      <c r="K92" s="4" t="inlineStr">
        <is>
          <t>SRC-SWEBOK-V4A</t>
        </is>
      </c>
      <c r="L92" s="4" t="inlineStr"/>
      <c r="M92" s="4" t="n"/>
      <c r="N92" s="4" t="n"/>
      <c r="O92" s="4" t="n"/>
      <c r="P92" s="4" t="n"/>
      <c r="Q92" s="4" t="n"/>
      <c r="R92" s="4" t="n"/>
      <c r="S92" s="4" t="n"/>
      <c r="T92" s="4" t="n"/>
      <c r="U92" s="4" t="n"/>
      <c r="V92" s="4" t="n"/>
      <c r="W92" s="4" t="n"/>
    </row>
    <row r="93">
      <c r="A93" s="5" t="inlineStr">
        <is>
          <t>OPS-122</t>
        </is>
      </c>
      <c r="B93" s="5" t="inlineStr">
        <is>
          <t>SWEBOK</t>
        </is>
      </c>
      <c r="C93" s="4" t="inlineStr">
        <is>
          <t>13. サービス報告・障害報告書・継続的改善(SWEBOK 6-4.5 / 6-5)</t>
        </is>
      </c>
      <c r="D93" s="8" t="inlineStr">
        <is>
          <t>Critical</t>
        </is>
      </c>
      <c r="E93" s="4" t="inlineStr">
        <is>
          <t>障害報告書で直接原因と根本原因が区別されている</t>
        </is>
      </c>
      <c r="F93" s="4" t="inlineStr">
        <is>
          <t>表面的な事象(直接原因)と、それを生んだ仕組み上の原因(根本原因)が区別して記載されている</t>
        </is>
      </c>
      <c r="G93" s="4" t="inlineStr">
        <is>
          <t>直接原因(例: プロセス停止)だけで報告を閉じると、それを生んだ仕組み上の欠陥が残り同種障害が再発する。直接原因と根本原因の区別を強制し、再発防止の深さを担保する。</t>
        </is>
      </c>
      <c r="H93" s="4" t="inlineStr">
        <is>
          <t>swebok-v4a.pdf ch06 SE Operations &gt; 3.4 Problem Resolution(analysis of the cause / underlying cause)/ 4.1(find the source of the incident)</t>
        </is>
      </c>
      <c r="I93" s="4" t="inlineStr">
        <is>
          <t>CORE</t>
        </is>
      </c>
      <c r="J93" s="4" t="inlineStr">
        <is>
          <t>原則適用。案件スコープ・成果物・規制・リスク上非該当の場合はN/A根拠を記録。</t>
        </is>
      </c>
      <c r="K93" s="4" t="inlineStr">
        <is>
          <t>SRC-SWEBOK-V4A</t>
        </is>
      </c>
      <c r="L93" s="4" t="inlineStr"/>
      <c r="M93" s="4" t="n"/>
      <c r="N93" s="4" t="n"/>
      <c r="O93" s="4" t="n"/>
      <c r="P93" s="4" t="n"/>
      <c r="Q93" s="4" t="n"/>
      <c r="R93" s="4" t="n"/>
      <c r="S93" s="4" t="n"/>
      <c r="T93" s="4" t="n"/>
      <c r="U93" s="4" t="n"/>
      <c r="V93" s="4" t="n"/>
      <c r="W93" s="4" t="n"/>
    </row>
    <row r="94">
      <c r="A94" s="5" t="inlineStr">
        <is>
          <t>OPS-123</t>
        </is>
      </c>
      <c r="B94" s="5" t="inlineStr">
        <is>
          <t>SWEBOK</t>
        </is>
      </c>
      <c r="C94" s="4" t="inlineStr">
        <is>
          <t>13. サービス報告・障害報告書・継続的改善(SWEBOK 6-4.5 / 6-5)</t>
        </is>
      </c>
      <c r="D94" s="8" t="inlineStr">
        <is>
          <t>Critical</t>
        </is>
      </c>
      <c r="E94" s="4" t="inlineStr">
        <is>
          <t>再発防止策が担当者・期限付きのアクションアイテムになっている</t>
        </is>
      </c>
      <c r="F94" s="4" t="inlineStr">
        <is>
          <t>各再発防止策に担当者・期限・追跡先(チケット等)が記載されている</t>
        </is>
      </c>
      <c r="G94" s="4" t="inlineStr">
        <is>
          <t>担当者・期限のない再発防止策は「今後注意する」で終わり、実行されない。アクションアイテム化と追跡先の記録で、対策の実施を検証可能にする。</t>
        </is>
      </c>
      <c r="H94" s="4" t="inlineStr">
        <is>
          <t>swebok-v4a.pdf ch06 SE Operations &gt; 4.1 Incident Management(appropriate solutions must be implemented to prevent similar incidents)</t>
        </is>
      </c>
      <c r="I94" s="4" t="inlineStr">
        <is>
          <t>CORE</t>
        </is>
      </c>
      <c r="J94" s="4" t="inlineStr">
        <is>
          <t>原則適用。案件スコープ・成果物・規制・リスク上非該当の場合はN/A根拠を記録。</t>
        </is>
      </c>
      <c r="K94" s="4" t="inlineStr">
        <is>
          <t>SRC-SWEBOK-V4A</t>
        </is>
      </c>
      <c r="L94" s="4" t="inlineStr"/>
      <c r="M94" s="4" t="n"/>
      <c r="N94" s="4" t="n"/>
      <c r="O94" s="4" t="n"/>
      <c r="P94" s="4" t="n"/>
      <c r="Q94" s="4" t="n"/>
      <c r="R94" s="4" t="n"/>
      <c r="S94" s="4" t="n"/>
      <c r="T94" s="4" t="n"/>
      <c r="U94" s="4" t="n"/>
      <c r="V94" s="4" t="n"/>
      <c r="W94" s="4" t="n"/>
    </row>
    <row r="95">
      <c r="A95" s="5" t="inlineStr">
        <is>
          <t>OPS-124</t>
        </is>
      </c>
      <c r="B95" s="5" t="inlineStr">
        <is>
          <t>SWEBOK</t>
        </is>
      </c>
      <c r="C95" s="4" t="inlineStr">
        <is>
          <t>13. サービス報告・障害報告書・継続的改善(SWEBOK 6-4.5 / 6-5)</t>
        </is>
      </c>
      <c r="D95" s="9" t="inlineStr">
        <is>
          <t>High</t>
        </is>
      </c>
      <c r="E95" s="4" t="inlineStr">
        <is>
          <t>障害報告書が非難を伴わない記述である</t>
        </is>
      </c>
      <c r="F95" s="4" t="inlineStr">
        <is>
          <t>個人の責任追及でなくプロセス・システムの改善に焦点を当てた記述であり、個人名の吊るし上げがない</t>
        </is>
      </c>
      <c r="G95" s="4" t="inlineStr">
        <is>
          <t>個人を非難する報告文化では、次の障害でメンバーが情報を隠すようになり、正確な原因究明が不可能になる。プロセス・システム改善に焦点を当てた記述で報告の誠実さを守る。</t>
        </is>
      </c>
      <c r="H95" s="4" t="inlineStr">
        <is>
          <t>実務補完(ブレームレスポストモーテム、Google SRE)。SWEBOK 4.1 のポストモーテムを実効化する項目</t>
        </is>
      </c>
      <c r="I95" s="4" t="inlineStr">
        <is>
          <t>CORE</t>
        </is>
      </c>
      <c r="J95" s="4" t="inlineStr">
        <is>
          <t>原則適用。案件スコープ・成果物・規制・リスク上非該当の場合はN/A根拠を記録。</t>
        </is>
      </c>
      <c r="K95" s="4" t="inlineStr">
        <is>
          <t>SRC-GCP-WAF;SRC-SRE;SRC-PRACTICE</t>
        </is>
      </c>
      <c r="L95" s="4" t="inlineStr"/>
      <c r="M95" s="4" t="n"/>
      <c r="N95" s="4" t="n"/>
      <c r="O95" s="4" t="n"/>
      <c r="P95" s="4" t="n"/>
      <c r="Q95" s="4" t="n"/>
      <c r="R95" s="4" t="n"/>
      <c r="S95" s="4" t="n"/>
      <c r="T95" s="4" t="n"/>
      <c r="U95" s="4" t="n"/>
      <c r="V95" s="4" t="n"/>
      <c r="W95" s="4" t="n"/>
    </row>
    <row r="96">
      <c r="A96" s="5" t="inlineStr">
        <is>
          <t>OPS-125</t>
        </is>
      </c>
      <c r="B96" s="5" t="inlineStr">
        <is>
          <t>SWEBOK</t>
        </is>
      </c>
      <c r="C96" s="4" t="inlineStr">
        <is>
          <t>13. サービス報告・障害報告書・継続的改善(SWEBOK 6-4.5 / 6-5)</t>
        </is>
      </c>
      <c r="D96" s="9" t="inlineStr">
        <is>
          <t>High</t>
        </is>
      </c>
      <c r="E96" s="4" t="inlineStr">
        <is>
          <t>影響範囲が定量的に記載されている</t>
        </is>
      </c>
      <c r="F96" s="4" t="inlineStr">
        <is>
          <t>影響ユーザー数・件数・時間・SLO/エラーバジェットへの影響が数値で記載されている</t>
        </is>
      </c>
      <c r="G96" s="4" t="inlineStr">
        <is>
          <t>影響が定量化されていないと、障害の重大性を経営・顧客に正しく伝えられず、再発防止投資の優先順位判断も感覚頼みになる。ユーザー数・時間・SLO 影響の数値記載を求める。</t>
        </is>
      </c>
      <c r="H96" s="4" t="inlineStr">
        <is>
          <t>swebok-v4a.pdf ch06 SE Operations &gt; 4.1 Incident Management(assessing the business impact)/ 4.5 Service Reporting</t>
        </is>
      </c>
      <c r="I96" s="4" t="inlineStr">
        <is>
          <t>CORE</t>
        </is>
      </c>
      <c r="J96" s="4" t="inlineStr">
        <is>
          <t>原則適用。案件スコープ・成果物・規制・リスク上非該当の場合はN/A根拠を記録。</t>
        </is>
      </c>
      <c r="K96" s="4" t="inlineStr">
        <is>
          <t>SRC-SWEBOK-V4A</t>
        </is>
      </c>
      <c r="L96" s="4" t="inlineStr"/>
      <c r="M96" s="4" t="n"/>
      <c r="N96" s="4" t="n"/>
      <c r="O96" s="4" t="n"/>
      <c r="P96" s="4" t="n"/>
      <c r="Q96" s="4" t="n"/>
      <c r="R96" s="4" t="n"/>
      <c r="S96" s="4" t="n"/>
      <c r="T96" s="4" t="n"/>
      <c r="U96" s="4" t="n"/>
      <c r="V96" s="4" t="n"/>
      <c r="W96" s="4" t="n"/>
    </row>
    <row r="97">
      <c r="A97" s="5" t="inlineStr">
        <is>
          <t>OPS-126</t>
        </is>
      </c>
      <c r="B97" s="5" t="inlineStr">
        <is>
          <t>SWEBOK</t>
        </is>
      </c>
      <c r="C97" s="4" t="inlineStr">
        <is>
          <t>13. サービス報告・障害報告書・継続的改善(SWEBOK 6-4.5 / 6-5)</t>
        </is>
      </c>
      <c r="D97" s="10" t="inlineStr">
        <is>
          <t>Medium</t>
        </is>
      </c>
      <c r="E97" s="4" t="inlineStr">
        <is>
          <t>検知・対応の改善(監視・Runbook 見直し)が含まれている</t>
        </is>
      </c>
      <c r="F97" s="4" t="inlineStr">
        <is>
          <t>「もっと早く検知/復旧できたか」の考察と、監視・アラート・Runbook への反映有無が記載されている</t>
        </is>
      </c>
      <c r="G97" s="4" t="inlineStr">
        <is>
          <t>根本原因対策だけでは、次の(別原因の)障害でも検知・復旧が同じだけ遅れる。「もっと早く検知・復旧できたか」の考察を必須にし、監視・Runbook 側の改善につなげる。</t>
        </is>
      </c>
      <c r="H97" s="4" t="inlineStr">
        <is>
          <t>swebok-v4a.pdf ch06 SE Operations &gt; 5.1 Incident and Problem Prevention / 4.3 Monitor, Measure, Track, and Review</t>
        </is>
      </c>
      <c r="I97" s="4" t="inlineStr">
        <is>
          <t>CORE</t>
        </is>
      </c>
      <c r="J97" s="4" t="inlineStr">
        <is>
          <t>原則適用。案件スコープ・成果物・規制・リスク上非該当の場合はN/A根拠を記録。</t>
        </is>
      </c>
      <c r="K97" s="4" t="inlineStr">
        <is>
          <t>SRC-SWEBOK-V4A</t>
        </is>
      </c>
      <c r="L97" s="4" t="inlineStr">
        <is>
          <t>OPS-OBSERVABILITY</t>
        </is>
      </c>
      <c r="M97" s="4" t="n"/>
      <c r="N97" s="4" t="n"/>
      <c r="O97" s="4" t="n"/>
      <c r="P97" s="4" t="n"/>
      <c r="Q97" s="4" t="n"/>
      <c r="R97" s="4" t="n"/>
      <c r="S97" s="4" t="n"/>
      <c r="T97" s="4" t="n"/>
      <c r="U97" s="4" t="n"/>
      <c r="V97" s="4" t="n"/>
      <c r="W97" s="4" t="n"/>
    </row>
    <row r="98">
      <c r="A98" s="5" t="inlineStr">
        <is>
          <t>OPS-127</t>
        </is>
      </c>
      <c r="B98" s="5" t="inlineStr">
        <is>
          <t>SWEBOK</t>
        </is>
      </c>
      <c r="C98" s="4" t="inlineStr">
        <is>
          <t>13. サービス報告・障害報告書・継続的改善(SWEBOK 6-4.5 / 6-5)</t>
        </is>
      </c>
      <c r="D98" s="10" t="inlineStr">
        <is>
          <t>Medium</t>
        </is>
      </c>
      <c r="E98" s="4" t="inlineStr">
        <is>
          <t>ポストモーテム実施の基準がある</t>
        </is>
      </c>
      <c r="F98" s="4" t="inlineStr">
        <is>
          <t>どの Severity 以上で障害報告書を作成するかの基準が定義されている</t>
        </is>
      </c>
      <c r="G98" s="4" t="inlineStr">
        <is>
          <t>作成基準がないと、報告書の作成が担当者の裁量になり、学ぶべき重大障害が記録されないか、軽微な事象まで報告義務化されて形骸化する。Severity 基準でポストモーテムの実施を安定させる。</t>
        </is>
      </c>
      <c r="H98" s="4" t="inlineStr">
        <is>
          <t>swebok-v4a.pdf ch06 SE Operations &gt; 4.1 Incident Management(post mortems)+ 実務補完(ポストモーテム基準)</t>
        </is>
      </c>
      <c r="I98" s="4" t="inlineStr">
        <is>
          <t>CORE</t>
        </is>
      </c>
      <c r="J98" s="4" t="inlineStr">
        <is>
          <t>原則適用。案件スコープ・成果物・規制・リスク上非該当の場合はN/A根拠を記録。</t>
        </is>
      </c>
      <c r="K98" s="4" t="inlineStr">
        <is>
          <t>SRC-SWEBOK-V4A;SRC-PRACTICE</t>
        </is>
      </c>
      <c r="L98" s="4" t="inlineStr"/>
      <c r="M98" s="4" t="n"/>
      <c r="N98" s="4" t="n"/>
      <c r="O98" s="4" t="n"/>
      <c r="P98" s="4" t="n"/>
      <c r="Q98" s="4" t="n"/>
      <c r="R98" s="4" t="n"/>
      <c r="S98" s="4" t="n"/>
      <c r="T98" s="4" t="n"/>
      <c r="U98" s="4" t="n"/>
      <c r="V98" s="4" t="n"/>
      <c r="W98" s="4" t="n"/>
    </row>
    <row r="99">
      <c r="A99" s="12" t="inlineStr">
        <is>
          <t>OPS-CG01</t>
        </is>
      </c>
      <c r="B99" s="12" t="inlineStr">
        <is>
          <t>クラウド補完</t>
        </is>
      </c>
      <c r="C99" s="13" t="inlineStr">
        <is>
          <t>13. サービス報告・障害報告書・継続的改善(SWEBOK 6-4.5 / 6-5)</t>
        </is>
      </c>
      <c r="D99" s="10" t="inlineStr">
        <is>
          <t>Medium</t>
        </is>
      </c>
      <c r="E99" s="13" t="inlineStr">
        <is>
          <t>障害報告書(ポストモーテム)が組織横断で共有される仕組みがある</t>
        </is>
      </c>
      <c r="F99" s="13" t="inlineStr">
        <is>
          <t>ポストモーテムの共有先・共有方法(全社公開、ナレッジベース登録等)が定義され、対象読者が理解できる記述レベルで公開されている</t>
        </is>
      </c>
      <c r="G99" s="13" t="inlineStr">
        <is>
          <t>共有範囲が狭いと学習効果がチーム内に閉じ、他チームで同種の障害が再発する。</t>
        </is>
      </c>
      <c r="H99" s="13" t="inlineStr">
        <is>
          <t>Google Cloud Well-Architected Framework &gt; 信頼性 &gt; Conduct thorough postmortems &gt; Share the postmortem as widely as possible / Make the postmortem report readable by all intended audiences</t>
        </is>
      </c>
      <c r="I99" s="13" t="inlineStr">
        <is>
          <t>CORE</t>
        </is>
      </c>
      <c r="J99" s="13" t="inlineStr">
        <is>
          <t>原則適用。案件スコープ・成果物・規制・リスク上非該当の場合はN/A根拠を記録。</t>
        </is>
      </c>
      <c r="K99" s="13" t="inlineStr">
        <is>
          <t>SRC-GCP-WAF</t>
        </is>
      </c>
      <c r="L99" s="13" t="inlineStr"/>
      <c r="M99" s="13" t="n"/>
      <c r="N99" s="13" t="n"/>
      <c r="O99" s="13" t="n"/>
      <c r="P99" s="13" t="n"/>
      <c r="Q99" s="13" t="n"/>
      <c r="R99" s="13" t="n"/>
      <c r="S99" s="13" t="n"/>
      <c r="T99" s="13" t="n"/>
      <c r="U99" s="13" t="n"/>
      <c r="V99" s="13" t="n"/>
      <c r="W99" s="13" t="n"/>
    </row>
    <row r="100">
      <c r="A100" s="5" t="inlineStr">
        <is>
          <t>OPS-130</t>
        </is>
      </c>
      <c r="B100" s="5" t="inlineStr">
        <is>
          <t>SWEBOK</t>
        </is>
      </c>
      <c r="C100" s="4" t="inlineStr">
        <is>
          <t>14. 自動化・ツール・組織適合(SWEBOK 6-1.4 / 6-5.3 / 6-5.4 / 6-6)</t>
        </is>
      </c>
      <c r="D100" s="9" t="inlineStr">
        <is>
          <t>High</t>
        </is>
      </c>
      <c r="E100" s="4" t="inlineStr">
        <is>
          <t>反復作業の自動化方針がある</t>
        </is>
      </c>
      <c r="F100" s="4" t="inlineStr">
        <is>
          <t>環境構築・デプロイ・テスト・フェイルオーバー等の反復作業について、自動化済み/自動化予定/手動維持(理由付き)が整理されている</t>
        </is>
      </c>
      <c r="G100" s="4" t="inlineStr">
        <is>
          <t>反復作業を手動のまま放置すると、遅延・ばらつき・ヒューマンエラーが恒常化し、運用のスケールが人数に比例してしまう。SWEBOK が全編で強調する自動化の方針(対象と優先順位)を確認する。</t>
        </is>
      </c>
      <c r="H100" s="4" t="inlineStr">
        <is>
          <t>swebok-v4a.pdf ch06 SE Operations &gt; 1.4 Scripting and Automating / 5.3 Automating Software Engineering Operations</t>
        </is>
      </c>
      <c r="I100" s="4" t="inlineStr">
        <is>
          <t>CORE</t>
        </is>
      </c>
      <c r="J100" s="4" t="inlineStr">
        <is>
          <t>原則適用。案件スコープ・成果物・規制・リスク上非該当の場合はN/A根拠を記録。</t>
        </is>
      </c>
      <c r="K100" s="4" t="inlineStr">
        <is>
          <t>SRC-SWEBOK-V4A</t>
        </is>
      </c>
      <c r="L100" s="4" t="inlineStr"/>
      <c r="M100" s="4" t="n"/>
      <c r="N100" s="4" t="n"/>
      <c r="O100" s="4" t="n"/>
      <c r="P100" s="4" t="n"/>
      <c r="Q100" s="4" t="n"/>
      <c r="R100" s="4" t="n"/>
      <c r="S100" s="4" t="n"/>
      <c r="T100" s="4" t="n"/>
      <c r="U100" s="4" t="n"/>
      <c r="V100" s="4" t="n"/>
      <c r="W100" s="4" t="n"/>
    </row>
    <row r="101">
      <c r="A101" s="5" t="inlineStr">
        <is>
          <t>OPS-131</t>
        </is>
      </c>
      <c r="B101" s="5" t="inlineStr">
        <is>
          <t>SWEBOK</t>
        </is>
      </c>
      <c r="C101" s="4" t="inlineStr">
        <is>
          <t>14. 自動化・ツール・組織適合(SWEBOK 6-1.4 / 6-5.3 / 6-5.4 / 6-6)</t>
        </is>
      </c>
      <c r="D101" s="10" t="inlineStr">
        <is>
          <t>Medium</t>
        </is>
      </c>
      <c r="E101" s="4" t="inlineStr">
        <is>
          <t>属人化された手作業が特定されている</t>
        </is>
      </c>
      <c r="F101" s="4" t="inlineStr">
        <is>
          <t>特定個人しか実施できない作業の有無が確認され、ある場合は Runbook 化・自動化の計画がある</t>
        </is>
      </c>
      <c r="G101" s="4" t="inlineStr">
        <is>
          <t>特定個人しかできない作業は、その人の不在・退職が即サービス継続リスクになる。属人作業の棚卸しと Runbook 化・自動化計画で単一障害点(人)を解消する。</t>
        </is>
      </c>
      <c r="H101" s="4" t="inlineStr">
        <is>
          <t>swebok-v4a.pdf ch06 SE Operations &gt; 1.4 Scripting and Automating(standardization of operations)+ 実務補完(属人化解消)</t>
        </is>
      </c>
      <c r="I101" s="4" t="inlineStr">
        <is>
          <t>CORE</t>
        </is>
      </c>
      <c r="J101" s="4" t="inlineStr">
        <is>
          <t>原則適用。案件スコープ・成果物・規制・リスク上非該当の場合はN/A根拠を記録。</t>
        </is>
      </c>
      <c r="K101" s="4" t="inlineStr">
        <is>
          <t>SRC-SWEBOK-V4A;SRC-PRACTICE</t>
        </is>
      </c>
      <c r="L101" s="4" t="inlineStr"/>
      <c r="M101" s="4" t="n"/>
      <c r="N101" s="4" t="n"/>
      <c r="O101" s="4" t="n"/>
      <c r="P101" s="4" t="n"/>
      <c r="Q101" s="4" t="n"/>
      <c r="R101" s="4" t="n"/>
      <c r="S101" s="4" t="n"/>
      <c r="T101" s="4" t="n"/>
      <c r="U101" s="4" t="n"/>
      <c r="V101" s="4" t="n"/>
      <c r="W101" s="4" t="n"/>
    </row>
    <row r="102">
      <c r="A102" s="5" t="inlineStr">
        <is>
          <t>OPS-132</t>
        </is>
      </c>
      <c r="B102" s="5" t="inlineStr">
        <is>
          <t>SWEBOK</t>
        </is>
      </c>
      <c r="C102" s="4" t="inlineStr">
        <is>
          <t>14. 自動化・ツール・組織適合(SWEBOK 6-1.4 / 6-5.3 / 6-5.4 / 6-6)</t>
        </is>
      </c>
      <c r="D102" s="10" t="inlineStr">
        <is>
          <t>Medium</t>
        </is>
      </c>
      <c r="E102" s="4" t="inlineStr">
        <is>
          <t>使用ツールと役割が一覧化されている</t>
        </is>
      </c>
      <c r="F102" s="4" t="inlineStr">
        <is>
          <t>CI/CD・コンテナ/オーケストレーション・監視等のツールと用途・管理者が記載されている(実在するツール名であること)</t>
        </is>
      </c>
      <c r="G102" s="4" t="inlineStr">
        <is>
          <t>ツールの全体像と管理者が不明だと、ライセンス切れ・管理者退職・ツール間の隙間が運用停止の原因になる。また架空・曖昧なツール名は設計が机上の空論である兆候として検出する。</t>
        </is>
      </c>
      <c r="H102" s="4" t="inlineStr">
        <is>
          <t>swebok-v4a.pdf ch06 SE Operations &gt; 6. Software Engineering Operations Tools / 6.1 Containers and Virtualization</t>
        </is>
      </c>
      <c r="I102" s="4" t="inlineStr">
        <is>
          <t>CORE</t>
        </is>
      </c>
      <c r="J102" s="4" t="inlineStr">
        <is>
          <t>原則適用。案件スコープ・成果物・規制・リスク上非該当の場合はN/A根拠を記録。</t>
        </is>
      </c>
      <c r="K102" s="4" t="inlineStr">
        <is>
          <t>SRC-SWEBOK-V4A</t>
        </is>
      </c>
      <c r="L102" s="4" t="inlineStr"/>
      <c r="M102" s="4" t="n"/>
      <c r="N102" s="4" t="n"/>
      <c r="O102" s="4" t="n"/>
      <c r="P102" s="4" t="n"/>
      <c r="Q102" s="4" t="n"/>
      <c r="R102" s="4" t="n"/>
      <c r="S102" s="4" t="n"/>
      <c r="T102" s="4" t="n"/>
      <c r="U102" s="4" t="n"/>
      <c r="V102" s="4" t="n"/>
      <c r="W102" s="4" t="n"/>
    </row>
    <row r="103">
      <c r="A103" s="5" t="inlineStr">
        <is>
          <t>OPS-133</t>
        </is>
      </c>
      <c r="B103" s="5" t="inlineStr">
        <is>
          <t>SWEBOK</t>
        </is>
      </c>
      <c r="C103" s="4" t="inlineStr">
        <is>
          <t>14. 自動化・ツール・組織適合(SWEBOK 6-1.4 / 6-5.3 / 6-5.4 / 6-6)</t>
        </is>
      </c>
      <c r="D103" s="10" t="inlineStr">
        <is>
          <t>Medium</t>
        </is>
      </c>
      <c r="E103" s="4" t="inlineStr">
        <is>
          <t>プロセスが組織規模に適合している</t>
        </is>
      </c>
      <c r="F103" s="4" t="inlineStr">
        <is>
          <t>小規模組織の場合に過剰な承認段階・文書がなく(ISO/IEC 29110 の趣旨)、大規模の場合に必要な統制が欠けていない</t>
        </is>
      </c>
      <c r="G103" s="4" t="inlineStr">
        <is>
          <t>大組織向け標準を小規模組織にそのまま適用すると、承認・文書のコストが実作業を圧迫して形骸化する。逆に規模に必要な統制が欠ければ事故になる。ISO/IEC 29110 の趣旨に沿った適合度を確認する。</t>
        </is>
      </c>
      <c r="H103" s="4" t="inlineStr">
        <is>
          <t>swebok-v4a.pdf ch06 SE Operations &gt; 5.4 Software Engineering Operations for Small Organizations(ISO/IEC 29110)</t>
        </is>
      </c>
      <c r="I103" s="4" t="inlineStr">
        <is>
          <t>CORE</t>
        </is>
      </c>
      <c r="J103" s="4" t="inlineStr">
        <is>
          <t>原則適用。案件スコープ・成果物・規制・リスク上非該当の場合はN/A根拠を記録。</t>
        </is>
      </c>
      <c r="K103" s="4" t="inlineStr">
        <is>
          <t>SRC-SWEBOK-V4A;SRC-ISO-GENERAL</t>
        </is>
      </c>
      <c r="L103" s="4" t="inlineStr"/>
      <c r="M103" s="4" t="n"/>
      <c r="N103" s="4" t="n"/>
      <c r="O103" s="4" t="n"/>
      <c r="P103" s="4" t="n"/>
      <c r="Q103" s="4" t="n"/>
      <c r="R103" s="4" t="n"/>
      <c r="S103" s="4" t="n"/>
      <c r="T103" s="4" t="n"/>
      <c r="U103" s="4" t="n"/>
      <c r="V103" s="4" t="n"/>
      <c r="W103" s="4" t="n"/>
    </row>
    <row r="104">
      <c r="A104" s="5" t="inlineStr">
        <is>
          <t>OPS-134</t>
        </is>
      </c>
      <c r="B104" s="5" t="inlineStr">
        <is>
          <t>SWEBOK</t>
        </is>
      </c>
      <c r="C104" s="4" t="inlineStr">
        <is>
          <t>14. 自動化・ツール・組織適合(SWEBOK 6-1.4 / 6-5.3 / 6-5.4 / 6-6)</t>
        </is>
      </c>
      <c r="D104" s="11" t="inlineStr">
        <is>
          <t>Low</t>
        </is>
      </c>
      <c r="E104" s="4" t="inlineStr">
        <is>
          <t>運用テストがライフサイクル早期から計画されている</t>
        </is>
      </c>
      <c r="F104" s="4" t="inlineStr">
        <is>
          <t>運用観点のテスト(監視動作、フェイルオーバー、Runbook 検証)がリリース前テスト計画に含まれている</t>
        </is>
      </c>
      <c r="G104" s="4" t="inlineStr">
        <is>
          <t>運用観点のテスト(監視動作・フェイルオーバー)をリリース直前に回すと、不備の修正が間に合わず「監視なしで稼働開始」になる。TDD/ATDD の思想どおり開発早期からの計画を求める。</t>
        </is>
      </c>
      <c r="H104" s="4" t="inlineStr">
        <is>
          <t>swebok-v4a.pdf ch06 SE Operations &gt; 3.1 Operational Testing, Verification, and Acceptance(operational testing ongoing during development, not only at the end)</t>
        </is>
      </c>
      <c r="I104" s="4" t="inlineStr">
        <is>
          <t>CORE</t>
        </is>
      </c>
      <c r="J104" s="4" t="inlineStr">
        <is>
          <t>原則適用。案件スコープ・成果物・規制・リスク上非該当の場合はN/A根拠を記録。</t>
        </is>
      </c>
      <c r="K104" s="4" t="inlineStr">
        <is>
          <t>SRC-SWEBOK-V4A</t>
        </is>
      </c>
      <c r="L104" s="4" t="inlineStr"/>
      <c r="M104" s="4" t="n"/>
      <c r="N104" s="4" t="n"/>
      <c r="O104" s="4" t="n"/>
      <c r="P104" s="4" t="n"/>
      <c r="Q104" s="4" t="n"/>
      <c r="R104" s="4" t="n"/>
      <c r="S104" s="4" t="n"/>
      <c r="T104" s="4" t="n"/>
      <c r="U104" s="4" t="n"/>
      <c r="V104" s="4" t="n"/>
      <c r="W104" s="4" t="n"/>
    </row>
    <row r="105">
      <c r="A105" s="5" t="inlineStr">
        <is>
          <t>OPS-904</t>
        </is>
      </c>
      <c r="B105" s="5" t="inlineStr">
        <is>
          <t>追加承認</t>
        </is>
      </c>
      <c r="C105" s="4" t="inlineStr">
        <is>
          <t>14. 自動化・ツール・組織適合(SWEBOK 6-1.4 / 6-5.3 / 6-5.4 / 6-6)</t>
        </is>
      </c>
      <c r="D105" s="10" t="inlineStr">
        <is>
          <t>Medium</t>
        </is>
      </c>
      <c r="E105" s="4" t="inlineStr">
        <is>
          <t>運用リスクが継続的に管理され、リスク許容度が関係者と合意されている</t>
        </is>
      </c>
      <c r="F105" s="4" t="inlineStr">
        <is>
          <t>可用性・容量・セキュリティ等の運用リスクの一覧(リスク登録簿等)と見直し契機、およびアラート閾値・デプロイ方式の根拠となるリスク許容度をプロダクトオーナー等と合意した記録がある</t>
        </is>
      </c>
      <c r="G105" s="4" t="inlineStr">
        <is>
          <t>リスク許容度の合意がないと、アラート閾値やデプロイ方式の厳しさが運用チームの独断となり、事業側との認識齟齬(過剰な慎重さ、または想定外の障害受容)を生む。運用リスクを一過性でなく継続的に管理する枠組みを担保する。</t>
        </is>
      </c>
      <c r="H105" s="4" t="inlineStr">
        <is>
          <t>swebok-v4a.pdf ch06 SE Operations &gt; 5.2 Operational Risk Management — 継続的な運用リスク管理とリスク許容度の合意(continuous risk management, agreed-upon level of risk tolerance)</t>
        </is>
      </c>
      <c r="I105" s="4" t="inlineStr">
        <is>
          <t>CORE</t>
        </is>
      </c>
      <c r="J105" s="4" t="inlineStr">
        <is>
          <t>原則適用。案件スコープ・成果物・規制・リスク上非該当の場合はN/A根拠を記録。</t>
        </is>
      </c>
      <c r="K105" s="4" t="inlineStr">
        <is>
          <t>SRC-SWEBOK-V4A</t>
        </is>
      </c>
      <c r="L105" s="4" t="inlineStr"/>
      <c r="M105" s="4" t="n"/>
      <c r="N105" s="4" t="n"/>
      <c r="O105" s="4" t="n"/>
      <c r="P105" s="4" t="n"/>
      <c r="Q105" s="4" t="n"/>
      <c r="R105" s="4" t="n"/>
      <c r="S105" s="4" t="n"/>
      <c r="T105" s="4" t="n"/>
      <c r="U105" s="4" t="n"/>
      <c r="V105" s="4" t="n"/>
      <c r="W105" s="4" t="n"/>
    </row>
    <row r="106">
      <c r="A106" s="12" t="inlineStr">
        <is>
          <t>OPS-CZ01</t>
        </is>
      </c>
      <c r="B106" s="12" t="inlineStr">
        <is>
          <t>クラウド補完</t>
        </is>
      </c>
      <c r="C106" s="13" t="inlineStr">
        <is>
          <t>15. クラウドコスト運用(FinOps)</t>
        </is>
      </c>
      <c r="D106" s="9" t="inlineStr">
        <is>
          <t>High</t>
        </is>
      </c>
      <c r="E106" s="13" t="inlineStr">
        <is>
          <t>運用設計にコスト監視が含まれ、予算アラート(閾値・予測)と異常検知の通知先・対応手順が定義されている</t>
        </is>
      </c>
      <c r="F106" s="13" t="inlineStr">
        <is>
          <t>運用設計書にコストアラートの閾値・通知先・対応フローが記載され、定期コストレビューが運用カレンダーに組み込まれている</t>
        </is>
      </c>
      <c r="G106" s="13" t="inlineStr">
        <is>
          <t>コストはクラウド運用の品質特性であり、監視しないと予算超過の検知が請求後になる。</t>
        </is>
      </c>
      <c r="H106" s="13" t="inlineStr">
        <is>
          <t>Azure Well-Architected Framework &gt; コスト最適化の柱 &gt; CO:03 (Collect and review cost data / Automate cost alerts)</t>
        </is>
      </c>
      <c r="I106" s="13" t="inlineStr">
        <is>
          <t>CORE</t>
        </is>
      </c>
      <c r="J106" s="13" t="inlineStr">
        <is>
          <t>原則適用。案件スコープ・成果物・規制・リスク上非該当の場合はN/A根拠を記録。</t>
        </is>
      </c>
      <c r="K106" s="13" t="inlineStr">
        <is>
          <t>SRC-AZR-WAF</t>
        </is>
      </c>
      <c r="L106" s="13" t="inlineStr">
        <is>
          <t>OPS-OBSERVABILITY;COST</t>
        </is>
      </c>
      <c r="M106" s="13" t="n"/>
      <c r="N106" s="13" t="n"/>
      <c r="O106" s="13" t="n"/>
      <c r="P106" s="13" t="n"/>
      <c r="Q106" s="13" t="n"/>
      <c r="R106" s="13" t="n"/>
      <c r="S106" s="13" t="n"/>
      <c r="T106" s="13" t="n"/>
      <c r="U106" s="13" t="n"/>
      <c r="V106" s="13" t="n"/>
      <c r="W106" s="13" t="n"/>
    </row>
  </sheetData>
  <autoFilter ref="A1:W106"/>
  <conditionalFormatting sqref="O2:O2000">
    <cfRule type="cellIs" priority="1" operator="equal" dxfId="0">
      <formula>"Fail"</formula>
    </cfRule>
    <cfRule type="cellIs" priority="2" operator="equal" dxfId="1">
      <formula>"Pass"</formula>
    </cfRule>
    <cfRule type="cellIs" priority="4" operator="equal" dxfId="0">
      <formula>"Fail"</formula>
    </cfRule>
    <cfRule type="cellIs" priority="5" operator="equal" dxfId="1">
      <formula>"Pass"</formula>
    </cfRule>
    <cfRule type="cellIs" priority="7" operator="equal" dxfId="0">
      <formula>"Fail"</formula>
    </cfRule>
    <cfRule type="cellIs" priority="8" operator="equal" dxfId="1">
      <formula>"Pass"</formula>
    </cfRule>
    <cfRule type="cellIs" priority="10" operator="equal" dxfId="0">
      <formula>"Fail"</formula>
    </cfRule>
    <cfRule type="cellIs" priority="11" operator="equal" dxfId="1">
      <formula>"Pass"</formula>
    </cfRule>
    <cfRule type="cellIs" priority="13" operator="equal" dxfId="0">
      <formula>"Fail"</formula>
    </cfRule>
    <cfRule type="cellIs" priority="14" operator="equal" dxfId="1">
      <formula>"Pass"</formula>
    </cfRule>
  </conditionalFormatting>
  <conditionalFormatting sqref="N2:N2000">
    <cfRule type="cellIs" priority="3" operator="equal" dxfId="2">
      <formula>"N/A"</formula>
    </cfRule>
    <cfRule type="cellIs" priority="6" operator="equal" dxfId="2">
      <formula>"N/A"</formula>
    </cfRule>
    <cfRule type="cellIs" priority="9" operator="equal" dxfId="2">
      <formula>"N/A"</formula>
    </cfRule>
    <cfRule type="cellIs" priority="12" operator="equal" dxfId="2">
      <formula>"N/A"</formula>
    </cfRule>
    <cfRule type="cellIs" priority="15" operator="equal" dxfId="2">
      <formula>"N/A"</formula>
    </cfRule>
  </conditionalFormatting>
  <dataValidations count="20">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s>
  <pageMargins left="0.75" right="0.75" top="1" bottom="1" header="0.5" footer="0.5"/>
  <pageSetup orientation="landscape" fitToWidth="1"/>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W87"/>
  <sheetViews>
    <sheetView workbookViewId="0">
      <pane xSplit="4" ySplit="1" topLeftCell="E2"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4" customWidth="1" min="1" max="1"/>
    <col width="14" customWidth="1" min="2" max="2"/>
    <col width="28" customWidth="1" min="3" max="3"/>
    <col width="12" customWidth="1" min="4" max="4"/>
    <col width="46" customWidth="1" min="5" max="5"/>
    <col width="52" customWidth="1" min="6" max="6"/>
    <col width="48" customWidth="1" min="7" max="7"/>
    <col width="46" customWidth="1" min="8" max="8"/>
    <col width="18" customWidth="1" min="9" max="9"/>
    <col width="38" customWidth="1" min="10" max="10"/>
    <col width="28" customWidth="1" min="11" max="11"/>
    <col width="25" customWidth="1" min="12" max="12"/>
    <col width="13" customWidth="1" min="13" max="13"/>
    <col width="12" customWidth="1" min="14" max="14"/>
    <col width="12" customWidth="1" min="15" max="15"/>
    <col width="38" customWidth="1" min="16" max="16"/>
    <col width="24" customWidth="1" min="17" max="17"/>
    <col width="30" customWidth="1" min="18" max="18"/>
    <col width="23" customWidth="1" min="19" max="19"/>
    <col width="15" customWidth="1" min="20" max="20"/>
    <col width="18" customWidth="1" min="21" max="21"/>
    <col width="15" customWidth="1" min="22" max="22"/>
    <col width="15" customWidth="1" min="23" max="23"/>
  </cols>
  <sheetData>
    <row r="1">
      <c r="A1" s="3" t="inlineStr">
        <is>
          <t>ID</t>
        </is>
      </c>
      <c r="B1" s="3" t="inlineStr">
        <is>
          <t>区分</t>
        </is>
      </c>
      <c r="C1" s="3" t="inlineStr">
        <is>
          <t>カテゴリ</t>
        </is>
      </c>
      <c r="D1" s="3" t="inlineStr">
        <is>
          <t>基準重要度</t>
        </is>
      </c>
      <c r="E1" s="3" t="inlineStr">
        <is>
          <t>チェック項目</t>
        </is>
      </c>
      <c r="F1" s="3" t="inlineStr">
        <is>
          <t>合格基準</t>
        </is>
      </c>
      <c r="G1" s="3" t="inlineStr">
        <is>
          <t>意図(なぜ確認するか)</t>
        </is>
      </c>
      <c r="H1" s="3" t="inlineStr">
        <is>
          <t>対象ドキュメント(参照箇所)</t>
        </is>
      </c>
      <c r="I1" s="21" t="inlineStr">
        <is>
          <t>適用プロファイル</t>
        </is>
      </c>
      <c r="J1" s="21" t="inlineStr">
        <is>
          <t>適用条件</t>
        </is>
      </c>
      <c r="K1" s="21" t="inlineStr">
        <is>
          <t>出典ID</t>
        </is>
      </c>
      <c r="L1" s="21" t="inlineStr">
        <is>
          <t>重複統制グループ</t>
        </is>
      </c>
      <c r="M1" s="21" t="inlineStr">
        <is>
          <t>案件重要度</t>
        </is>
      </c>
      <c r="N1" s="21" t="inlineStr">
        <is>
          <t>適用判定</t>
        </is>
      </c>
      <c r="O1" s="21" t="inlineStr">
        <is>
          <t>判定</t>
        </is>
      </c>
      <c r="P1" s="21" t="inlineStr">
        <is>
          <t>証跡・参照箇所</t>
        </is>
      </c>
      <c r="Q1" s="21" t="inlineStr">
        <is>
          <t>指摘・Issue ID</t>
        </is>
      </c>
      <c r="R1" s="21" t="inlineStr">
        <is>
          <t>対応方針</t>
        </is>
      </c>
      <c r="S1" s="21" t="inlineStr">
        <is>
          <t>例外・リスク受容承認者</t>
        </is>
      </c>
      <c r="T1" s="21" t="inlineStr">
        <is>
          <t>是正期限</t>
        </is>
      </c>
      <c r="U1" s="21" t="inlineStr">
        <is>
          <t>レビュアー</t>
        </is>
      </c>
      <c r="V1" s="21" t="inlineStr">
        <is>
          <t>レビュー日</t>
        </is>
      </c>
      <c r="W1" s="21" t="inlineStr">
        <is>
          <t>再確認結果</t>
        </is>
      </c>
    </row>
    <row r="2">
      <c r="A2" s="5" t="inlineStr">
        <is>
          <t>MNT-001</t>
        </is>
      </c>
      <c r="B2" s="5" t="inlineStr">
        <is>
          <t>SWEBOK</t>
        </is>
      </c>
      <c r="C2" s="4" t="inlineStr">
        <is>
          <t>1. 保守計画(MNT-001〜)</t>
        </is>
      </c>
      <c r="D2" s="8" t="inlineStr">
        <is>
          <t>Critical</t>
        </is>
      </c>
      <c r="E2" s="4" t="inlineStr">
        <is>
          <t>対象システムと適用範囲が特定されている</t>
        </is>
      </c>
      <c r="F2" s="4" t="inlineStr">
        <is>
          <t>システム名・バージョン・対象環境(本番/検証)・対象外事項が明記されている</t>
        </is>
      </c>
      <c r="G2" s="4" t="inlineStr">
        <is>
          <t>対象システムと範囲が曖昧なまま保守契約・作業が始まると、障害時に「それはうちの担当外」という責任の押し付け合いや、想定外環境への対応で工数が破綻する事故を防ぐ。</t>
        </is>
      </c>
      <c r="H2" s="4" t="inlineStr">
        <is>
          <t>swebok-v4a.pdf ch07 Software Maintenance &gt; 3.2.2 Planning Activities(Scope of software maintenance)</t>
        </is>
      </c>
      <c r="I2" s="4" t="inlineStr">
        <is>
          <t>CORE</t>
        </is>
      </c>
      <c r="J2" s="4" t="inlineStr">
        <is>
          <t>原則適用。案件スコープ・成果物・規制・リスク上非該当の場合はN/A根拠を記録。</t>
        </is>
      </c>
      <c r="K2" s="4" t="inlineStr">
        <is>
          <t>SRC-SWEBOK-V4A</t>
        </is>
      </c>
      <c r="L2" s="4" t="inlineStr"/>
      <c r="M2" s="4" t="n"/>
      <c r="N2" s="4" t="n"/>
      <c r="O2" s="4" t="n"/>
      <c r="P2" s="4" t="n"/>
      <c r="Q2" s="4" t="n"/>
      <c r="R2" s="4" t="n"/>
      <c r="S2" s="4" t="n"/>
      <c r="T2" s="4" t="n"/>
      <c r="U2" s="4" t="n"/>
      <c r="V2" s="4" t="n"/>
      <c r="W2" s="4" t="n"/>
    </row>
    <row r="3">
      <c r="A3" s="5" t="inlineStr">
        <is>
          <t>MNT-002</t>
        </is>
      </c>
      <c r="B3" s="5" t="inlineStr">
        <is>
          <t>SWEBOK</t>
        </is>
      </c>
      <c r="C3" s="4" t="inlineStr">
        <is>
          <t>1. 保守計画(MNT-001〜)</t>
        </is>
      </c>
      <c r="D3" s="8" t="inlineStr">
        <is>
          <t>Critical</t>
        </is>
      </c>
      <c r="E3" s="4" t="inlineStr">
        <is>
          <t>保守体制と役割が定義されている</t>
        </is>
      </c>
      <c r="F3" s="4" t="inlineStr">
        <is>
          <t>窓口、一次対応、改修担当、承認者、エスカレーション経路が個人名または役割名で列挙されている</t>
        </is>
      </c>
      <c r="G3" s="4" t="inlineStr">
        <is>
          <t>受付から承認までの役割が不明確だと、MR が宙に浮いたまま放置されたり、権限のない担当が独断でリリースして障害を招く。エスカレーション経路の欠落は重大障害時の初動遅延に直結する。</t>
        </is>
      </c>
      <c r="H3" s="4" t="inlineStr">
        <is>
          <t>swebok-v4a.pdf ch07 Software Maintenance &gt; 3.2.2 Planning Activities(Identification of the maintenance organization)/ 2.2.5 Organizational Aspects of Maintenance</t>
        </is>
      </c>
      <c r="I3" s="4" t="inlineStr">
        <is>
          <t>CORE</t>
        </is>
      </c>
      <c r="J3" s="4" t="inlineStr">
        <is>
          <t>原則適用。案件スコープ・成果物・規制・リスク上非該当の場合はN/A根拠を記録。</t>
        </is>
      </c>
      <c r="K3" s="4" t="inlineStr">
        <is>
          <t>SRC-SWEBOK-V4A</t>
        </is>
      </c>
      <c r="L3" s="4" t="inlineStr"/>
      <c r="M3" s="4" t="n"/>
      <c r="N3" s="4" t="n"/>
      <c r="O3" s="4" t="n"/>
      <c r="P3" s="4" t="n"/>
      <c r="Q3" s="4" t="n"/>
      <c r="R3" s="4" t="n"/>
      <c r="S3" s="4" t="n"/>
      <c r="T3" s="4" t="n"/>
      <c r="U3" s="4" t="n"/>
      <c r="V3" s="4" t="n"/>
      <c r="W3" s="4" t="n"/>
    </row>
    <row r="4">
      <c r="A4" s="5" t="inlineStr">
        <is>
          <t>MNT-003</t>
        </is>
      </c>
      <c r="B4" s="5" t="inlineStr">
        <is>
          <t>SWEBOK</t>
        </is>
      </c>
      <c r="C4" s="4" t="inlineStr">
        <is>
          <t>1. 保守計画(MNT-001〜)</t>
        </is>
      </c>
      <c r="D4" s="9" t="inlineStr">
        <is>
          <t>High</t>
        </is>
      </c>
      <c r="E4" s="4" t="inlineStr">
        <is>
          <t>開発兼任か専任保守チームかの体制選択が根拠付きで記述されている</t>
        </is>
      </c>
      <c r="F4" s="4" t="inlineStr">
        <is>
          <t>体制形態とその選定理由(知識継承・要員コスト等のトレードオフ)が1段落以上ある</t>
        </is>
      </c>
      <c r="G4" s="4" t="inlineStr">
        <is>
          <t>開発兼任は新規開発の中断や退職時の知識喪失、専任保守は要員の離職リスクと引き継ぎ摩擦という各々の欠点を持つ。根拠なき体制選択は後から知識継承の破綻として表面化するため、トレードオフの明文化を求める。</t>
        </is>
      </c>
      <c r="H4" s="4" t="inlineStr">
        <is>
          <t>swebok-v4a.pdf ch07 Software Maintenance &gt; 2.2.5 Organizational Aspects of Maintenance</t>
        </is>
      </c>
      <c r="I4" s="4" t="inlineStr">
        <is>
          <t>CORE</t>
        </is>
      </c>
      <c r="J4" s="4" t="inlineStr">
        <is>
          <t>原則適用。案件スコープ・成果物・規制・リスク上非該当の場合はN/A根拠を記録。</t>
        </is>
      </c>
      <c r="K4" s="4" t="inlineStr">
        <is>
          <t>SRC-SWEBOK-V4A</t>
        </is>
      </c>
      <c r="L4" s="4" t="inlineStr"/>
      <c r="M4" s="4" t="n"/>
      <c r="N4" s="4" t="n"/>
      <c r="O4" s="4" t="n"/>
      <c r="P4" s="4" t="n"/>
      <c r="Q4" s="4" t="n"/>
      <c r="R4" s="4" t="n"/>
      <c r="S4" s="4" t="n"/>
      <c r="T4" s="4" t="n"/>
      <c r="U4" s="4" t="n"/>
      <c r="V4" s="4" t="n"/>
      <c r="W4" s="4" t="n"/>
    </row>
    <row r="5">
      <c r="A5" s="5" t="inlineStr">
        <is>
          <t>MNT-004</t>
        </is>
      </c>
      <c r="B5" s="5" t="inlineStr">
        <is>
          <t>SWEBOK</t>
        </is>
      </c>
      <c r="C5" s="4" t="inlineStr">
        <is>
          <t>1. 保守計画(MNT-001〜)</t>
        </is>
      </c>
      <c r="D5" s="8" t="inlineStr">
        <is>
          <t>Critical</t>
        </is>
      </c>
      <c r="E5" s="4" t="inlineStr">
        <is>
          <t>MR/PR の受付フローが定義されている</t>
        </is>
      </c>
      <c r="F5" s="4" t="inlineStr">
        <is>
          <t>起票→トリアージ→承認→実装→リリースの各段階と、各段階の責任者・却下基準が図または箇条書きで示されている</t>
        </is>
      </c>
      <c r="G5" s="4" t="inlineStr">
        <is>
          <t>MR/PR の受付〜リリースの流れが未定義だと、口頭依頼による無記録変更や、トリアージなしの場当たり対応が常態化し、変更の追跡不能・品質低下を招く。</t>
        </is>
      </c>
      <c r="H5" s="4" t="inlineStr">
        <is>
          <t>swebok-v4a.pdf ch07 Software Maintenance &gt; 2.1.3 Impact Analysis(MR/PR の提出手続き・識別スキーム)/ 3.2 Software Maintenance Activities and Tasks</t>
        </is>
      </c>
      <c r="I5" s="4" t="inlineStr">
        <is>
          <t>CORE</t>
        </is>
      </c>
      <c r="J5" s="4" t="inlineStr">
        <is>
          <t>原則適用。案件スコープ・成果物・規制・リスク上非該当の場合はN/A根拠を記録。</t>
        </is>
      </c>
      <c r="K5" s="4" t="inlineStr">
        <is>
          <t>SRC-SWEBOK-V4A</t>
        </is>
      </c>
      <c r="L5" s="4" t="inlineStr"/>
      <c r="M5" s="4" t="n"/>
      <c r="N5" s="4" t="n"/>
      <c r="O5" s="4" t="n"/>
      <c r="P5" s="4" t="n"/>
      <c r="Q5" s="4" t="n"/>
      <c r="R5" s="4" t="n"/>
      <c r="S5" s="4" t="n"/>
      <c r="T5" s="4" t="n"/>
      <c r="U5" s="4" t="n"/>
      <c r="V5" s="4" t="n"/>
      <c r="W5" s="4" t="n"/>
    </row>
    <row r="6">
      <c r="A6" s="5" t="inlineStr">
        <is>
          <t>MNT-005</t>
        </is>
      </c>
      <c r="B6" s="5" t="inlineStr">
        <is>
          <t>SWEBOK</t>
        </is>
      </c>
      <c r="C6" s="4" t="inlineStr">
        <is>
          <t>1. 保守計画(MNT-001〜)</t>
        </is>
      </c>
      <c r="D6" s="9" t="inlineStr">
        <is>
          <t>High</t>
        </is>
      </c>
      <c r="E6" s="4" t="inlineStr">
        <is>
          <t>計画の4階層(事業計画/保守計画/リリース計画/MR計画)の対応が示されている</t>
        </is>
      </c>
      <c r="F6" s="4" t="inlineStr">
        <is>
          <t>上位計画への参照(文書名・版)があり、リリースサイクルと MR 処理の関係が記述されている</t>
        </is>
      </c>
      <c r="G6" s="4" t="inlineStr">
        <is>
          <t>SWEBOK は事業計画・保守計画・リリース計画・MR 計画の4階層の計画を求めている。上位計画との対応がないと、個々の MR 対応がリリースサイクルや予算と整合せず、場当たりリリースや予算超過を招く。</t>
        </is>
      </c>
      <c r="H6" s="4" t="inlineStr">
        <is>
          <t>swebok-v4a.pdf ch07 Software Maintenance &gt; 3.2.2 Planning Activities(Business/Maintenance/Release/MR planning)</t>
        </is>
      </c>
      <c r="I6" s="4" t="inlineStr">
        <is>
          <t>CORE</t>
        </is>
      </c>
      <c r="J6" s="4" t="inlineStr">
        <is>
          <t>原則適用。案件スコープ・成果物・規制・リスク上非該当の場合はN/A根拠を記録。</t>
        </is>
      </c>
      <c r="K6" s="4" t="inlineStr">
        <is>
          <t>SRC-SWEBOK-V4A</t>
        </is>
      </c>
      <c r="L6" s="4" t="inlineStr"/>
      <c r="M6" s="4" t="n"/>
      <c r="N6" s="4" t="n"/>
      <c r="O6" s="4" t="n"/>
      <c r="P6" s="4" t="n"/>
      <c r="Q6" s="4" t="n"/>
      <c r="R6" s="4" t="n"/>
      <c r="S6" s="4" t="n"/>
      <c r="T6" s="4" t="n"/>
      <c r="U6" s="4" t="n"/>
      <c r="V6" s="4" t="n"/>
      <c r="W6" s="4" t="n"/>
    </row>
    <row r="7">
      <c r="A7" s="5" t="inlineStr">
        <is>
          <t>MNT-006</t>
        </is>
      </c>
      <c r="B7" s="5" t="inlineStr">
        <is>
          <t>SWEBOK</t>
        </is>
      </c>
      <c r="C7" s="4" t="inlineStr">
        <is>
          <t>1. 保守計画(MNT-001〜)</t>
        </is>
      </c>
      <c r="D7" s="9" t="inlineStr">
        <is>
          <t>High</t>
        </is>
      </c>
      <c r="E7" s="4" t="inlineStr">
        <is>
          <t>コスト計画に保守固有の費目が含まれている</t>
        </is>
      </c>
      <c r="F7" s="4" t="inlineStr">
        <is>
          <t>人件費に加え、教育訓練・SEE(ソフトウェア技術環境)維持費・ライセンス費のうち該当するものが計上され、対象外費目は理由が書かれている</t>
        </is>
      </c>
      <c r="G7" s="4" t="inlineStr">
        <is>
          <t>保守コストは人件費以外に教育訓練・SEE 維持・ライセンス等の固有費目を含む。これらを見落とすと年度途中でツール更新費やライセンス更改費が捻出できず、保守基盤自体が陳腐化する。</t>
        </is>
      </c>
      <c r="H7" s="4" t="inlineStr">
        <is>
          <t>swebok-v4a.pdf ch07 Software Maintenance &gt; 2.3.2 Maintenance Cost Estimation(ISO/IEC/IEEE 14764 のコスト要素)</t>
        </is>
      </c>
      <c r="I7" s="4" t="inlineStr">
        <is>
          <t>CORE</t>
        </is>
      </c>
      <c r="J7" s="4" t="inlineStr">
        <is>
          <t>原則適用。案件スコープ・成果物・規制・リスク上非該当の場合はN/A根拠を記録。</t>
        </is>
      </c>
      <c r="K7" s="4" t="inlineStr">
        <is>
          <t>SRC-SWEBOK-V4A;SRC-ISO-GENERAL</t>
        </is>
      </c>
      <c r="L7" s="4" t="inlineStr">
        <is>
          <t>COST</t>
        </is>
      </c>
      <c r="M7" s="4" t="n"/>
      <c r="N7" s="4" t="n"/>
      <c r="O7" s="4" t="n"/>
      <c r="P7" s="4" t="n"/>
      <c r="Q7" s="4" t="n"/>
      <c r="R7" s="4" t="n"/>
      <c r="S7" s="4" t="n"/>
      <c r="T7" s="4" t="n"/>
      <c r="U7" s="4" t="n"/>
      <c r="V7" s="4" t="n"/>
      <c r="W7" s="4" t="n"/>
    </row>
    <row r="8">
      <c r="A8" s="5" t="inlineStr">
        <is>
          <t>MNT-007</t>
        </is>
      </c>
      <c r="B8" s="5" t="inlineStr">
        <is>
          <t>SWEBOK</t>
        </is>
      </c>
      <c r="C8" s="4" t="inlineStr">
        <is>
          <t>1. 保守計画(MNT-001〜)</t>
        </is>
      </c>
      <c r="D8" s="10" t="inlineStr">
        <is>
          <t>Medium</t>
        </is>
      </c>
      <c r="E8" s="4" t="inlineStr">
        <is>
          <t>保守要員の教育・引き継ぎ計画がある</t>
        </is>
      </c>
      <c r="F8" s="4" t="inlineStr">
        <is>
          <t>新規参画者向けの習熟項目(システム理解・ツール・手順)と期間が定義されている</t>
        </is>
      </c>
      <c r="G8" s="4" t="inlineStr">
        <is>
          <t>初期開発者が去った後に参画する保守者は理解ゼロから始まる。習熟計画がないと属人化した知識が引き継がれず、単純な修正にも過大な調査工数がかかり続ける。</t>
        </is>
      </c>
      <c r="H8" s="4" t="inlineStr">
        <is>
          <t>swebok-v4a.pdf ch07 Software Maintenance &gt; 1.2 Nature of Software Maintenance(開発者不在後の参画課題)/ 2.2.2 Staffing</t>
        </is>
      </c>
      <c r="I8" s="4" t="inlineStr">
        <is>
          <t>CORE</t>
        </is>
      </c>
      <c r="J8" s="4" t="inlineStr">
        <is>
          <t>原則適用。案件スコープ・成果物・規制・リスク上非該当の場合はN/A根拠を記録。</t>
        </is>
      </c>
      <c r="K8" s="4" t="inlineStr">
        <is>
          <t>SRC-SWEBOK-V4A</t>
        </is>
      </c>
      <c r="L8" s="4" t="inlineStr"/>
      <c r="M8" s="4" t="n"/>
      <c r="N8" s="4" t="n"/>
      <c r="O8" s="4" t="n"/>
      <c r="P8" s="4" t="n"/>
      <c r="Q8" s="4" t="n"/>
      <c r="R8" s="4" t="n"/>
      <c r="S8" s="4" t="n"/>
      <c r="T8" s="4" t="n"/>
      <c r="U8" s="4" t="n"/>
      <c r="V8" s="4" t="n"/>
      <c r="W8" s="4" t="n"/>
    </row>
    <row r="9">
      <c r="A9" s="5" t="inlineStr">
        <is>
          <t>MNT-008</t>
        </is>
      </c>
      <c r="B9" s="5" t="inlineStr">
        <is>
          <t>SWEBOK</t>
        </is>
      </c>
      <c r="C9" s="4" t="inlineStr">
        <is>
          <t>1. 保守計画(MNT-001〜)</t>
        </is>
      </c>
      <c r="D9" s="10" t="inlineStr">
        <is>
          <t>Medium</t>
        </is>
      </c>
      <c r="E9" s="4" t="inlineStr">
        <is>
          <t>計画の改定条件と改定履歴がある</t>
        </is>
      </c>
      <c r="F9" s="4" t="inlineStr">
        <is>
          <t>改定トリガー(体制変更・SLA 改定等)が列挙され、改定履歴表に版・日付・変更概要がある</t>
        </is>
      </c>
      <c r="G9" s="4" t="inlineStr">
        <is>
          <t>保守は廃棄まで続く長期活動であり、体制や SLA の変化に計画が追随しないと文書と実態が乖離し、監査や引き継ぎ時に「どれが正か」不明になる。改定条件の明示で計画の陳腐化を防ぐ。</t>
        </is>
      </c>
      <c r="H9" s="4" t="inlineStr">
        <is>
          <t>swebok-v4a.pdf ch07 Software Maintenance &gt; 3.2.2 Planning Activities(保守フェーズは廃棄まで継続)/ 実務補完(文書管理の一般慣行)</t>
        </is>
      </c>
      <c r="I9" s="4" t="inlineStr">
        <is>
          <t>CORE</t>
        </is>
      </c>
      <c r="J9" s="4" t="inlineStr">
        <is>
          <t>原則適用。案件スコープ・成果物・規制・リスク上非該当の場合はN/A根拠を記録。</t>
        </is>
      </c>
      <c r="K9" s="4" t="inlineStr">
        <is>
          <t>SRC-SWEBOK-V4A;SRC-PRACTICE</t>
        </is>
      </c>
      <c r="L9" s="4" t="inlineStr"/>
      <c r="M9" s="4" t="n"/>
      <c r="N9" s="4" t="n"/>
      <c r="O9" s="4" t="n"/>
      <c r="P9" s="4" t="n"/>
      <c r="Q9" s="4" t="n"/>
      <c r="R9" s="4" t="n"/>
      <c r="S9" s="4" t="n"/>
      <c r="T9" s="4" t="n"/>
      <c r="U9" s="4" t="n"/>
      <c r="V9" s="4" t="n"/>
      <c r="W9" s="4" t="n"/>
    </row>
    <row r="10">
      <c r="A10" s="5" t="inlineStr">
        <is>
          <t>MNT-009</t>
        </is>
      </c>
      <c r="B10" s="5" t="inlineStr">
        <is>
          <t>SWEBOK</t>
        </is>
      </c>
      <c r="C10" s="4" t="inlineStr">
        <is>
          <t>1. 保守計画(MNT-001〜)</t>
        </is>
      </c>
      <c r="D10" s="9" t="inlineStr">
        <is>
          <t>High</t>
        </is>
      </c>
      <c r="E10" s="4" t="inlineStr">
        <is>
          <t>保守ヘルプデスク/問い合わせ窓口の運用が定義されている</t>
        </is>
      </c>
      <c r="F10" s="4" t="inlineStr">
        <is>
          <t>受付チャネル、受付時間、問い合わせと MR/PR 起票の関係が記述されている</t>
        </is>
      </c>
      <c r="G10" s="4" t="inlineStr">
        <is>
          <t>SWEBOK はヘルプデスクを MR の評価・優先度付け・コスト見積りを起動する保守固有の機能と位置付ける。窓口運用が未定義だと問い合わせが MR に変換されず、利用者の問題が黙殺される。</t>
        </is>
      </c>
      <c r="H10" s="4" t="inlineStr">
        <is>
          <t>swebok-v4a.pdf ch07 Software Maintenance &gt; 3.2 Software Maintenance Activities and Tasks(Maintenance help desk)</t>
        </is>
      </c>
      <c r="I10" s="4" t="inlineStr">
        <is>
          <t>CORE</t>
        </is>
      </c>
      <c r="J10" s="4" t="inlineStr">
        <is>
          <t>原則適用。案件スコープ・成果物・規制・リスク上非該当の場合はN/A根拠を記録。</t>
        </is>
      </c>
      <c r="K10" s="4" t="inlineStr">
        <is>
          <t>SRC-SWEBOK-V4A</t>
        </is>
      </c>
      <c r="L10" s="4" t="inlineStr"/>
      <c r="M10" s="4" t="n"/>
      <c r="N10" s="4" t="n"/>
      <c r="O10" s="4" t="n"/>
      <c r="P10" s="4" t="n"/>
      <c r="Q10" s="4" t="n"/>
      <c r="R10" s="4" t="n"/>
      <c r="S10" s="4" t="n"/>
      <c r="T10" s="4" t="n"/>
      <c r="U10" s="4" t="n"/>
      <c r="V10" s="4" t="n"/>
      <c r="W10" s="4" t="n"/>
    </row>
    <row r="11">
      <c r="A11" s="5" t="inlineStr">
        <is>
          <t>MNT-020</t>
        </is>
      </c>
      <c r="B11" s="5" t="inlineStr">
        <is>
          <t>SWEBOK</t>
        </is>
      </c>
      <c r="C11" s="4" t="inlineStr">
        <is>
          <t>2. 保守区分と MR/PR 管理(MNT-020〜)</t>
        </is>
      </c>
      <c r="D11" s="8" t="inlineStr">
        <is>
          <t>Critical</t>
        </is>
      </c>
      <c r="E11" s="4" t="inlineStr">
        <is>
          <t>保守区分の定義が標準に準拠している</t>
        </is>
      </c>
      <c r="F11" s="4" t="inlineStr">
        <is>
          <t>是正/予防/適応/追加/完全化(+緊急)の区分、または ISO/IEC/IEEE 14764 の修正/拡張の大別が定義され、独自区分には標準区分との対応がある</t>
        </is>
      </c>
      <c r="G11" s="4" t="inlineStr">
        <is>
          <t>是正/予防/適応/追加/完全化(+緊急)の標準区分がないと、修正と拡張が混在した報告になり「保守=バグ修正」という誤解のもとで是正コストが過大評価され、予算配分判断を誤る。</t>
        </is>
      </c>
      <c r="H11" s="4" t="inlineStr">
        <is>
          <t>swebok-v4a.pdf ch07 Software Maintenance &gt; 1.6 Categories of Software Maintenance(ISO/IEC/IEEE 14764 の Corrections/Enhancements 大別)</t>
        </is>
      </c>
      <c r="I11" s="4" t="inlineStr">
        <is>
          <t>CORE</t>
        </is>
      </c>
      <c r="J11" s="4" t="inlineStr">
        <is>
          <t>原則適用。案件スコープ・成果物・規制・リスク上非該当の場合はN/A根拠を記録。</t>
        </is>
      </c>
      <c r="K11" s="4" t="inlineStr">
        <is>
          <t>SRC-SWEBOK-V4A;SRC-ISO-GENERAL</t>
        </is>
      </c>
      <c r="L11" s="4" t="inlineStr"/>
      <c r="M11" s="4" t="n"/>
      <c r="N11" s="4" t="n"/>
      <c r="O11" s="4" t="n"/>
      <c r="P11" s="4" t="n"/>
      <c r="Q11" s="4" t="n"/>
      <c r="R11" s="4" t="n"/>
      <c r="S11" s="4" t="n"/>
      <c r="T11" s="4" t="n"/>
      <c r="U11" s="4" t="n"/>
      <c r="V11" s="4" t="n"/>
      <c r="W11" s="4" t="n"/>
    </row>
    <row r="12">
      <c r="A12" s="5" t="inlineStr">
        <is>
          <t>MNT-021</t>
        </is>
      </c>
      <c r="B12" s="5" t="inlineStr">
        <is>
          <t>SWEBOK</t>
        </is>
      </c>
      <c r="C12" s="4" t="inlineStr">
        <is>
          <t>2. 保守区分と MR/PR 管理(MNT-020〜)</t>
        </is>
      </c>
      <c r="D12" s="8" t="inlineStr">
        <is>
          <t>Critical</t>
        </is>
      </c>
      <c r="E12" s="4" t="inlineStr">
        <is>
          <t>各 MR/PR に保守区分が付与されている</t>
        </is>
      </c>
      <c r="F12" s="4" t="inlineStr">
        <is>
          <t>レビュー対象の MR/PR 記録の全件に区分が記録され、未分類が0件である</t>
        </is>
      </c>
      <c r="G12" s="4" t="inlineStr">
        <is>
          <t>区分未付与の MR が混じると区分別の工数集計・コスト傾向分析が成立せず、保守投資の説明責任が果たせない。全件分類の徹底が測定・改善の前提になる。</t>
        </is>
      </c>
      <c r="H12" s="4" t="inlineStr">
        <is>
          <t>swebok-v4a.pdf ch07 Software Maintenance &gt; 1.6 Categories of Software Maintenance / 2.3 Software Maintenance Costs(区分別コスト提示)</t>
        </is>
      </c>
      <c r="I12" s="4" t="inlineStr">
        <is>
          <t>CORE</t>
        </is>
      </c>
      <c r="J12" s="4" t="inlineStr">
        <is>
          <t>原則適用。案件スコープ・成果物・規制・リスク上非該当の場合はN/A根拠を記録。</t>
        </is>
      </c>
      <c r="K12" s="4" t="inlineStr">
        <is>
          <t>SRC-SWEBOK-V4A</t>
        </is>
      </c>
      <c r="L12" s="4" t="inlineStr"/>
      <c r="M12" s="4" t="n"/>
      <c r="N12" s="4" t="n"/>
      <c r="O12" s="4" t="n"/>
      <c r="P12" s="4" t="n"/>
      <c r="Q12" s="4" t="n"/>
      <c r="R12" s="4" t="n"/>
      <c r="S12" s="4" t="n"/>
      <c r="T12" s="4" t="n"/>
      <c r="U12" s="4" t="n"/>
      <c r="V12" s="4" t="n"/>
      <c r="W12" s="4" t="n"/>
    </row>
    <row r="13">
      <c r="A13" s="5" t="inlineStr">
        <is>
          <t>MNT-022</t>
        </is>
      </c>
      <c r="B13" s="5" t="inlineStr">
        <is>
          <t>SWEBOK</t>
        </is>
      </c>
      <c r="C13" s="4" t="inlineStr">
        <is>
          <t>2. 保守区分と MR/PR 管理(MNT-020〜)</t>
        </is>
      </c>
      <c r="D13" s="8" t="inlineStr">
        <is>
          <t>Critical</t>
        </is>
      </c>
      <c r="E13" s="4" t="inlineStr">
        <is>
          <t>MR/PR の受理/却下の判断と根拠が記録されている</t>
        </is>
      </c>
      <c r="F13" s="4" t="inlineStr">
        <is>
          <t>判断結果・判断者・日付・根拠が全件に記録されている</t>
        </is>
      </c>
      <c r="G13" s="4" t="inlineStr">
        <is>
          <t>受理/却下の判断根拠が残らないと、却下された要求が繰り返し起票されたり、後日「なぜ対応しなかったのか」を説明できず利用者との信頼を失う。</t>
        </is>
      </c>
      <c r="H13" s="4" t="inlineStr">
        <is>
          <t>swebok-v4a.pdf ch07 Software Maintenance &gt; 3.2 Software Maintenance Activities and Tasks(MR acceptance/rejection)</t>
        </is>
      </c>
      <c r="I13" s="4" t="inlineStr">
        <is>
          <t>CORE</t>
        </is>
      </c>
      <c r="J13" s="4" t="inlineStr">
        <is>
          <t>原則適用。案件スコープ・成果物・規制・リスク上非該当の場合はN/A根拠を記録。</t>
        </is>
      </c>
      <c r="K13" s="4" t="inlineStr">
        <is>
          <t>SRC-SWEBOK-V4A</t>
        </is>
      </c>
      <c r="L13" s="4" t="inlineStr"/>
      <c r="M13" s="4" t="n"/>
      <c r="N13" s="4" t="n"/>
      <c r="O13" s="4" t="n"/>
      <c r="P13" s="4" t="n"/>
      <c r="Q13" s="4" t="n"/>
      <c r="R13" s="4" t="n"/>
      <c r="S13" s="4" t="n"/>
      <c r="T13" s="4" t="n"/>
      <c r="U13" s="4" t="n"/>
      <c r="V13" s="4" t="n"/>
      <c r="W13" s="4" t="n"/>
    </row>
    <row r="14">
      <c r="A14" s="5" t="inlineStr">
        <is>
          <t>MNT-023</t>
        </is>
      </c>
      <c r="B14" s="5" t="inlineStr">
        <is>
          <t>SWEBOK</t>
        </is>
      </c>
      <c r="C14" s="4" t="inlineStr">
        <is>
          <t>2. 保守区分と MR/PR 管理(MNT-020〜)</t>
        </is>
      </c>
      <c r="D14" s="9" t="inlineStr">
        <is>
          <t>High</t>
        </is>
      </c>
      <c r="E14" s="4" t="inlineStr">
        <is>
          <t>優先度付けの基準が定義され適用されている</t>
        </is>
      </c>
      <c r="F14" s="4" t="inlineStr">
        <is>
          <t>優先度の段階と判定基準(影響利用者数・業務停止有無等)が定義され、各 MR に優先度が付与されている</t>
        </is>
      </c>
      <c r="G14" s="4" t="inlineStr">
        <is>
          <t>優先度基準がないと声の大きい依頼者の MR が先に処理され、業務影響の大きい問題が後回しになる。SWEBOK も PR の重大度を対応順序の指針とすることを求めている。</t>
        </is>
      </c>
      <c r="H14" s="4" t="inlineStr">
        <is>
          <t>swebok-v4a.pdf ch07 Software Maintenance &gt; 2.1.3 Impact Analysis(categorizing and prioritizing MRs/PRs、PR severity)</t>
        </is>
      </c>
      <c r="I14" s="4" t="inlineStr">
        <is>
          <t>CORE</t>
        </is>
      </c>
      <c r="J14" s="4" t="inlineStr">
        <is>
          <t>原則適用。案件スコープ・成果物・規制・リスク上非該当の場合はN/A根拠を記録。</t>
        </is>
      </c>
      <c r="K14" s="4" t="inlineStr">
        <is>
          <t>SRC-SWEBOK-V4A</t>
        </is>
      </c>
      <c r="L14" s="4" t="inlineStr"/>
      <c r="M14" s="4" t="n"/>
      <c r="N14" s="4" t="n"/>
      <c r="O14" s="4" t="n"/>
      <c r="P14" s="4" t="n"/>
      <c r="Q14" s="4" t="n"/>
      <c r="R14" s="4" t="n"/>
      <c r="S14" s="4" t="n"/>
      <c r="T14" s="4" t="n"/>
      <c r="U14" s="4" t="n"/>
      <c r="V14" s="4" t="n"/>
      <c r="W14" s="4" t="n"/>
    </row>
    <row r="15">
      <c r="A15" s="5" t="inlineStr">
        <is>
          <t>MNT-024</t>
        </is>
      </c>
      <c r="B15" s="5" t="inlineStr">
        <is>
          <t>SWEBOK</t>
        </is>
      </c>
      <c r="C15" s="4" t="inlineStr">
        <is>
          <t>2. 保守区分と MR/PR 管理(MNT-020〜)</t>
        </is>
      </c>
      <c r="D15" s="8" t="inlineStr">
        <is>
          <t>Critical</t>
        </is>
      </c>
      <c r="E15" s="4" t="inlineStr">
        <is>
          <t>緊急保守に恒久対処の MR が紐付いている</t>
        </is>
      </c>
      <c r="F15" s="4" t="inlineStr">
        <is>
          <t>緊急(一時対処)と記録された変更の全件に、恒久対処 MR の ID 参照または「一時対処で完結する根拠」がある</t>
        </is>
      </c>
      <c r="G15" s="4" t="inlineStr">
        <is>
          <t>緊急保守は「是正保守までの一時しのぎ」であり、暫定対処が恒久化すると隠れた欠陥と技術的負債が蓄積する。ワークアラウンドを除去まで追跡することが標準の要求である。</t>
        </is>
      </c>
      <c r="H15" s="4" t="inlineStr">
        <is>
          <t>swebok-v4a.pdf ch07 Software Maintenance &gt; 1.6 Categories(Emergency maintenance)/ 2.1.3 Impact Analysis(work-around の除去までの追跡)</t>
        </is>
      </c>
      <c r="I15" s="4" t="inlineStr">
        <is>
          <t>CORE</t>
        </is>
      </c>
      <c r="J15" s="4" t="inlineStr">
        <is>
          <t>原則適用。案件スコープ・成果物・規制・リスク上非該当の場合はN/A根拠を記録。</t>
        </is>
      </c>
      <c r="K15" s="4" t="inlineStr">
        <is>
          <t>SRC-SWEBOK-V4A</t>
        </is>
      </c>
      <c r="L15" s="4" t="inlineStr"/>
      <c r="M15" s="4" t="n"/>
      <c r="N15" s="4" t="n"/>
      <c r="O15" s="4" t="n"/>
      <c r="P15" s="4" t="n"/>
      <c r="Q15" s="4" t="n"/>
      <c r="R15" s="4" t="n"/>
      <c r="S15" s="4" t="n"/>
      <c r="T15" s="4" t="n"/>
      <c r="U15" s="4" t="n"/>
      <c r="V15" s="4" t="n"/>
      <c r="W15" s="4" t="n"/>
    </row>
    <row r="16">
      <c r="A16" s="5" t="inlineStr">
        <is>
          <t>MNT-025</t>
        </is>
      </c>
      <c r="B16" s="5" t="inlineStr">
        <is>
          <t>SWEBOK</t>
        </is>
      </c>
      <c r="C16" s="4" t="inlineStr">
        <is>
          <t>2. 保守区分と MR/PR 管理(MNT-020〜)</t>
        </is>
      </c>
      <c r="D16" s="10" t="inlineStr">
        <is>
          <t>Medium</t>
        </is>
      </c>
      <c r="E16" s="4" t="inlineStr">
        <is>
          <t>MR/PR に起票者・受理日・完了日が記録されている</t>
        </is>
      </c>
      <c r="F16" s="4" t="inlineStr">
        <is>
          <t>全件に3項目が揃っており、処理時間(リードタイム)が算出可能である</t>
        </is>
      </c>
      <c r="G16" s="4" t="inlineStr">
        <is>
          <t>起票日・完了日がないと MR あたりの処理時間が算出できず、SLA 遵守の証明も傾向分析による改善もできなくなる。</t>
        </is>
      </c>
      <c r="H16" s="4" t="inlineStr">
        <is>
          <t>swebok-v4a.pdf ch07 Software Maintenance &gt; 2.4 Software Maintenance Measurement(期間別 MR 件数・MR あたり工数)</t>
        </is>
      </c>
      <c r="I16" s="4" t="inlineStr">
        <is>
          <t>CORE</t>
        </is>
      </c>
      <c r="J16" s="4" t="inlineStr">
        <is>
          <t>原則適用。案件スコープ・成果物・規制・リスク上非該当の場合はN/A根拠を記録。</t>
        </is>
      </c>
      <c r="K16" s="4" t="inlineStr">
        <is>
          <t>SRC-SWEBOK-V4A</t>
        </is>
      </c>
      <c r="L16" s="4" t="inlineStr"/>
      <c r="M16" s="4" t="n"/>
      <c r="N16" s="4" t="n"/>
      <c r="O16" s="4" t="n"/>
      <c r="P16" s="4" t="n"/>
      <c r="Q16" s="4" t="n"/>
      <c r="R16" s="4" t="n"/>
      <c r="S16" s="4" t="n"/>
      <c r="T16" s="4" t="n"/>
      <c r="U16" s="4" t="n"/>
      <c r="V16" s="4" t="n"/>
      <c r="W16" s="4" t="n"/>
    </row>
    <row r="17">
      <c r="A17" s="5" t="inlineStr">
        <is>
          <t>MNT-026</t>
        </is>
      </c>
      <c r="B17" s="5" t="inlineStr">
        <is>
          <t>SWEBOK</t>
        </is>
      </c>
      <c r="C17" s="4" t="inlineStr">
        <is>
          <t>2. 保守区分と MR/PR 管理(MNT-020〜)</t>
        </is>
      </c>
      <c r="D17" s="10" t="inlineStr">
        <is>
          <t>Medium</t>
        </is>
      </c>
      <c r="E17" s="4" t="inlineStr">
        <is>
          <t>却下された MR/PR が起票者へフィードバックされる手順がある</t>
        </is>
      </c>
      <c r="F17" s="4" t="inlineStr">
        <is>
          <t>却下時の通知方法と再申請の可否が手順として定義されている</t>
        </is>
      </c>
      <c r="G17" s="4" t="inlineStr">
        <is>
          <t>却下のフィードバックがないと利用者は要求が握り潰されたと感じ、正規窓口を迂回した非公式依頼が増えて SCM 外の変更を誘発する。SWEBOK も利用者へのフォローアップフィードバックの決定を求める。</t>
        </is>
      </c>
      <c r="H17" s="4" t="inlineStr">
        <is>
          <t>swebok-v4a.pdf ch07 Software Maintenance &gt; 2.1.3 Impact Analysis(follow-up feedback to users)</t>
        </is>
      </c>
      <c r="I17" s="4" t="inlineStr">
        <is>
          <t>CORE</t>
        </is>
      </c>
      <c r="J17" s="4" t="inlineStr">
        <is>
          <t>原則適用。案件スコープ・成果物・規制・リスク上非該当の場合はN/A根拠を記録。</t>
        </is>
      </c>
      <c r="K17" s="4" t="inlineStr">
        <is>
          <t>SRC-SWEBOK-V4A</t>
        </is>
      </c>
      <c r="L17" s="4" t="inlineStr"/>
      <c r="M17" s="4" t="n"/>
      <c r="N17" s="4" t="n"/>
      <c r="O17" s="4" t="n"/>
      <c r="P17" s="4" t="n"/>
      <c r="Q17" s="4" t="n"/>
      <c r="R17" s="4" t="n"/>
      <c r="S17" s="4" t="n"/>
      <c r="T17" s="4" t="n"/>
      <c r="U17" s="4" t="n"/>
      <c r="V17" s="4" t="n"/>
      <c r="W17" s="4" t="n"/>
    </row>
    <row r="18">
      <c r="A18" s="5" t="inlineStr">
        <is>
          <t>MNT-040</t>
        </is>
      </c>
      <c r="B18" s="5" t="inlineStr">
        <is>
          <t>SWEBOK</t>
        </is>
      </c>
      <c r="C18" s="4" t="inlineStr">
        <is>
          <t>3. 影響分析(MNT-040〜)</t>
        </is>
      </c>
      <c r="D18" s="8" t="inlineStr">
        <is>
          <t>Critical</t>
        </is>
      </c>
      <c r="E18" s="4" t="inlineStr">
        <is>
          <t>変更内容と変更理由が記述されている</t>
        </is>
      </c>
      <c r="F18" s="4" t="inlineStr">
        <is>
          <t>何を・なぜ変えるかが第三者に伝わる文章で書かれ、対象 MR/PR の ID が参照されている</t>
        </is>
      </c>
      <c r="G18" s="4" t="inlineStr">
        <is>
          <t>変更要求はまずソフトウェアの言葉に翻訳・分析される必要がある。何を・なぜ変えるかが書かれていないと、影響分析もレビューも対象を誤り、意図と異なる改修が実装される。</t>
        </is>
      </c>
      <c r="H18" s="4" t="inlineStr">
        <is>
          <t>swebok-v4a.pdf ch07 Software Maintenance &gt; 2.1.3 Impact Analysis(change request の分析と翻訳)</t>
        </is>
      </c>
      <c r="I18" s="4" t="inlineStr">
        <is>
          <t>CORE</t>
        </is>
      </c>
      <c r="J18" s="4" t="inlineStr">
        <is>
          <t>原則適用。案件スコープ・成果物・規制・リスク上非該当の場合はN/A根拠を記録。</t>
        </is>
      </c>
      <c r="K18" s="4" t="inlineStr">
        <is>
          <t>SRC-SWEBOK-V4A</t>
        </is>
      </c>
      <c r="L18" s="4" t="inlineStr"/>
      <c r="M18" s="4" t="n"/>
      <c r="N18" s="4" t="n"/>
      <c r="O18" s="4" t="n"/>
      <c r="P18" s="4" t="n"/>
      <c r="Q18" s="4" t="n"/>
      <c r="R18" s="4" t="n"/>
      <c r="S18" s="4" t="n"/>
      <c r="T18" s="4" t="n"/>
      <c r="U18" s="4" t="n"/>
      <c r="V18" s="4" t="n"/>
      <c r="W18" s="4" t="n"/>
    </row>
    <row r="19">
      <c r="A19" s="5" t="inlineStr">
        <is>
          <t>MNT-041</t>
        </is>
      </c>
      <c r="B19" s="5" t="inlineStr">
        <is>
          <t>SWEBOK</t>
        </is>
      </c>
      <c r="C19" s="4" t="inlineStr">
        <is>
          <t>3. 影響分析(MNT-040〜)</t>
        </is>
      </c>
      <c r="D19" s="8" t="inlineStr">
        <is>
          <t>Critical</t>
        </is>
      </c>
      <c r="E19" s="4" t="inlineStr">
        <is>
          <t>影響範囲がモジュール/データ/インタフェース/ドキュメント/他システムの観点で特定されている</t>
        </is>
      </c>
      <c r="F19" s="4" t="inlineStr">
        <is>
          <t>5観点それぞれについて影響の有無と対象一覧が記載され、「影響なし」にも判断根拠がある</t>
        </is>
      </c>
      <c r="G19" s="4" t="inlineStr">
        <is>
          <t>影響分析は変更で影響を受ける「すべてのシステムとソフトウェア製品」の特定を求める。観点漏れ(特に他システム・ドキュメント)は、リリース後の連携障害や文書と実装の乖離として跳ね返る。</t>
        </is>
      </c>
      <c r="H19" s="4" t="inlineStr">
        <is>
          <t>swebok-v4a.pdf ch07 Software Maintenance &gt; 2.1.3 Impact Analysis</t>
        </is>
      </c>
      <c r="I19" s="4" t="inlineStr">
        <is>
          <t>CORE</t>
        </is>
      </c>
      <c r="J19" s="4" t="inlineStr">
        <is>
          <t>原則適用。案件スコープ・成果物・規制・リスク上非該当の場合はN/A根拠を記録。</t>
        </is>
      </c>
      <c r="K19" s="4" t="inlineStr">
        <is>
          <t>SRC-SWEBOK-V4A</t>
        </is>
      </c>
      <c r="L19" s="4" t="inlineStr"/>
      <c r="M19" s="4" t="n"/>
      <c r="N19" s="4" t="n"/>
      <c r="O19" s="4" t="n"/>
      <c r="P19" s="4" t="n"/>
      <c r="Q19" s="4" t="n"/>
      <c r="R19" s="4" t="n"/>
      <c r="S19" s="4" t="n"/>
      <c r="T19" s="4" t="n"/>
      <c r="U19" s="4" t="n"/>
      <c r="V19" s="4" t="n"/>
      <c r="W19" s="4" t="n"/>
    </row>
    <row r="20">
      <c r="A20" s="5" t="inlineStr">
        <is>
          <t>MNT-042</t>
        </is>
      </c>
      <c r="B20" s="5" t="inlineStr">
        <is>
          <t>SWEBOK</t>
        </is>
      </c>
      <c r="C20" s="4" t="inlineStr">
        <is>
          <t>3. 影響分析(MNT-040〜)</t>
        </is>
      </c>
      <c r="D20" s="8" t="inlineStr">
        <is>
          <t>Critical</t>
        </is>
      </c>
      <c r="E20" s="4" t="inlineStr">
        <is>
          <t>影響範囲の特定方法が明記されている</t>
        </is>
      </c>
      <c r="F20" s="4" t="inlineStr">
        <is>
          <t>依存関係解析・クロスリファレンス・コールグラフ等のツール名または目視調査の範囲が書かれ、再現可能である</t>
        </is>
      </c>
      <c r="G20" s="4" t="inlineStr">
        <is>
          <t>特定方法が書かれていない影響範囲は「勘」と区別できず、レビュー者が妥当性を検証できない。他人が開発した大規模ソフトでは構造知識をツールで補うことが不可欠である。</t>
        </is>
      </c>
      <c r="H20" s="4" t="inlineStr">
        <is>
          <t>swebok-v4a.pdf ch07 Software Maintenance &gt; 2.1.3 Impact Analysis / 5. Software Maintenance Tools(依存関係解析・クロスリファレンス)</t>
        </is>
      </c>
      <c r="I20" s="4" t="inlineStr">
        <is>
          <t>CORE</t>
        </is>
      </c>
      <c r="J20" s="4" t="inlineStr">
        <is>
          <t>原則適用。案件スコープ・成果物・規制・リスク上非該当の場合はN/A根拠を記録。</t>
        </is>
      </c>
      <c r="K20" s="4" t="inlineStr">
        <is>
          <t>SRC-SWEBOK-V4A</t>
        </is>
      </c>
      <c r="L20" s="4" t="inlineStr"/>
      <c r="M20" s="4" t="n"/>
      <c r="N20" s="4" t="n"/>
      <c r="O20" s="4" t="n"/>
      <c r="P20" s="4" t="n"/>
      <c r="Q20" s="4" t="n"/>
      <c r="R20" s="4" t="n"/>
      <c r="S20" s="4" t="n"/>
      <c r="T20" s="4" t="n"/>
      <c r="U20" s="4" t="n"/>
      <c r="V20" s="4" t="n"/>
      <c r="W20" s="4" t="n"/>
    </row>
    <row r="21">
      <c r="A21" s="5" t="inlineStr">
        <is>
          <t>MNT-043</t>
        </is>
      </c>
      <c r="B21" s="5" t="inlineStr">
        <is>
          <t>SWEBOK</t>
        </is>
      </c>
      <c r="C21" s="4" t="inlineStr">
        <is>
          <t>3. 影響分析(MNT-040〜)</t>
        </is>
      </c>
      <c r="D21" s="8" t="inlineStr">
        <is>
          <t>Critical</t>
        </is>
      </c>
      <c r="E21" s="4" t="inlineStr">
        <is>
          <t>回帰テスト範囲が影響分析結果と対応している</t>
        </is>
      </c>
      <c r="F21" s="4" t="inlineStr">
        <is>
          <t>回帰テスト対象の選定根拠が影響範囲の記述と1対1で対応付けられている</t>
        </is>
      </c>
      <c r="G21" s="4" t="inlineStr">
        <is>
          <t>回帰テストは「修正が意図しない影響を及ぼしていないか」の選択的再テストであり、影響分析と紐付かない範囲選定は、影響箇所のテスト漏れ(デグレード見逃し)を生む。</t>
        </is>
      </c>
      <c r="H21" s="4" t="inlineStr">
        <is>
          <t>swebok-v4a.pdf ch07 Software Maintenance &gt; 2.1.2 Testing(Regression testing)/ 2.1.3 Impact Analysis</t>
        </is>
      </c>
      <c r="I21" s="4" t="inlineStr">
        <is>
          <t>CORE</t>
        </is>
      </c>
      <c r="J21" s="4" t="inlineStr">
        <is>
          <t>原則適用。案件スコープ・成果物・規制・リスク上非該当の場合はN/A根拠を記録。</t>
        </is>
      </c>
      <c r="K21" s="4" t="inlineStr">
        <is>
          <t>SRC-SWEBOK-V4A</t>
        </is>
      </c>
      <c r="L21" s="4" t="inlineStr"/>
      <c r="M21" s="4" t="n"/>
      <c r="N21" s="4" t="n"/>
      <c r="O21" s="4" t="n"/>
      <c r="P21" s="4" t="n"/>
      <c r="Q21" s="4" t="n"/>
      <c r="R21" s="4" t="n"/>
      <c r="S21" s="4" t="n"/>
      <c r="T21" s="4" t="n"/>
      <c r="U21" s="4" t="n"/>
      <c r="V21" s="4" t="n"/>
      <c r="W21" s="4" t="n"/>
    </row>
    <row r="22">
      <c r="A22" s="5" t="inlineStr">
        <is>
          <t>MNT-044</t>
        </is>
      </c>
      <c r="B22" s="5" t="inlineStr">
        <is>
          <t>SWEBOK</t>
        </is>
      </c>
      <c r="C22" s="4" t="inlineStr">
        <is>
          <t>3. 影響分析(MNT-040〜)</t>
        </is>
      </c>
      <c r="D22" s="9" t="inlineStr">
        <is>
          <t>High</t>
        </is>
      </c>
      <c r="E22" s="4" t="inlineStr">
        <is>
          <t>工数見積りに内訳がある</t>
        </is>
      </c>
      <c r="F22" s="4" t="inlineStr">
        <is>
          <t>実装・回帰テスト・ドキュメント更新の工数が分離して見積られている</t>
        </is>
      </c>
      <c r="G22" s="4" t="inlineStr">
        <is>
          <t>影響分析は変更実施に必要な資源見積りの作成を含む。実装のみの見積りだとテスト・文書更新が「サービス残業」化し、文書未更新や試験省略の温床になる。</t>
        </is>
      </c>
      <c r="H22" s="4" t="inlineStr">
        <is>
          <t>swebok-v4a.pdf ch07 Software Maintenance &gt; 2.1.3 Impact Analysis(資源見積り)/ 2.3.2 Maintenance Cost Estimation(MR ごとの工数・期間見積り)</t>
        </is>
      </c>
      <c r="I22" s="4" t="inlineStr">
        <is>
          <t>CORE</t>
        </is>
      </c>
      <c r="J22" s="4" t="inlineStr">
        <is>
          <t>原則適用。案件スコープ・成果物・規制・リスク上非該当の場合はN/A根拠を記録。</t>
        </is>
      </c>
      <c r="K22" s="4" t="inlineStr">
        <is>
          <t>SRC-SWEBOK-V4A</t>
        </is>
      </c>
      <c r="L22" s="4" t="inlineStr"/>
      <c r="M22" s="4" t="n"/>
      <c r="N22" s="4" t="n"/>
      <c r="O22" s="4" t="n"/>
      <c r="P22" s="4" t="n"/>
      <c r="Q22" s="4" t="n"/>
      <c r="R22" s="4" t="n"/>
      <c r="S22" s="4" t="n"/>
      <c r="T22" s="4" t="n"/>
      <c r="U22" s="4" t="n"/>
      <c r="V22" s="4" t="n"/>
      <c r="W22" s="4" t="n"/>
    </row>
    <row r="23">
      <c r="A23" s="5" t="inlineStr">
        <is>
          <t>MNT-045</t>
        </is>
      </c>
      <c r="B23" s="5" t="inlineStr">
        <is>
          <t>SWEBOK</t>
        </is>
      </c>
      <c r="C23" s="4" t="inlineStr">
        <is>
          <t>3. 影響分析(MNT-040〜)</t>
        </is>
      </c>
      <c r="D23" s="9" t="inlineStr">
        <is>
          <t>High</t>
        </is>
      </c>
      <c r="E23" s="4" t="inlineStr">
        <is>
          <t>回帰・性能・セキュリティのリスクが評価されている</t>
        </is>
      </c>
      <c r="F23" s="4" t="inlineStr">
        <is>
          <t>3観点のリスクの有無と、有の場合の軽減策が記述されている</t>
        </is>
      </c>
      <c r="G23" s="4" t="inlineStr">
        <is>
          <t>SWEBOK は影響分析で変更のリスク(性能・安全・セキュリティへの影響を含む)の判定を求める。リスク未評価の変更は、機能的には正しくても性能劣化やセキュリティホールを持ち込む。</t>
        </is>
      </c>
      <c r="H23" s="4" t="inlineStr">
        <is>
          <t>swebok-v4a.pdf ch07 Software Maintenance &gt; 2.1.3 Impact Analysis(リスクと性能・安全・セキュリティ影響の考慮)</t>
        </is>
      </c>
      <c r="I23" s="4" t="inlineStr">
        <is>
          <t>CORE</t>
        </is>
      </c>
      <c r="J23" s="4" t="inlineStr">
        <is>
          <t>原則適用。案件スコープ・成果物・規制・リスク上非該当の場合はN/A根拠を記録。</t>
        </is>
      </c>
      <c r="K23" s="4" t="inlineStr">
        <is>
          <t>SRC-SWEBOK-V4A</t>
        </is>
      </c>
      <c r="L23" s="4" t="inlineStr"/>
      <c r="M23" s="4" t="n"/>
      <c r="N23" s="4" t="n"/>
      <c r="O23" s="4" t="n"/>
      <c r="P23" s="4" t="n"/>
      <c r="Q23" s="4" t="n"/>
      <c r="R23" s="4" t="n"/>
      <c r="S23" s="4" t="n"/>
      <c r="T23" s="4" t="n"/>
      <c r="U23" s="4" t="n"/>
      <c r="V23" s="4" t="n"/>
      <c r="W23" s="4" t="n"/>
    </row>
    <row r="24">
      <c r="A24" s="5" t="inlineStr">
        <is>
          <t>MNT-046</t>
        </is>
      </c>
      <c r="B24" s="5" t="inlineStr">
        <is>
          <t>SWEBOK</t>
        </is>
      </c>
      <c r="C24" s="4" t="inlineStr">
        <is>
          <t>3. 影響分析(MNT-040〜)</t>
        </is>
      </c>
      <c r="D24" s="9" t="inlineStr">
        <is>
          <t>High</t>
        </is>
      </c>
      <c r="E24" s="4" t="inlineStr">
        <is>
          <t>データベーススキーマ・永続データへの影響が評価されている</t>
        </is>
      </c>
      <c r="F24" s="4" t="inlineStr">
        <is>
          <t>スキーマ変更・データ移行の要否が明記され、必要な場合は移行/切戻し手順への参照がある</t>
        </is>
      </c>
      <c r="G24" s="4" t="inlineStr">
        <is>
          <t>スキーマ・永続データはコードと違い切戻しが困難で、移行ミスは業務データ破損という不可逆な事故になる。影響有無と移行/切戻し手順の事前確認で不可逆リスクを抑える。</t>
        </is>
      </c>
      <c r="H24" s="4" t="inlineStr">
        <is>
          <t>実務補完(2.1.3 Impact Analysis の適用詳細化、4.3 のデータリバースエンジニアリングが背景)</t>
        </is>
      </c>
      <c r="I24" s="4" t="inlineStr">
        <is>
          <t>CORE</t>
        </is>
      </c>
      <c r="J24" s="4" t="inlineStr">
        <is>
          <t>原則適用。案件スコープ・成果物・規制・リスク上非該当の場合はN/A根拠を記録。</t>
        </is>
      </c>
      <c r="K24" s="4" t="inlineStr">
        <is>
          <t>SRC-PRACTICE</t>
        </is>
      </c>
      <c r="L24" s="4" t="inlineStr"/>
      <c r="M24" s="4" t="n"/>
      <c r="N24" s="4" t="n"/>
      <c r="O24" s="4" t="n"/>
      <c r="P24" s="4" t="n"/>
      <c r="Q24" s="4" t="n"/>
      <c r="R24" s="4" t="n"/>
      <c r="S24" s="4" t="n"/>
      <c r="T24" s="4" t="n"/>
      <c r="U24" s="4" t="n"/>
      <c r="V24" s="4" t="n"/>
      <c r="W24" s="4" t="n"/>
    </row>
    <row r="25">
      <c r="A25" s="5" t="inlineStr">
        <is>
          <t>MNT-047</t>
        </is>
      </c>
      <c r="B25" s="5" t="inlineStr">
        <is>
          <t>SWEBOK</t>
        </is>
      </c>
      <c r="C25" s="4" t="inlineStr">
        <is>
          <t>3. 影響分析(MNT-040〜)</t>
        </is>
      </c>
      <c r="D25" s="10" t="inlineStr">
        <is>
          <t>Medium</t>
        </is>
      </c>
      <c r="E25" s="4" t="inlineStr">
        <is>
          <t>外部インタフェース利用者(他システム・API 利用者)への通知要否が判定されている</t>
        </is>
      </c>
      <c r="F25" s="4" t="inlineStr">
        <is>
          <t>互換性影響の有無と、影響ありの場合の通知先・通知時期が記載されている</t>
        </is>
      </c>
      <c r="G25" s="4" t="inlineStr">
        <is>
          <t>変更は連携先システムや API 利用者に波及する。通知要否の判定を落とすと、自システムは正常でも利用者側が予告なく壊れ、信頼問題と緊急対応を誘発する。</t>
        </is>
      </c>
      <c r="H25" s="4" t="inlineStr">
        <is>
          <t>swebok-v4a.pdf ch07 Software Maintenance &gt; 2.1.3 Impact Analysis(影響を受ける全システムの特定、利用者への報告事項の識別)</t>
        </is>
      </c>
      <c r="I25" s="4" t="inlineStr">
        <is>
          <t>CORE</t>
        </is>
      </c>
      <c r="J25" s="4" t="inlineStr">
        <is>
          <t>原則適用。案件スコープ・成果物・規制・リスク上非該当の場合はN/A根拠を記録。</t>
        </is>
      </c>
      <c r="K25" s="4" t="inlineStr">
        <is>
          <t>SRC-SWEBOK-V4A</t>
        </is>
      </c>
      <c r="L25" s="4" t="inlineStr"/>
      <c r="M25" s="4" t="n"/>
      <c r="N25" s="4" t="n"/>
      <c r="O25" s="4" t="n"/>
      <c r="P25" s="4" t="n"/>
      <c r="Q25" s="4" t="n"/>
      <c r="R25" s="4" t="n"/>
      <c r="S25" s="4" t="n"/>
      <c r="T25" s="4" t="n"/>
      <c r="U25" s="4" t="n"/>
      <c r="V25" s="4" t="n"/>
      <c r="W25" s="4" t="n"/>
    </row>
    <row r="26">
      <c r="A26" s="5" t="inlineStr">
        <is>
          <t>MNT-048</t>
        </is>
      </c>
      <c r="B26" s="5" t="inlineStr">
        <is>
          <t>SWEBOK</t>
        </is>
      </c>
      <c r="C26" s="4" t="inlineStr">
        <is>
          <t>3. 影響分析(MNT-040〜)</t>
        </is>
      </c>
      <c r="D26" s="9" t="inlineStr">
        <is>
          <t>High</t>
        </is>
      </c>
      <c r="E26" s="4" t="inlineStr">
        <is>
          <t>実施可否の判定と承認記録がある</t>
        </is>
      </c>
      <c r="F26" s="4" t="inlineStr">
        <is>
          <t>承認者・承認日・判定結果が記録されている</t>
        </is>
      </c>
      <c r="G26" s="4" t="inlineStr">
        <is>
          <t>影響分析の結論は複数案の比較と実施推奨であり、承認記録がないと「誰の判断で本番を変えたのか」が不明になり、変更管理(SCM)の承認統制が形骸化する。</t>
        </is>
      </c>
      <c r="H26" s="4" t="inlineStr">
        <is>
          <t>swebok-v4a.pdf ch07 Software Maintenance &gt; 2.1.3 Impact Analysis(course of action の推奨)/ 3.2.3 Configuration Management(承認された変更のみ実施)</t>
        </is>
      </c>
      <c r="I26" s="4" t="inlineStr">
        <is>
          <t>CORE</t>
        </is>
      </c>
      <c r="J26" s="4" t="inlineStr">
        <is>
          <t>原則適用。案件スコープ・成果物・規制・リスク上非該当の場合はN/A根拠を記録。</t>
        </is>
      </c>
      <c r="K26" s="4" t="inlineStr">
        <is>
          <t>SRC-SWEBOK-V4A</t>
        </is>
      </c>
      <c r="L26" s="4" t="inlineStr"/>
      <c r="M26" s="4" t="n"/>
      <c r="N26" s="4" t="n"/>
      <c r="O26" s="4" t="n"/>
      <c r="P26" s="4" t="n"/>
      <c r="Q26" s="4" t="n"/>
      <c r="R26" s="4" t="n"/>
      <c r="S26" s="4" t="n"/>
      <c r="T26" s="4" t="n"/>
      <c r="U26" s="4" t="n"/>
      <c r="V26" s="4" t="n"/>
      <c r="W26" s="4" t="n"/>
    </row>
    <row r="27">
      <c r="A27" s="5" t="inlineStr">
        <is>
          <t>MNT-049</t>
        </is>
      </c>
      <c r="B27" s="5" t="inlineStr">
        <is>
          <t>SWEBOK</t>
        </is>
      </c>
      <c r="C27" s="4" t="inlineStr">
        <is>
          <t>3. 影響分析(MNT-040〜)</t>
        </is>
      </c>
      <c r="D27" s="10" t="inlineStr">
        <is>
          <t>Medium</t>
        </is>
      </c>
      <c r="E27" s="4" t="inlineStr">
        <is>
          <t>変更しない選択肢(見送り)の検討が可能な情報が揃っている</t>
        </is>
      </c>
      <c r="F27" s="4" t="inlineStr">
        <is>
          <t>放置した場合の影響またはビジネス上の必要性が記述されている</t>
        </is>
      </c>
      <c r="G27" s="4" t="inlineStr">
        <is>
          <t>保守は新機能開発と資源を奪い合うため、「変えない」判断も経営判断として必要である。放置時影響が書かれていないと、見送り判断が根拠なく先送りされ技術的負債化する。</t>
        </is>
      </c>
      <c r="H27" s="4" t="inlineStr">
        <is>
          <t>swebok-v4a.pdf ch07 Software Maintenance &gt; 2.2.1 Alignment with Organizational Objectives</t>
        </is>
      </c>
      <c r="I27" s="4" t="inlineStr">
        <is>
          <t>CORE</t>
        </is>
      </c>
      <c r="J27" s="4" t="inlineStr">
        <is>
          <t>原則適用。案件スコープ・成果物・規制・リスク上非該当の場合はN/A根拠を記録。</t>
        </is>
      </c>
      <c r="K27" s="4" t="inlineStr">
        <is>
          <t>SRC-SWEBOK-V4A</t>
        </is>
      </c>
      <c r="L27" s="4" t="inlineStr"/>
      <c r="M27" s="4" t="n"/>
      <c r="N27" s="4" t="n"/>
      <c r="O27" s="4" t="n"/>
      <c r="P27" s="4" t="n"/>
      <c r="Q27" s="4" t="n"/>
      <c r="R27" s="4" t="n"/>
      <c r="S27" s="4" t="n"/>
      <c r="T27" s="4" t="n"/>
      <c r="U27" s="4" t="n"/>
      <c r="V27" s="4" t="n"/>
      <c r="W27" s="4" t="n"/>
    </row>
    <row r="28">
      <c r="A28" s="5" t="inlineStr">
        <is>
          <t>MNT-060</t>
        </is>
      </c>
      <c r="B28" s="5" t="inlineStr">
        <is>
          <t>SWEBOK</t>
        </is>
      </c>
      <c r="C28" s="4" t="inlineStr">
        <is>
          <t>4. 保守性と技術的負債(MNT-060〜)</t>
        </is>
      </c>
      <c r="D28" s="8" t="inlineStr">
        <is>
          <t>Critical</t>
        </is>
      </c>
      <c r="E28" s="4" t="inlineStr">
        <is>
          <t>技術的負債管理台帳の各項目が具体的箇所に紐付いている</t>
        </is>
      </c>
      <c r="F28" s="4" t="inlineStr">
        <is>
          <t>全項目にファイル/モジュール/コンポーネント名または計測レポートへの参照があり、根拠のない項目が0件である</t>
        </is>
      </c>
      <c r="G28" s="4" t="inlineStr">
        <is>
          <t>具体箇所に紐付かない負債項目(「コードが汚い」等)は返済作業に着手できず、台帳が愚痴リストと化す。ツール計測や箇所特定により返済可能な単位で管理させる。</t>
        </is>
      </c>
      <c r="H28" s="4" t="inlineStr">
        <is>
          <t>swebok-v4a.pdf ch07 Software Maintenance &gt; 2.3.1 Technical Debt Cost Estimation(サイズ・複雑度・違反数等の指標による計測)</t>
        </is>
      </c>
      <c r="I28" s="4" t="inlineStr">
        <is>
          <t>CORE</t>
        </is>
      </c>
      <c r="J28" s="4" t="inlineStr">
        <is>
          <t>原則適用。案件スコープ・成果物・規制・リスク上非該当の場合はN/A根拠を記録。</t>
        </is>
      </c>
      <c r="K28" s="4" t="inlineStr">
        <is>
          <t>SRC-SWEBOK-V4A</t>
        </is>
      </c>
      <c r="L28" s="4" t="inlineStr"/>
      <c r="M28" s="4" t="n"/>
      <c r="N28" s="4" t="n"/>
      <c r="O28" s="4" t="n"/>
      <c r="P28" s="4" t="n"/>
      <c r="Q28" s="4" t="n"/>
      <c r="R28" s="4" t="n"/>
      <c r="S28" s="4" t="n"/>
      <c r="T28" s="4" t="n"/>
      <c r="U28" s="4" t="n"/>
      <c r="V28" s="4" t="n"/>
      <c r="W28" s="4" t="n"/>
    </row>
    <row r="29">
      <c r="A29" s="5" t="inlineStr">
        <is>
          <t>MNT-061</t>
        </is>
      </c>
      <c r="B29" s="5" t="inlineStr">
        <is>
          <t>SWEBOK</t>
        </is>
      </c>
      <c r="C29" s="4" t="inlineStr">
        <is>
          <t>4. 保守性と技術的負債(MNT-060〜)</t>
        </is>
      </c>
      <c r="D29" s="8" t="inlineStr">
        <is>
          <t>Critical</t>
        </is>
      </c>
      <c r="E29" s="4" t="inlineStr">
        <is>
          <t>各負債に放置リスクと返済コスト見積りが付与されている</t>
        </is>
      </c>
      <c r="F29" s="4" t="inlineStr">
        <is>
          <t>全項目にリスク記述と工数または規模の見積りがある</t>
        </is>
      </c>
      <c r="G29" s="4" t="inlineStr">
        <is>
          <t>SWEBOK は「現在の品質・負債の程度・品質向上投資の節約効果・事業影響」の把握を求める。リスクと返済コストがないと投資対効果を比較できず、負債返済は永遠に新機能に負ける。</t>
        </is>
      </c>
      <c r="H29" s="4" t="inlineStr">
        <is>
          <t>swebok-v4a.pdf ch07 Software Maintenance &gt; 2.3.1 Technical Debt Cost Estimation</t>
        </is>
      </c>
      <c r="I29" s="4" t="inlineStr">
        <is>
          <t>CORE</t>
        </is>
      </c>
      <c r="J29" s="4" t="inlineStr">
        <is>
          <t>原則適用。案件スコープ・成果物・規制・リスク上非該当の場合はN/A根拠を記録。</t>
        </is>
      </c>
      <c r="K29" s="4" t="inlineStr">
        <is>
          <t>SRC-SWEBOK-V4A</t>
        </is>
      </c>
      <c r="L29" s="4" t="inlineStr">
        <is>
          <t>COST</t>
        </is>
      </c>
      <c r="M29" s="4" t="n"/>
      <c r="N29" s="4" t="n"/>
      <c r="O29" s="4" t="n"/>
      <c r="P29" s="4" t="n"/>
      <c r="Q29" s="4" t="n"/>
      <c r="R29" s="4" t="n"/>
      <c r="S29" s="4" t="n"/>
      <c r="T29" s="4" t="n"/>
      <c r="U29" s="4" t="n"/>
      <c r="V29" s="4" t="n"/>
      <c r="W29" s="4" t="n"/>
    </row>
    <row r="30">
      <c r="A30" s="5" t="inlineStr">
        <is>
          <t>MNT-062</t>
        </is>
      </c>
      <c r="B30" s="5" t="inlineStr">
        <is>
          <t>SWEBOK</t>
        </is>
      </c>
      <c r="C30" s="4" t="inlineStr">
        <is>
          <t>4. 保守性と技術的負債(MNT-060〜)</t>
        </is>
      </c>
      <c r="D30" s="9" t="inlineStr">
        <is>
          <t>High</t>
        </is>
      </c>
      <c r="E30" s="4" t="inlineStr">
        <is>
          <t>負債の分類が定義され適用されている</t>
        </is>
      </c>
      <c r="F30" s="4" t="inlineStr">
        <is>
          <t>コード・設計・テスト・ドキュメント・インフラ等の分類が定義され、全項目に付与されている</t>
        </is>
      </c>
      <c r="G30" s="4" t="inlineStr">
        <is>
          <t>負債の分類がないと、コード品質の問題とプロセス・チームの問題が混同され、対処先を誤る。SWEBOK も負債を単独でなく根本原因の検討とともに扱うことを求める。</t>
        </is>
      </c>
      <c r="H30" s="4" t="inlineStr">
        <is>
          <t>swebok-v4a.pdf ch07 Software Maintenance &gt; 2.3.1 Technical Debt Cost Estimation(根本原因の検討)/ 実務補完(負債分類の実務慣行)</t>
        </is>
      </c>
      <c r="I30" s="4" t="inlineStr">
        <is>
          <t>CORE</t>
        </is>
      </c>
      <c r="J30" s="4" t="inlineStr">
        <is>
          <t>原則適用。案件スコープ・成果物・規制・リスク上非該当の場合はN/A根拠を記録。</t>
        </is>
      </c>
      <c r="K30" s="4" t="inlineStr">
        <is>
          <t>SRC-SWEBOK-V4A;SRC-PRACTICE</t>
        </is>
      </c>
      <c r="L30" s="4" t="inlineStr"/>
      <c r="M30" s="4" t="n"/>
      <c r="N30" s="4" t="n"/>
      <c r="O30" s="4" t="n"/>
      <c r="P30" s="4" t="n"/>
      <c r="Q30" s="4" t="n"/>
      <c r="R30" s="4" t="n"/>
      <c r="S30" s="4" t="n"/>
      <c r="T30" s="4" t="n"/>
      <c r="U30" s="4" t="n"/>
      <c r="V30" s="4" t="n"/>
      <c r="W30" s="4" t="n"/>
    </row>
    <row r="31">
      <c r="A31" s="5" t="inlineStr">
        <is>
          <t>MNT-063</t>
        </is>
      </c>
      <c r="B31" s="5" t="inlineStr">
        <is>
          <t>SWEBOK</t>
        </is>
      </c>
      <c r="C31" s="4" t="inlineStr">
        <is>
          <t>4. 保守性と技術的負債(MNT-060〜)</t>
        </is>
      </c>
      <c r="D31" s="9" t="inlineStr">
        <is>
          <t>High</t>
        </is>
      </c>
      <c r="E31" s="4" t="inlineStr">
        <is>
          <t>負債の計測方法が定義されている</t>
        </is>
      </c>
      <c r="F31" s="4" t="inlineStr">
        <is>
          <t>静的解析・品質評価ツールの名称と計測指標(複雑度・重複・違反数・カバレッジ等)が明記されている</t>
        </is>
      </c>
      <c r="G31" s="4" t="inlineStr">
        <is>
          <t>計測方法が未定義だと負債の増減が判定できず、返済活動の効果を示せない。複雑度・違反数などツールで取得可能な指標の明示が改善サイクルの前提になる。</t>
        </is>
      </c>
      <c r="H31" s="4" t="inlineStr">
        <is>
          <t>swebok-v4a.pdf ch07 Software Maintenance &gt; 2.3.1 Technical Debt Cost Estimation / 2.4 Software Maintenance Measurement(複雑度・技術的負債の計測ツール)</t>
        </is>
      </c>
      <c r="I31" s="4" t="inlineStr">
        <is>
          <t>CORE</t>
        </is>
      </c>
      <c r="J31" s="4" t="inlineStr">
        <is>
          <t>原則適用。案件スコープ・成果物・規制・リスク上非該当の場合はN/A根拠を記録。</t>
        </is>
      </c>
      <c r="K31" s="4" t="inlineStr">
        <is>
          <t>SRC-SWEBOK-V4A</t>
        </is>
      </c>
      <c r="L31" s="4" t="inlineStr"/>
      <c r="M31" s="4" t="n"/>
      <c r="N31" s="4" t="n"/>
      <c r="O31" s="4" t="n"/>
      <c r="P31" s="4" t="n"/>
      <c r="Q31" s="4" t="n"/>
      <c r="R31" s="4" t="n"/>
      <c r="S31" s="4" t="n"/>
      <c r="T31" s="4" t="n"/>
      <c r="U31" s="4" t="n"/>
      <c r="V31" s="4" t="n"/>
      <c r="W31" s="4" t="n"/>
    </row>
    <row r="32">
      <c r="A32" s="5" t="inlineStr">
        <is>
          <t>MNT-064</t>
        </is>
      </c>
      <c r="B32" s="5" t="inlineStr">
        <is>
          <t>SWEBOK</t>
        </is>
      </c>
      <c r="C32" s="4" t="inlineStr">
        <is>
          <t>4. 保守性と技術的負債(MNT-060〜)</t>
        </is>
      </c>
      <c r="D32" s="9" t="inlineStr">
        <is>
          <t>High</t>
        </is>
      </c>
      <c r="E32" s="4" t="inlineStr">
        <is>
          <t>優先順位付けの基準がある</t>
        </is>
      </c>
      <c r="F32" s="4" t="inlineStr">
        <is>
          <t>優先度の決め方(リスク×返済コスト等)が定義され、全項目に優先度がある</t>
        </is>
      </c>
      <c r="G32" s="4" t="inlineStr">
        <is>
          <t>「すべての技術的負債が緊急ではない」— 関連性・組織目標との整合を無視した一律返済は投資の無駄になる。優先順位基準により、事業影響の大きい負債から返済させる。</t>
        </is>
      </c>
      <c r="H32" s="4" t="inlineStr">
        <is>
          <t>swebok-v4a.pdf ch07 Software Maintenance &gt; 2.1.4 Maintainability(Code quality versus relevance / Alignment with organizational objectives)</t>
        </is>
      </c>
      <c r="I32" s="4" t="inlineStr">
        <is>
          <t>CORE</t>
        </is>
      </c>
      <c r="J32" s="4" t="inlineStr">
        <is>
          <t>原則適用。案件スコープ・成果物・規制・リスク上非該当の場合はN/A根拠を記録。</t>
        </is>
      </c>
      <c r="K32" s="4" t="inlineStr">
        <is>
          <t>SRC-SWEBOK-V4A</t>
        </is>
      </c>
      <c r="L32" s="4" t="inlineStr"/>
      <c r="M32" s="4" t="n"/>
      <c r="N32" s="4" t="n"/>
      <c r="O32" s="4" t="n"/>
      <c r="P32" s="4" t="n"/>
      <c r="Q32" s="4" t="n"/>
      <c r="R32" s="4" t="n"/>
      <c r="S32" s="4" t="n"/>
      <c r="T32" s="4" t="n"/>
      <c r="U32" s="4" t="n"/>
      <c r="V32" s="4" t="n"/>
      <c r="W32" s="4" t="n"/>
    </row>
    <row r="33">
      <c r="A33" s="5" t="inlineStr">
        <is>
          <t>MNT-065</t>
        </is>
      </c>
      <c r="B33" s="5" t="inlineStr">
        <is>
          <t>SWEBOK</t>
        </is>
      </c>
      <c r="C33" s="4" t="inlineStr">
        <is>
          <t>4. 保守性と技術的負債(MNT-060〜)</t>
        </is>
      </c>
      <c r="D33" s="10" t="inlineStr">
        <is>
          <t>Medium</t>
        </is>
      </c>
      <c r="E33" s="4" t="inlineStr">
        <is>
          <t>台帳に状態と日付が管理されている</t>
        </is>
      </c>
      <c r="F33" s="4" t="inlineStr">
        <is>
          <t>全項目に状態(未着手/計画済/返済済等)と起票日・更新日がある</t>
        </is>
      </c>
      <c r="G33" s="4" t="inlineStr">
        <is>
          <t>状態・日付のない台帳は返済の進捗が見えず、Lehman の法則が示す「対処しなければ複雑さは増大し続ける」状況を放置しているのと同じになる。</t>
        </is>
      </c>
      <c r="H33" s="4" t="inlineStr">
        <is>
          <t>swebok-v4a.pdf ch07 Software Maintenance &gt; 1.5 Evolution of Software(Increasing Complexity)/ 実務補完(台帳管理の実務)</t>
        </is>
      </c>
      <c r="I33" s="4" t="inlineStr">
        <is>
          <t>CORE</t>
        </is>
      </c>
      <c r="J33" s="4" t="inlineStr">
        <is>
          <t>原則適用。案件スコープ・成果物・規制・リスク上非該当の場合はN/A根拠を記録。</t>
        </is>
      </c>
      <c r="K33" s="4" t="inlineStr">
        <is>
          <t>SRC-SWEBOK-V4A;SRC-PRACTICE</t>
        </is>
      </c>
      <c r="L33" s="4" t="inlineStr"/>
      <c r="M33" s="4" t="n"/>
      <c r="N33" s="4" t="n"/>
      <c r="O33" s="4" t="n"/>
      <c r="P33" s="4" t="n"/>
      <c r="Q33" s="4" t="n"/>
      <c r="R33" s="4" t="n"/>
      <c r="S33" s="4" t="n"/>
      <c r="T33" s="4" t="n"/>
      <c r="U33" s="4" t="n"/>
      <c r="V33" s="4" t="n"/>
      <c r="W33" s="4" t="n"/>
    </row>
    <row r="34">
      <c r="A34" s="5" t="inlineStr">
        <is>
          <t>MNT-066</t>
        </is>
      </c>
      <c r="B34" s="5" t="inlineStr">
        <is>
          <t>SWEBOK</t>
        </is>
      </c>
      <c r="C34" s="4" t="inlineStr">
        <is>
          <t>4. 保守性と技術的負債(MNT-060〜)</t>
        </is>
      </c>
      <c r="D34" s="9" t="inlineStr">
        <is>
          <t>High</t>
        </is>
      </c>
      <c r="E34" s="4" t="inlineStr">
        <is>
          <t>保守性が ISO/IEC 25010 の特性で評価されている</t>
        </is>
      </c>
      <c r="F34" s="4" t="inlineStr">
        <is>
          <t>モジュール性・再利用性・解析性・修正性・試験性のうち評価対象とした特性と評価方法が明記されている</t>
        </is>
      </c>
      <c r="G34" s="4" t="inlineStr">
        <is>
          <t>保守性は「修正されうる能力」として開発中から仕様化・レビュー・統制すべき品質特性であり、モジュール性・解析性等の計測可能な特性で評価しないと、保守性の劣化に気付けない。</t>
        </is>
      </c>
      <c r="H34" s="4" t="inlineStr">
        <is>
          <t>swebok-v4a.pdf ch07 Software Maintenance &gt; 2.1.4 Maintainability / 2.4 Software Maintenance Measurement(Modularity/Reusability/Analyzability/Modifiability/Testability)</t>
        </is>
      </c>
      <c r="I34" s="4" t="inlineStr">
        <is>
          <t>CORE</t>
        </is>
      </c>
      <c r="J34" s="4" t="inlineStr">
        <is>
          <t>原則適用。案件スコープ・成果物・規制・リスク上非該当の場合はN/A根拠を記録。</t>
        </is>
      </c>
      <c r="K34" s="4" t="inlineStr">
        <is>
          <t>SRC-SWEBOK-V4A</t>
        </is>
      </c>
      <c r="L34" s="4" t="inlineStr"/>
      <c r="M34" s="4" t="n"/>
      <c r="N34" s="4" t="n"/>
      <c r="O34" s="4" t="n"/>
      <c r="P34" s="4" t="n"/>
      <c r="Q34" s="4" t="n"/>
      <c r="R34" s="4" t="n"/>
      <c r="S34" s="4" t="n"/>
      <c r="T34" s="4" t="n"/>
      <c r="U34" s="4" t="n"/>
      <c r="V34" s="4" t="n"/>
      <c r="W34" s="4" t="n"/>
    </row>
    <row r="35">
      <c r="A35" s="5" t="inlineStr">
        <is>
          <t>MNT-067</t>
        </is>
      </c>
      <c r="B35" s="5" t="inlineStr">
        <is>
          <t>SWEBOK</t>
        </is>
      </c>
      <c r="C35" s="4" t="inlineStr">
        <is>
          <t>4. 保守性と技術的負債(MNT-060〜)</t>
        </is>
      </c>
      <c r="D35" s="10" t="inlineStr">
        <is>
          <t>Medium</t>
        </is>
      </c>
      <c r="E35" s="4" t="inlineStr">
        <is>
          <t>新規開発・改修時に負債を作り込まないための基準への参照がある</t>
        </is>
      </c>
      <c r="F35" s="4" t="inlineStr">
        <is>
          <t>コーディング規約・静的解析ゲート・レビュー基準など予防策への参照が記載されている</t>
        </is>
      </c>
      <c r="G35" s="4" t="inlineStr">
        <is>
          <t>負債は時間制約下の即席対応・レビュー省略から蓄積する。ISO/IEC/IEEE 14764 が挙げる可読性確保・複雑度低減・インスペクション等の予防策への参照がないと、返済と同じ速度で新規負債が作られる。</t>
        </is>
      </c>
      <c r="H35" s="4" t="inlineStr">
        <is>
          <t>swebok-v4a.pdf ch07 Software Maintenance &gt; 2.3.1 Technical Debt Cost Estimation(14764 の保守性向上策)</t>
        </is>
      </c>
      <c r="I35" s="4" t="inlineStr">
        <is>
          <t>CORE</t>
        </is>
      </c>
      <c r="J35" s="4" t="inlineStr">
        <is>
          <t>原則適用。案件スコープ・成果物・規制・リスク上非該当の場合はN/A根拠を記録。</t>
        </is>
      </c>
      <c r="K35" s="4" t="inlineStr">
        <is>
          <t>SRC-SWEBOK-V4A</t>
        </is>
      </c>
      <c r="L35" s="4" t="inlineStr"/>
      <c r="M35" s="4" t="n"/>
      <c r="N35" s="4" t="n"/>
      <c r="O35" s="4" t="n"/>
      <c r="P35" s="4" t="n"/>
      <c r="Q35" s="4" t="n"/>
      <c r="R35" s="4" t="n"/>
      <c r="S35" s="4" t="n"/>
      <c r="T35" s="4" t="n"/>
      <c r="U35" s="4" t="n"/>
      <c r="V35" s="4" t="n"/>
      <c r="W35" s="4" t="n"/>
    </row>
    <row r="36">
      <c r="A36" s="5" t="inlineStr">
        <is>
          <t>MNT-080</t>
        </is>
      </c>
      <c r="B36" s="5" t="inlineStr">
        <is>
          <t>SWEBOK</t>
        </is>
      </c>
      <c r="C36" s="4" t="inlineStr">
        <is>
          <t>5. リファクタリング(MNT-080〜)</t>
        </is>
      </c>
      <c r="D36" s="8" t="inlineStr">
        <is>
          <t>Critical</t>
        </is>
      </c>
      <c r="E36" s="4" t="inlineStr">
        <is>
          <t>「外部から見た振る舞いを変えない」ことの保証方法が定義されている</t>
        </is>
      </c>
      <c r="F36" s="4" t="inlineStr">
        <is>
          <t>既存テストの網羅状況の確認結果、不足時の特性テスト追加計画が記述されている</t>
        </is>
      </c>
      <c r="G36" s="4" t="inlineStr">
        <is>
          <t>リファクタリングの定義は「振る舞いを変えずに再構成する」ことであり、その保証はテストしかない。テスト不備のまま実施すると、改善のつもりの変更がデグレードとして本番に届く。</t>
        </is>
      </c>
      <c r="H36" s="4" t="inlineStr">
        <is>
          <t>swebok-v4a.pdf ch07 Software Maintenance &gt; 4.2 Software Reengineering(Refactoring)/ 2.1.2 Testing</t>
        </is>
      </c>
      <c r="I36" s="4" t="inlineStr">
        <is>
          <t>CORE</t>
        </is>
      </c>
      <c r="J36" s="4" t="inlineStr">
        <is>
          <t>原則適用。案件スコープ・成果物・規制・リスク上非該当の場合はN/A根拠を記録。</t>
        </is>
      </c>
      <c r="K36" s="4" t="inlineStr">
        <is>
          <t>SRC-SWEBOK-V4A</t>
        </is>
      </c>
      <c r="L36" s="4" t="inlineStr"/>
      <c r="M36" s="4" t="n"/>
      <c r="N36" s="4" t="n"/>
      <c r="O36" s="4" t="n"/>
      <c r="P36" s="4" t="n"/>
      <c r="Q36" s="4" t="n"/>
      <c r="R36" s="4" t="n"/>
      <c r="S36" s="4" t="n"/>
      <c r="T36" s="4" t="n"/>
      <c r="U36" s="4" t="n"/>
      <c r="V36" s="4" t="n"/>
      <c r="W36" s="4" t="n"/>
    </row>
    <row r="37">
      <c r="A37" s="5" t="inlineStr">
        <is>
          <t>MNT-081</t>
        </is>
      </c>
      <c r="B37" s="5" t="inlineStr">
        <is>
          <t>SWEBOK</t>
        </is>
      </c>
      <c r="C37" s="4" t="inlineStr">
        <is>
          <t>5. リファクタリング(MNT-080〜)</t>
        </is>
      </c>
      <c r="D37" s="8" t="inlineStr">
        <is>
          <t>Critical</t>
        </is>
      </c>
      <c r="E37" s="4" t="inlineStr">
        <is>
          <t>機能変更とリファクタリングが分離されている</t>
        </is>
      </c>
      <c r="F37" s="4" t="inlineStr">
        <is>
          <t>計画・コミット・MR のいずれの単位でも両者が混在せず、混在があれば Fail</t>
        </is>
      </c>
      <c r="G37" s="4" t="inlineStr">
        <is>
          <t>機能変更とリファクタリングが混在すると、障害発生時にどちらが原因か切り分けられず、レビューも回帰テスト範囲の判断も困難になる。振る舞い不変の検証可能性を守るための分離である。</t>
        </is>
      </c>
      <c r="H37" s="4" t="inlineStr">
        <is>
          <t>swebok-v4a.pdf ch07 Software Maintenance &gt; 4.2 Software Reengineering(Refactoring の定義)/ 実務補完(Fowler のリファクタリング原則)</t>
        </is>
      </c>
      <c r="I37" s="4" t="inlineStr">
        <is>
          <t>CORE</t>
        </is>
      </c>
      <c r="J37" s="4" t="inlineStr">
        <is>
          <t>原則適用。案件スコープ・成果物・規制・リスク上非該当の場合はN/A根拠を記録。</t>
        </is>
      </c>
      <c r="K37" s="4" t="inlineStr">
        <is>
          <t>SRC-SWEBOK-V4A;SRC-PRACTICE</t>
        </is>
      </c>
      <c r="L37" s="4" t="inlineStr"/>
      <c r="M37" s="4" t="n"/>
      <c r="N37" s="4" t="n"/>
      <c r="O37" s="4" t="n"/>
      <c r="P37" s="4" t="n"/>
      <c r="Q37" s="4" t="n"/>
      <c r="R37" s="4" t="n"/>
      <c r="S37" s="4" t="n"/>
      <c r="T37" s="4" t="n"/>
      <c r="U37" s="4" t="n"/>
      <c r="V37" s="4" t="n"/>
      <c r="W37" s="4" t="n"/>
    </row>
    <row r="38">
      <c r="A38" s="5" t="inlineStr">
        <is>
          <t>MNT-082</t>
        </is>
      </c>
      <c r="B38" s="5" t="inlineStr">
        <is>
          <t>SWEBOK</t>
        </is>
      </c>
      <c r="C38" s="4" t="inlineStr">
        <is>
          <t>5. リファクタリング(MNT-080〜)</t>
        </is>
      </c>
      <c r="D38" s="9" t="inlineStr">
        <is>
          <t>High</t>
        </is>
      </c>
      <c r="E38" s="4" t="inlineStr">
        <is>
          <t>対象範囲と現状の問題が計測値で示されている</t>
        </is>
      </c>
      <c r="F38" s="4" t="inlineStr">
        <is>
          <t>対象コードの複雑度・重複率等の現状値、または具体的なコード箇所と問題の記述がある</t>
        </is>
      </c>
      <c r="G38" s="4" t="inlineStr">
        <is>
          <t>現状の計測値がないと「何が問題で着手するのか」が主観になり、完了後の改善も示せない。負債返済の投資判断には現状品質の定量把握が必要である。</t>
        </is>
      </c>
      <c r="H38" s="4" t="inlineStr">
        <is>
          <t>swebok-v4a.pdf ch07 Software Maintenance &gt; 2.3.1 Technical Debt Cost Estimation(現在の品質・負債程度の把握)</t>
        </is>
      </c>
      <c r="I38" s="4" t="inlineStr">
        <is>
          <t>CORE</t>
        </is>
      </c>
      <c r="J38" s="4" t="inlineStr">
        <is>
          <t>原則適用。案件スコープ・成果物・規制・リスク上非該当の場合はN/A根拠を記録。</t>
        </is>
      </c>
      <c r="K38" s="4" t="inlineStr">
        <is>
          <t>SRC-SWEBOK-V4A</t>
        </is>
      </c>
      <c r="L38" s="4" t="inlineStr"/>
      <c r="M38" s="4" t="n"/>
      <c r="N38" s="4" t="n"/>
      <c r="O38" s="4" t="n"/>
      <c r="P38" s="4" t="n"/>
      <c r="Q38" s="4" t="n"/>
      <c r="R38" s="4" t="n"/>
      <c r="S38" s="4" t="n"/>
      <c r="T38" s="4" t="n"/>
      <c r="U38" s="4" t="n"/>
      <c r="V38" s="4" t="n"/>
      <c r="W38" s="4" t="n"/>
    </row>
    <row r="39">
      <c r="A39" s="5" t="inlineStr">
        <is>
          <t>MNT-083</t>
        </is>
      </c>
      <c r="B39" s="5" t="inlineStr">
        <is>
          <t>SWEBOK</t>
        </is>
      </c>
      <c r="C39" s="4" t="inlineStr">
        <is>
          <t>5. リファクタリング(MNT-080〜)</t>
        </is>
      </c>
      <c r="D39" s="9" t="inlineStr">
        <is>
          <t>High</t>
        </is>
      </c>
      <c r="E39" s="4" t="inlineStr">
        <is>
          <t>完了判定基準が検証可能である</t>
        </is>
      </c>
      <c r="F39" s="4" t="inlineStr">
        <is>
          <t>計測値の目標(例: 複雑度の上限)と回帰テスト全通過が完了条件として明記されている</t>
        </is>
      </c>
      <c r="G39" s="4" t="inlineStr">
        <is>
          <t>完了基準が曖昧なリファクタリングは際限なく続くか中途半端に終わり、費やした工数の正当性を示せない。目標値と回帰テスト全通過という検証可能な条件で「終わり」を定義させる。</t>
        </is>
      </c>
      <c r="H39" s="4" t="inlineStr">
        <is>
          <t>swebok-v4a.pdf ch07 Software Maintenance &gt; 4.2 Software Reengineering / 2.4 Software Maintenance Measurement</t>
        </is>
      </c>
      <c r="I39" s="4" t="inlineStr">
        <is>
          <t>CORE</t>
        </is>
      </c>
      <c r="J39" s="4" t="inlineStr">
        <is>
          <t>原則適用。案件スコープ・成果物・規制・リスク上非該当の場合はN/A根拠を記録。</t>
        </is>
      </c>
      <c r="K39" s="4" t="inlineStr">
        <is>
          <t>SRC-SWEBOK-V4A</t>
        </is>
      </c>
      <c r="L39" s="4" t="inlineStr"/>
      <c r="M39" s="4" t="n"/>
      <c r="N39" s="4" t="n"/>
      <c r="O39" s="4" t="n"/>
      <c r="P39" s="4" t="n"/>
      <c r="Q39" s="4" t="n"/>
      <c r="R39" s="4" t="n"/>
      <c r="S39" s="4" t="n"/>
      <c r="T39" s="4" t="n"/>
      <c r="U39" s="4" t="n"/>
      <c r="V39" s="4" t="n"/>
      <c r="W39" s="4" t="n"/>
    </row>
    <row r="40">
      <c r="A40" s="5" t="inlineStr">
        <is>
          <t>MNT-084</t>
        </is>
      </c>
      <c r="B40" s="5" t="inlineStr">
        <is>
          <t>SWEBOK</t>
        </is>
      </c>
      <c r="C40" s="4" t="inlineStr">
        <is>
          <t>5. リファクタリング(MNT-080〜)</t>
        </is>
      </c>
      <c r="D40" s="9" t="inlineStr">
        <is>
          <t>High</t>
        </is>
      </c>
      <c r="E40" s="4" t="inlineStr">
        <is>
          <t>小さな単位に分割した実施ステップがある</t>
        </is>
      </c>
      <c r="F40" s="4" t="inlineStr">
        <is>
          <t>各ステップ完了時にテストが通る状態を保つ分割になっている</t>
        </is>
      </c>
      <c r="G40" s="4" t="inlineStr">
        <is>
          <t>大きな一括変更は失敗時の切り分けと切戻しが困難になる。CI の文脈での継続的リファクタリングのように、常にテストが通る小さなステップに分割することで、途中中断してもリリース可能な状態を保つ。</t>
        </is>
      </c>
      <c r="H40" s="4" t="inlineStr">
        <is>
          <t>swebok-v4a.pdf ch07 Software Maintenance &gt; 4.2 Software Reengineering(継続的リファクタリングと CI)</t>
        </is>
      </c>
      <c r="I40" s="4" t="inlineStr">
        <is>
          <t>CORE</t>
        </is>
      </c>
      <c r="J40" s="4" t="inlineStr">
        <is>
          <t>原則適用。案件スコープ・成果物・規制・リスク上非該当の場合はN/A根拠を記録。</t>
        </is>
      </c>
      <c r="K40" s="4" t="inlineStr">
        <is>
          <t>SRC-SWEBOK-V4A</t>
        </is>
      </c>
      <c r="L40" s="4" t="inlineStr"/>
      <c r="M40" s="4" t="n"/>
      <c r="N40" s="4" t="n"/>
      <c r="O40" s="4" t="n"/>
      <c r="P40" s="4" t="n"/>
      <c r="Q40" s="4" t="n"/>
      <c r="R40" s="4" t="n"/>
      <c r="S40" s="4" t="n"/>
      <c r="T40" s="4" t="n"/>
      <c r="U40" s="4" t="n"/>
      <c r="V40" s="4" t="n"/>
      <c r="W40" s="4" t="n"/>
    </row>
    <row r="41">
      <c r="A41" s="5" t="inlineStr">
        <is>
          <t>MNT-085</t>
        </is>
      </c>
      <c r="B41" s="5" t="inlineStr">
        <is>
          <t>SWEBOK</t>
        </is>
      </c>
      <c r="C41" s="4" t="inlineStr">
        <is>
          <t>5. リファクタリング(MNT-080〜)</t>
        </is>
      </c>
      <c r="D41" s="10" t="inlineStr">
        <is>
          <t>Medium</t>
        </is>
      </c>
      <c r="E41" s="4" t="inlineStr">
        <is>
          <t>技術的負債管理台帳の項目と対応付いている</t>
        </is>
      </c>
      <c r="F41" s="4" t="inlineStr">
        <is>
          <t>対応する負債 ID が参照されている(台帳が存在しない場合は N/A とし根拠を記す)</t>
        </is>
      </c>
      <c r="G41" s="4" t="inlineStr">
        <is>
          <t>台帳と紐付かないリファクタリングは「なぜやるのか」の説明責任を欠き、負債側から見ると返済実績が記録されず台帳が実態と乖離する。</t>
        </is>
      </c>
      <c r="H41" s="4" t="inlineStr">
        <is>
          <t>swebok-v4a.pdf ch07 Software Maintenance &gt; 2.3.1 Technical Debt Cost Estimation / 実務補完(負債台帳との追跡)</t>
        </is>
      </c>
      <c r="I41" s="4" t="inlineStr">
        <is>
          <t>CORE</t>
        </is>
      </c>
      <c r="J41" s="4" t="inlineStr">
        <is>
          <t>原則適用。案件スコープ・成果物・規制・リスク上非該当の場合はN/A根拠を記録。</t>
        </is>
      </c>
      <c r="K41" s="4" t="inlineStr">
        <is>
          <t>SRC-SWEBOK-V4A;SRC-PRACTICE</t>
        </is>
      </c>
      <c r="L41" s="4" t="inlineStr"/>
      <c r="M41" s="4" t="n"/>
      <c r="N41" s="4" t="n"/>
      <c r="O41" s="4" t="n"/>
      <c r="P41" s="4" t="n"/>
      <c r="Q41" s="4" t="n"/>
      <c r="R41" s="4" t="n"/>
      <c r="S41" s="4" t="n"/>
      <c r="T41" s="4" t="n"/>
      <c r="U41" s="4" t="n"/>
      <c r="V41" s="4" t="n"/>
      <c r="W41" s="4" t="n"/>
    </row>
    <row r="42">
      <c r="A42" s="5" t="inlineStr">
        <is>
          <t>MNT-086</t>
        </is>
      </c>
      <c r="B42" s="5" t="inlineStr">
        <is>
          <t>SWEBOK</t>
        </is>
      </c>
      <c r="C42" s="4" t="inlineStr">
        <is>
          <t>5. リファクタリング(MNT-080〜)</t>
        </is>
      </c>
      <c r="D42" s="10" t="inlineStr">
        <is>
          <t>Medium</t>
        </is>
      </c>
      <c r="E42" s="4" t="inlineStr">
        <is>
          <t>実施タイミングと通常改修との調整方針がある</t>
        </is>
      </c>
      <c r="F42" s="4" t="inlineStr">
        <is>
          <t>リリースサイクル・機能開発との優先順位調整の方針が記述されている</t>
        </is>
      </c>
      <c r="G42" s="4" t="inlineStr">
        <is>
          <t>保守活動は新機能開発とクライアントの承認・資源を奪い合う。調整方針がないと、リファクタリングは常に後回しになるか、逆にリリース直前に強行されて品質リスクとなる。</t>
        </is>
      </c>
      <c r="H42" s="4" t="inlineStr">
        <is>
          <t>swebok-v4a.pdf ch07 Software Maintenance &gt; 2. Key Issues(Agile 環境での保守と開発の競合)/ 2.2.1 Alignment with Organizational Objectives</t>
        </is>
      </c>
      <c r="I42" s="4" t="inlineStr">
        <is>
          <t>CORE</t>
        </is>
      </c>
      <c r="J42" s="4" t="inlineStr">
        <is>
          <t>原則適用。案件スコープ・成果物・規制・リスク上非該当の場合はN/A根拠を記録。</t>
        </is>
      </c>
      <c r="K42" s="4" t="inlineStr">
        <is>
          <t>SRC-SWEBOK-V4A</t>
        </is>
      </c>
      <c r="L42" s="4" t="inlineStr"/>
      <c r="M42" s="4" t="n"/>
      <c r="N42" s="4" t="n"/>
      <c r="O42" s="4" t="n"/>
      <c r="P42" s="4" t="n"/>
      <c r="Q42" s="4" t="n"/>
      <c r="R42" s="4" t="n"/>
      <c r="S42" s="4" t="n"/>
      <c r="T42" s="4" t="n"/>
      <c r="U42" s="4" t="n"/>
      <c r="V42" s="4" t="n"/>
      <c r="W42" s="4" t="n"/>
    </row>
    <row r="43">
      <c r="A43" s="5" t="inlineStr">
        <is>
          <t>MNT-100</t>
        </is>
      </c>
      <c r="B43" s="5" t="inlineStr">
        <is>
          <t>SWEBOK</t>
        </is>
      </c>
      <c r="C43" s="4" t="inlineStr">
        <is>
          <t>6. テスト・検証(MNT-100〜)</t>
        </is>
      </c>
      <c r="D43" s="8" t="inlineStr">
        <is>
          <t>Critical</t>
        </is>
      </c>
      <c r="E43" s="4" t="inlineStr">
        <is>
          <t>回帰テストが実施され結果が記録されている</t>
        </is>
      </c>
      <c r="F43" s="4" t="inlineStr">
        <is>
          <t>実施日・対象範囲・結果(合否件数)が記録され、Fail の残存には対処記録がある</t>
        </is>
      </c>
      <c r="G43" s="4" t="inlineStr">
        <is>
          <t>回帰テストは修正が意図しない影響を及ぼしていないことの唯一の証拠であり、結果記録がないと「テストした」という主張を検証できず、Fail 放置は既知の欠陥を黙って出荷することになる。</t>
        </is>
      </c>
      <c r="H43" s="4" t="inlineStr">
        <is>
          <t>swebok-v4a.pdf ch07 Software Maintenance &gt; 2.1.2 Testing(Regression testing)</t>
        </is>
      </c>
      <c r="I43" s="4" t="inlineStr">
        <is>
          <t>CORE</t>
        </is>
      </c>
      <c r="J43" s="4" t="inlineStr">
        <is>
          <t>原則適用。案件スコープ・成果物・規制・リスク上非該当の場合はN/A根拠を記録。</t>
        </is>
      </c>
      <c r="K43" s="4" t="inlineStr">
        <is>
          <t>SRC-SWEBOK-V4A</t>
        </is>
      </c>
      <c r="L43" s="4" t="inlineStr"/>
      <c r="M43" s="4" t="n"/>
      <c r="N43" s="4" t="n"/>
      <c r="O43" s="4" t="n"/>
      <c r="P43" s="4" t="n"/>
      <c r="Q43" s="4" t="n"/>
      <c r="R43" s="4" t="n"/>
      <c r="S43" s="4" t="n"/>
      <c r="T43" s="4" t="n"/>
      <c r="U43" s="4" t="n"/>
      <c r="V43" s="4" t="n"/>
      <c r="W43" s="4" t="n"/>
    </row>
    <row r="44">
      <c r="A44" s="5" t="inlineStr">
        <is>
          <t>MNT-101</t>
        </is>
      </c>
      <c r="B44" s="5" t="inlineStr">
        <is>
          <t>SWEBOK</t>
        </is>
      </c>
      <c r="C44" s="4" t="inlineStr">
        <is>
          <t>6. テスト・検証(MNT-100〜)</t>
        </is>
      </c>
      <c r="D44" s="8" t="inlineStr">
        <is>
          <t>Critical</t>
        </is>
      </c>
      <c r="E44" s="4" t="inlineStr">
        <is>
          <t>回帰テスト範囲の縮小に根拠がある</t>
        </is>
      </c>
      <c r="F44" s="4" t="inlineStr">
        <is>
          <t>全量実施しない場合、影響分析に基づく選定根拠が明記されている(根拠なき縮小は Fail)</t>
        </is>
      </c>
      <c r="G44" s="4" t="inlineStr">
        <is>
          <t>大規模ソフトの全量再テストは時間・工数とも高コストであるため範囲縮小は正当だが、影響分析に基づかない縮小は単なるテスト省略であり、デグレード流出リスクをそのまま受け入れることになる。</t>
        </is>
      </c>
      <c r="H44" s="4" t="inlineStr">
        <is>
          <t>swebok-v4a.pdf ch07 Software Maintenance &gt; 2.1.2 Testing(全量テストのコストと選択的再テスト)</t>
        </is>
      </c>
      <c r="I44" s="4" t="inlineStr">
        <is>
          <t>CORE</t>
        </is>
      </c>
      <c r="J44" s="4" t="inlineStr">
        <is>
          <t>原則適用。案件スコープ・成果物・規制・リスク上非該当の場合はN/A根拠を記録。</t>
        </is>
      </c>
      <c r="K44" s="4" t="inlineStr">
        <is>
          <t>SRC-SWEBOK-V4A</t>
        </is>
      </c>
      <c r="L44" s="4" t="inlineStr"/>
      <c r="M44" s="4" t="n"/>
      <c r="N44" s="4" t="n"/>
      <c r="O44" s="4" t="n"/>
      <c r="P44" s="4" t="n"/>
      <c r="Q44" s="4" t="n"/>
      <c r="R44" s="4" t="n"/>
      <c r="S44" s="4" t="n"/>
      <c r="T44" s="4" t="n"/>
      <c r="U44" s="4" t="n"/>
      <c r="V44" s="4" t="n"/>
      <c r="W44" s="4" t="n"/>
    </row>
    <row r="45">
      <c r="A45" s="5" t="inlineStr">
        <is>
          <t>MNT-102</t>
        </is>
      </c>
      <c r="B45" s="5" t="inlineStr">
        <is>
          <t>SWEBOK</t>
        </is>
      </c>
      <c r="C45" s="4" t="inlineStr">
        <is>
          <t>6. テスト・検証(MNT-100〜)</t>
        </is>
      </c>
      <c r="D45" s="9" t="inlineStr">
        <is>
          <t>High</t>
        </is>
      </c>
      <c r="E45" s="4" t="inlineStr">
        <is>
          <t>回帰テストの自動化状況が把握されている</t>
        </is>
      </c>
      <c r="F45" s="4" t="inlineStr">
        <is>
          <t>自動/手動の別と自動化率または自動化対象の一覧が記録されている</t>
        </is>
      </c>
      <c r="G45" s="4" t="inlineStr">
        <is>
          <t>保守では小さな変更が高頻度に発生するため、手動回帰テストは早晩追いつかなくなる。自動化状況を把握していないと、テスト工数がボトルネック化してリリース速度と品質の両方を失う。</t>
        </is>
      </c>
      <c r="H45" s="4" t="inlineStr">
        <is>
          <t>swebok-v4a.pdf ch07 Software Maintenance &gt; 4.4 Continuous Integration, Delivery, Testing and Deployment(Continuous testing)</t>
        </is>
      </c>
      <c r="I45" s="4" t="inlineStr">
        <is>
          <t>CORE</t>
        </is>
      </c>
      <c r="J45" s="4" t="inlineStr">
        <is>
          <t>原則適用。案件スコープ・成果物・規制・リスク上非該当の場合はN/A根拠を記録。</t>
        </is>
      </c>
      <c r="K45" s="4" t="inlineStr">
        <is>
          <t>SRC-SWEBOK-V4A</t>
        </is>
      </c>
      <c r="L45" s="4" t="inlineStr"/>
      <c r="M45" s="4" t="n"/>
      <c r="N45" s="4" t="n"/>
      <c r="O45" s="4" t="n"/>
      <c r="P45" s="4" t="n"/>
      <c r="Q45" s="4" t="n"/>
      <c r="R45" s="4" t="n"/>
      <c r="S45" s="4" t="n"/>
      <c r="T45" s="4" t="n"/>
      <c r="U45" s="4" t="n"/>
      <c r="V45" s="4" t="n"/>
      <c r="W45" s="4" t="n"/>
    </row>
    <row r="46">
      <c r="A46" s="5" t="inlineStr">
        <is>
          <t>MNT-103</t>
        </is>
      </c>
      <c r="B46" s="5" t="inlineStr">
        <is>
          <t>SWEBOK</t>
        </is>
      </c>
      <c r="C46" s="4" t="inlineStr">
        <is>
          <t>6. テスト・検証(MNT-100〜)</t>
        </is>
      </c>
      <c r="D46" s="9" t="inlineStr">
        <is>
          <t>High</t>
        </is>
      </c>
      <c r="E46" s="4" t="inlineStr">
        <is>
          <t>CI で継続的にテストが実行されている</t>
        </is>
      </c>
      <c r="F46" s="4" t="inlineStr">
        <is>
          <t>CI 設定が存在し、変更のマージ条件にテスト通過が含まれている(CI 未導入環境では代替の実行手順があれば Pass)</t>
        </is>
      </c>
      <c r="G46" s="4" t="inlineStr">
        <is>
          <t>CI は問題のある変更を可能な限り早期に自動検出するための実践であり、マージ条件にテストが含まれないと、壊れた変更が共有ラインに滞留し統合エラーの発見が遅れる。</t>
        </is>
      </c>
      <c r="H46" s="4" t="inlineStr">
        <is>
          <t>swebok-v4a.pdf ch07 Software Maintenance &gt; 4.4 Continuous Integration, Delivery, Testing and Deployment</t>
        </is>
      </c>
      <c r="I46" s="4" t="inlineStr">
        <is>
          <t>CORE</t>
        </is>
      </c>
      <c r="J46" s="4" t="inlineStr">
        <is>
          <t>原則適用。案件スコープ・成果物・規制・リスク上非該当の場合はN/A根拠を記録。</t>
        </is>
      </c>
      <c r="K46" s="4" t="inlineStr">
        <is>
          <t>SRC-SWEBOK-V4A</t>
        </is>
      </c>
      <c r="L46" s="4" t="inlineStr"/>
      <c r="M46" s="4" t="n"/>
      <c r="N46" s="4" t="n"/>
      <c r="O46" s="4" t="n"/>
      <c r="P46" s="4" t="n"/>
      <c r="Q46" s="4" t="n"/>
      <c r="R46" s="4" t="n"/>
      <c r="S46" s="4" t="n"/>
      <c r="T46" s="4" t="n"/>
      <c r="U46" s="4" t="n"/>
      <c r="V46" s="4" t="n"/>
      <c r="W46" s="4" t="n"/>
    </row>
    <row r="47">
      <c r="A47" s="5" t="inlineStr">
        <is>
          <t>MNT-104</t>
        </is>
      </c>
      <c r="B47" s="5" t="inlineStr">
        <is>
          <t>SWEBOK</t>
        </is>
      </c>
      <c r="C47" s="4" t="inlineStr">
        <is>
          <t>6. テスト・検証(MNT-100〜)</t>
        </is>
      </c>
      <c r="D47" s="10" t="inlineStr">
        <is>
          <t>Medium</t>
        </is>
      </c>
      <c r="E47" s="4" t="inlineStr">
        <is>
          <t>本番相当環境での検証の要否が判定されている</t>
        </is>
      </c>
      <c r="F47" s="4" t="inlineStr">
        <is>
          <t>稼働中システムを止められない制約下でのテスト環境(検証環境・データ)の方針が記述されている</t>
        </is>
      </c>
      <c r="G47" s="4" t="inlineStr">
        <is>
          <t>重要機能を担うソフトはテストのためにオフラインにできないという保守固有の制約がある。本番相当環境の方針がないと、本番でしか再現しない問題を検証できず一発勝負のリリースになる。</t>
        </is>
      </c>
      <c r="H47" s="4" t="inlineStr">
        <is>
          <t>swebok-v4a.pdf ch07 Software Maintenance &gt; 2.1.2 Testing(稼働中ソフトをオフラインにする困難)</t>
        </is>
      </c>
      <c r="I47" s="4" t="inlineStr">
        <is>
          <t>CORE</t>
        </is>
      </c>
      <c r="J47" s="4" t="inlineStr">
        <is>
          <t>原則適用。案件スコープ・成果物・規制・リスク上非該当の場合はN/A根拠を記録。</t>
        </is>
      </c>
      <c r="K47" s="4" t="inlineStr">
        <is>
          <t>SRC-SWEBOK-V4A</t>
        </is>
      </c>
      <c r="L47" s="4" t="inlineStr"/>
      <c r="M47" s="4" t="n"/>
      <c r="N47" s="4" t="n"/>
      <c r="O47" s="4" t="n"/>
      <c r="P47" s="4" t="n"/>
      <c r="Q47" s="4" t="n"/>
      <c r="R47" s="4" t="n"/>
      <c r="S47" s="4" t="n"/>
      <c r="T47" s="4" t="n"/>
      <c r="U47" s="4" t="n"/>
      <c r="V47" s="4" t="n"/>
      <c r="W47" s="4" t="n"/>
    </row>
    <row r="48">
      <c r="A48" s="5" t="inlineStr">
        <is>
          <t>MNT-105</t>
        </is>
      </c>
      <c r="B48" s="5" t="inlineStr">
        <is>
          <t>SWEBOK</t>
        </is>
      </c>
      <c r="C48" s="4" t="inlineStr">
        <is>
          <t>6. テスト・検証(MNT-100〜)</t>
        </is>
      </c>
      <c r="D48" s="10" t="inlineStr">
        <is>
          <t>Medium</t>
        </is>
      </c>
      <c r="E48" s="4" t="inlineStr">
        <is>
          <t>脆弱性評価が保守サイクルに組み込まれている</t>
        </is>
      </c>
      <c r="F48" s="4" t="inlineStr">
        <is>
          <t>依存ライブラリの脆弱性スキャンまたはセキュリティ評価の実施頻度・方法が定義されている</t>
        </is>
      </c>
      <c r="G48" s="4" t="inlineStr">
        <is>
          <t>SWEBOK は保守者の継続活動に脆弱性評価を明記し、保守の目的にセキュリティ脅威の予防を含める。定期スキャンがないと、既知脆弱性を抱えた依存ライブラリが放置され、攻撃可能な状態が継続する。</t>
        </is>
      </c>
      <c r="H48" s="4" t="inlineStr">
        <is>
          <t>swebok-v4a.pdf ch07 Software Maintenance &gt; 3.2.1 Supporting and Monitoring Activities(vulnerability assessments)/ 1.3 Need for Software Maintenance(Prevent security threats)</t>
        </is>
      </c>
      <c r="I48" s="4" t="inlineStr">
        <is>
          <t>CORE</t>
        </is>
      </c>
      <c r="J48" s="4" t="inlineStr">
        <is>
          <t>原則適用。案件スコープ・成果物・規制・リスク上非該当の場合はN/A根拠を記録。</t>
        </is>
      </c>
      <c r="K48" s="4" t="inlineStr">
        <is>
          <t>SRC-SWEBOK-V4A</t>
        </is>
      </c>
      <c r="L48" s="4" t="inlineStr">
        <is>
          <t>SEC-SUPPLY-CHAIN</t>
        </is>
      </c>
      <c r="M48" s="4" t="n"/>
      <c r="N48" s="4" t="n"/>
      <c r="O48" s="4" t="n"/>
      <c r="P48" s="4" t="n"/>
      <c r="Q48" s="4" t="n"/>
      <c r="R48" s="4" t="n"/>
      <c r="S48" s="4" t="n"/>
      <c r="T48" s="4" t="n"/>
      <c r="U48" s="4" t="n"/>
      <c r="V48" s="4" t="n"/>
      <c r="W48" s="4" t="n"/>
    </row>
    <row r="49">
      <c r="A49" s="5" t="inlineStr">
        <is>
          <t>MNT-903</t>
        </is>
      </c>
      <c r="B49" s="5" t="inlineStr">
        <is>
          <t>追加承認</t>
        </is>
      </c>
      <c r="C49" s="4" t="inlineStr">
        <is>
          <t>6. テスト・検証(MNT-100〜)</t>
        </is>
      </c>
      <c r="D49" s="10" t="inlineStr">
        <is>
          <t>Medium</t>
        </is>
      </c>
      <c r="E49" s="4" t="inlineStr">
        <is>
          <t>ビルド・リリース・デプロイの自動化状況が把握され、方針が定義されている</t>
        </is>
      </c>
      <c r="F49" s="4" t="inlineStr">
        <is>
          <t>ビルド/ステージング配備/本番デプロイの各工程について自動/手動の別が記録され、手動工程には自動化しない理由または自動化計画がある</t>
        </is>
      </c>
      <c r="G49" s="4" t="inlineStr">
        <is>
          <t>小さな変更が高頻度に発生する保守では、手動デプロイは作業ミスによるリリース事故と リードタイム悪化の主要因になる。自動化状況の可視化により信頼性と処理速度の改善余地を特定する。</t>
        </is>
      </c>
      <c r="H49" s="4" t="inlineStr">
        <is>
          <t>swebok-v4a.pdf ch07 Software Maintenance &gt; 4.4 Continuous Delivery / Continuous Deployment(リリース・デプロイの自動化)</t>
        </is>
      </c>
      <c r="I49" s="4" t="inlineStr">
        <is>
          <t>CORE</t>
        </is>
      </c>
      <c r="J49" s="4" t="inlineStr">
        <is>
          <t>原則適用。案件スコープ・成果物・規制・リスク上非該当の場合はN/A根拠を記録。</t>
        </is>
      </c>
      <c r="K49" s="4" t="inlineStr">
        <is>
          <t>SRC-SWEBOK-V4A</t>
        </is>
      </c>
      <c r="L49" s="4" t="inlineStr"/>
      <c r="M49" s="4" t="n"/>
      <c r="N49" s="4" t="n"/>
      <c r="O49" s="4" t="n"/>
      <c r="P49" s="4" t="n"/>
      <c r="Q49" s="4" t="n"/>
      <c r="R49" s="4" t="n"/>
      <c r="S49" s="4" t="n"/>
      <c r="T49" s="4" t="n"/>
      <c r="U49" s="4" t="n"/>
      <c r="V49" s="4" t="n"/>
      <c r="W49" s="4" t="n"/>
    </row>
    <row r="50">
      <c r="A50" s="5" t="inlineStr">
        <is>
          <t>MNT-120</t>
        </is>
      </c>
      <c r="B50" s="5" t="inlineStr">
        <is>
          <t>SWEBOK</t>
        </is>
      </c>
      <c r="C50" s="4" t="inlineStr">
        <is>
          <t>7. 構成管理・リリース(MNT-120〜)</t>
        </is>
      </c>
      <c r="D50" s="8" t="inlineStr">
        <is>
          <t>Critical</t>
        </is>
      </c>
      <c r="E50" s="4" t="inlineStr">
        <is>
          <t>すべての変更が SCM プロセス(識別・承認・実装・リリース)を通っている</t>
        </is>
      </c>
      <c r="F50" s="4" t="inlineStr">
        <is>
          <t>SCM 外の直接変更(本番直接修正等)が0件、または発生時の事後登録手順が定義され実績が記録されている</t>
        </is>
      </c>
      <c r="G50" s="4" t="inlineStr">
        <is>
          <t>「MR/PR の追跡だけでは不十分で、製品と基盤へのあらゆる変更が統制されなければならない」が標準の要求。SCM 外の本番直接修正は、構成の実態不明化と再現不能な障害の温床になる。</t>
        </is>
      </c>
      <c r="H50" s="4" t="inlineStr">
        <is>
          <t>swebok-v4a.pdf ch07 Software Maintenance &gt; 3.2.3 Configuration Management</t>
        </is>
      </c>
      <c r="I50" s="4" t="inlineStr">
        <is>
          <t>CORE</t>
        </is>
      </c>
      <c r="J50" s="4" t="inlineStr">
        <is>
          <t>原則適用。案件スコープ・成果物・規制・リスク上非該当の場合はN/A根拠を記録。</t>
        </is>
      </c>
      <c r="K50" s="4" t="inlineStr">
        <is>
          <t>SRC-SWEBOK-V4A</t>
        </is>
      </c>
      <c r="L50" s="4" t="inlineStr"/>
      <c r="M50" s="4" t="n"/>
      <c r="N50" s="4" t="n"/>
      <c r="O50" s="4" t="n"/>
      <c r="P50" s="4" t="n"/>
      <c r="Q50" s="4" t="n"/>
      <c r="R50" s="4" t="n"/>
      <c r="S50" s="4" t="n"/>
      <c r="T50" s="4" t="n"/>
      <c r="U50" s="4" t="n"/>
      <c r="V50" s="4" t="n"/>
      <c r="W50" s="4" t="n"/>
    </row>
    <row r="51">
      <c r="A51" s="5" t="inlineStr">
        <is>
          <t>MNT-121</t>
        </is>
      </c>
      <c r="B51" s="5" t="inlineStr">
        <is>
          <t>SWEBOK</t>
        </is>
      </c>
      <c r="C51" s="4" t="inlineStr">
        <is>
          <t>7. 構成管理・リリース(MNT-120〜)</t>
        </is>
      </c>
      <c r="D51" s="8" t="inlineStr">
        <is>
          <t>Critical</t>
        </is>
      </c>
      <c r="E51" s="4" t="inlineStr">
        <is>
          <t>リリースと MR/PR の双方向追跡が可能である</t>
        </is>
      </c>
      <c r="F51" s="4" t="inlineStr">
        <is>
          <t>任意のリリースノートから含まれる MR/PR に、任意の MR から反映リリースに到達できる</t>
        </is>
      </c>
      <c r="G51" s="4" t="inlineStr">
        <is>
          <t>SCM は識別・承認・実装・リリースの各段階の検証・監査可能性を求める。リリースと MR の双方向追跡が切れると、障害時に「この不具合はどの変更で入ったか」を特定できず原因調査が長期化する。</t>
        </is>
      </c>
      <c r="H51" s="4" t="inlineStr">
        <is>
          <t>swebok-v4a.pdf ch07 Software Maintenance &gt; 3.2.3 Configuration Management / 3.2 Activities and Tasks(要求の追跡)</t>
        </is>
      </c>
      <c r="I51" s="4" t="inlineStr">
        <is>
          <t>CORE</t>
        </is>
      </c>
      <c r="J51" s="4" t="inlineStr">
        <is>
          <t>原則適用。案件スコープ・成果物・規制・リスク上非該当の場合はN/A根拠を記録。</t>
        </is>
      </c>
      <c r="K51" s="4" t="inlineStr">
        <is>
          <t>SRC-SWEBOK-V4A</t>
        </is>
      </c>
      <c r="L51" s="4" t="inlineStr"/>
      <c r="M51" s="4" t="n"/>
      <c r="N51" s="4" t="n"/>
      <c r="O51" s="4" t="n"/>
      <c r="P51" s="4" t="n"/>
      <c r="Q51" s="4" t="n"/>
      <c r="R51" s="4" t="n"/>
      <c r="S51" s="4" t="n"/>
      <c r="T51" s="4" t="n"/>
      <c r="U51" s="4" t="n"/>
      <c r="V51" s="4" t="n"/>
      <c r="W51" s="4" t="n"/>
    </row>
    <row r="52">
      <c r="A52" s="5" t="inlineStr">
        <is>
          <t>MNT-122</t>
        </is>
      </c>
      <c r="B52" s="5" t="inlineStr">
        <is>
          <t>SWEBOK</t>
        </is>
      </c>
      <c r="C52" s="4" t="inlineStr">
        <is>
          <t>7. 構成管理・リリース(MNT-120〜)</t>
        </is>
      </c>
      <c r="D52" s="9" t="inlineStr">
        <is>
          <t>High</t>
        </is>
      </c>
      <c r="E52" s="4" t="inlineStr">
        <is>
          <t>リリース手順と切戻し手順が文書化されている</t>
        </is>
      </c>
      <c r="F52" s="4" t="inlineStr">
        <is>
          <t>手順書に実行者・実行コマンドまたは操作・確認項目・切戻し条件が含まれている</t>
        </is>
      </c>
      <c r="G52" s="4" t="inlineStr">
        <is>
          <t>SWEBOK はリリース計画でリスク評価とバックアウト計画(back-out plan)の策定を明示的に求める。切戻し手順のないリリースは、問題発生時に復旧手段がなく障害を長時間化させる。</t>
        </is>
      </c>
      <c r="H52" s="4" t="inlineStr">
        <is>
          <t>swebok-v4a.pdf ch07 Software Maintenance &gt; 3.2.2 Planning Activities(リリースのリスク評価と back-out plan)</t>
        </is>
      </c>
      <c r="I52" s="4" t="inlineStr">
        <is>
          <t>CORE</t>
        </is>
      </c>
      <c r="J52" s="4" t="inlineStr">
        <is>
          <t>原則適用。案件スコープ・成果物・規制・リスク上非該当の場合はN/A根拠を記録。</t>
        </is>
      </c>
      <c r="K52" s="4" t="inlineStr">
        <is>
          <t>SRC-SWEBOK-V4A</t>
        </is>
      </c>
      <c r="L52" s="4" t="inlineStr"/>
      <c r="M52" s="4" t="n"/>
      <c r="N52" s="4" t="n"/>
      <c r="O52" s="4" t="n"/>
      <c r="P52" s="4" t="n"/>
      <c r="Q52" s="4" t="n"/>
      <c r="R52" s="4" t="n"/>
      <c r="S52" s="4" t="n"/>
      <c r="T52" s="4" t="n"/>
      <c r="U52" s="4" t="n"/>
      <c r="V52" s="4" t="n"/>
      <c r="W52" s="4" t="n"/>
    </row>
    <row r="53">
      <c r="A53" s="5" t="inlineStr">
        <is>
          <t>MNT-123</t>
        </is>
      </c>
      <c r="B53" s="5" t="inlineStr">
        <is>
          <t>SWEBOK</t>
        </is>
      </c>
      <c r="C53" s="4" t="inlineStr">
        <is>
          <t>7. 構成管理・リリース(MNT-120〜)</t>
        </is>
      </c>
      <c r="D53" s="9" t="inlineStr">
        <is>
          <t>High</t>
        </is>
      </c>
      <c r="E53" s="4" t="inlineStr">
        <is>
          <t>緊急リリースの条件と手順が定義されている</t>
        </is>
      </c>
      <c r="F53" s="4" t="inlineStr">
        <is>
          <t>通常リリースとの差分(省略可能な工程と省略不可の工程)が明記されている</t>
        </is>
      </c>
      <c r="G53" s="4" t="inlineStr">
        <is>
          <t>緊急保守は計画外で実施されるからこそ、事前に「何を省略してよく、何は省略不可か」を決めておかないと、緊急時の混乱の中で承認もテストも全部飛ばす運用が常態化する。</t>
        </is>
      </c>
      <c r="H53" s="4" t="inlineStr">
        <is>
          <t>swebok-v4a.pdf ch07 Software Maintenance &gt; 1.6 Categories(Emergency maintenance)/ 実務補完(緊急変更プロセスの実務)</t>
        </is>
      </c>
      <c r="I53" s="4" t="inlineStr">
        <is>
          <t>CORE</t>
        </is>
      </c>
      <c r="J53" s="4" t="inlineStr">
        <is>
          <t>原則適用。案件スコープ・成果物・規制・リスク上非該当の場合はN/A根拠を記録。</t>
        </is>
      </c>
      <c r="K53" s="4" t="inlineStr">
        <is>
          <t>SRC-SWEBOK-V4A;SRC-PRACTICE</t>
        </is>
      </c>
      <c r="L53" s="4" t="inlineStr"/>
      <c r="M53" s="4" t="n"/>
      <c r="N53" s="4" t="n"/>
      <c r="O53" s="4" t="n"/>
      <c r="P53" s="4" t="n"/>
      <c r="Q53" s="4" t="n"/>
      <c r="R53" s="4" t="n"/>
      <c r="S53" s="4" t="n"/>
      <c r="T53" s="4" t="n"/>
      <c r="U53" s="4" t="n"/>
      <c r="V53" s="4" t="n"/>
      <c r="W53" s="4" t="n"/>
    </row>
    <row r="54">
      <c r="A54" s="5" t="inlineStr">
        <is>
          <t>MNT-124</t>
        </is>
      </c>
      <c r="B54" s="5" t="inlineStr">
        <is>
          <t>SWEBOK</t>
        </is>
      </c>
      <c r="C54" s="4" t="inlineStr">
        <is>
          <t>7. 構成管理・リリース(MNT-120〜)</t>
        </is>
      </c>
      <c r="D54" s="10" t="inlineStr">
        <is>
          <t>Medium</t>
        </is>
      </c>
      <c r="E54" s="4" t="inlineStr">
        <is>
          <t>ドキュメントがコード変更と同期して更新されている</t>
        </is>
      </c>
      <c r="F54" s="4" t="inlineStr">
        <is>
          <t>影響分析書で更新対象とされた文書の全件に更新記録(版・日付)がある</t>
        </is>
      </c>
      <c r="G54" s="4" t="inlineStr">
        <is>
          <t>保守者はベースライン変更に応じて文書を更新する責務を負う。文書とコードの乖離は次の保守者の「限られた理解」問題を悪化させ、理解工数(保守工数の大半)を膨張させる。</t>
        </is>
      </c>
      <c r="H54" s="4" t="inlineStr">
        <is>
          <t>swebok-v4a.pdf ch07 Software Maintenance &gt; 3.2 Activities and Tasks(ベースライン変更に伴う文書更新)/ 2.1.1 Limited Understanding</t>
        </is>
      </c>
      <c r="I54" s="4" t="inlineStr">
        <is>
          <t>CORE</t>
        </is>
      </c>
      <c r="J54" s="4" t="inlineStr">
        <is>
          <t>原則適用。案件スコープ・成果物・規制・リスク上非該当の場合はN/A根拠を記録。</t>
        </is>
      </c>
      <c r="K54" s="4" t="inlineStr">
        <is>
          <t>SRC-SWEBOK-V4A</t>
        </is>
      </c>
      <c r="L54" s="4" t="inlineStr"/>
      <c r="M54" s="4" t="n"/>
      <c r="N54" s="4" t="n"/>
      <c r="O54" s="4" t="n"/>
      <c r="P54" s="4" t="n"/>
      <c r="Q54" s="4" t="n"/>
      <c r="R54" s="4" t="n"/>
      <c r="S54" s="4" t="n"/>
      <c r="T54" s="4" t="n"/>
      <c r="U54" s="4" t="n"/>
      <c r="V54" s="4" t="n"/>
      <c r="W54" s="4" t="n"/>
    </row>
    <row r="55">
      <c r="A55" s="5" t="inlineStr">
        <is>
          <t>MNT-125</t>
        </is>
      </c>
      <c r="B55" s="5" t="inlineStr">
        <is>
          <t>SWEBOK</t>
        </is>
      </c>
      <c r="C55" s="4" t="inlineStr">
        <is>
          <t>7. 構成管理・リリース(MNT-120〜)</t>
        </is>
      </c>
      <c r="D55" s="10" t="inlineStr">
        <is>
          <t>Medium</t>
        </is>
      </c>
      <c r="E55" s="4" t="inlineStr">
        <is>
          <t>ブランチ運用・バージョン付与規則が定義されている</t>
        </is>
      </c>
      <c r="F55" s="4" t="inlineStr">
        <is>
          <t>保守ブランチの運用とバージョン番号の規則が文書化され、実リポジトリと一致している</t>
        </is>
      </c>
      <c r="G55" s="4" t="inlineStr">
        <is>
          <t>保守 SCM の特徴は運用環境で統制すべき小さな変更の多さにある。ブランチ・バージョン規則が実リポジトリと乖離すると、どの版が本番かの識別を誤りリリース事故につながる。</t>
        </is>
      </c>
      <c r="H55" s="4" t="inlineStr">
        <is>
          <t>swebok-v4a.pdf ch07 Software Maintenance &gt; 3.2.3 Configuration Management / 5. Software Maintenance Tools(バージョニングツール)</t>
        </is>
      </c>
      <c r="I55" s="4" t="inlineStr">
        <is>
          <t>CORE</t>
        </is>
      </c>
      <c r="J55" s="4" t="inlineStr">
        <is>
          <t>原則適用。案件スコープ・成果物・規制・リスク上非該当の場合はN/A根拠を記録。</t>
        </is>
      </c>
      <c r="K55" s="4" t="inlineStr">
        <is>
          <t>SRC-SWEBOK-V4A</t>
        </is>
      </c>
      <c r="L55" s="4" t="inlineStr"/>
      <c r="M55" s="4" t="n"/>
      <c r="N55" s="4" t="n"/>
      <c r="O55" s="4" t="n"/>
      <c r="P55" s="4" t="n"/>
      <c r="Q55" s="4" t="n"/>
      <c r="R55" s="4" t="n"/>
      <c r="S55" s="4" t="n"/>
      <c r="T55" s="4" t="n"/>
      <c r="U55" s="4" t="n"/>
      <c r="V55" s="4" t="n"/>
      <c r="W55" s="4" t="n"/>
    </row>
    <row r="56">
      <c r="A56" s="5" t="inlineStr">
        <is>
          <t>MNT-902</t>
        </is>
      </c>
      <c r="B56" s="5" t="inlineStr">
        <is>
          <t>追加承認</t>
        </is>
      </c>
      <c r="C56" s="4" t="inlineStr">
        <is>
          <t>7. 構成管理・リリース(MNT-120〜)</t>
        </is>
      </c>
      <c r="D56" s="10" t="inlineStr">
        <is>
          <t>Medium</t>
        </is>
      </c>
      <c r="E56" s="4" t="inlineStr">
        <is>
          <t>リリース/バージョン計画で内容の利用者合意と変更競合の調整が行われている</t>
        </is>
      </c>
      <c r="F56" s="4" t="inlineStr">
        <is>
          <t>各リリースについて、含める MR の一覧と利用者(または代表者)の合意記録、MR 間・並行開発との競合の有無の確認結果が残っている</t>
        </is>
      </c>
      <c r="G56" s="4" t="inlineStr">
        <is>
          <t>利用者合意のないリリース内容は「頼んだものが入っていない」という期待齟齬を生み、競合未調整の MR 同士は結合時のコンフリクトや相互デグレードとして表面化する。</t>
        </is>
      </c>
      <c r="H56" s="4" t="inlineStr">
        <is>
          <t>swebok-v4a.pdf ch07 Software Maintenance &gt; 3.2.2 Planning Activities のリリース/バージョン計画(利用者との内容合意・競合特定・代替案)</t>
        </is>
      </c>
      <c r="I56" s="4" t="inlineStr">
        <is>
          <t>CORE</t>
        </is>
      </c>
      <c r="J56" s="4" t="inlineStr">
        <is>
          <t>原則適用。案件スコープ・成果物・規制・リスク上非該当の場合はN/A根拠を記録。</t>
        </is>
      </c>
      <c r="K56" s="4" t="inlineStr">
        <is>
          <t>SRC-SWEBOK-V4A</t>
        </is>
      </c>
      <c r="L56" s="4" t="inlineStr"/>
      <c r="M56" s="4" t="n"/>
      <c r="N56" s="4" t="n"/>
      <c r="O56" s="4" t="n"/>
      <c r="P56" s="4" t="n"/>
      <c r="Q56" s="4" t="n"/>
      <c r="R56" s="4" t="n"/>
      <c r="S56" s="4" t="n"/>
      <c r="T56" s="4" t="n"/>
      <c r="U56" s="4" t="n"/>
      <c r="V56" s="4" t="n"/>
      <c r="W56" s="4" t="n"/>
    </row>
    <row r="57">
      <c r="A57" s="5" t="inlineStr">
        <is>
          <t>MNT-140</t>
        </is>
      </c>
      <c r="B57" s="5" t="inlineStr">
        <is>
          <t>SWEBOK</t>
        </is>
      </c>
      <c r="C57" s="4" t="inlineStr">
        <is>
          <t>8. 供給者管理・SLA(MNT-140〜)</t>
        </is>
      </c>
      <c r="D57" s="8" t="inlineStr">
        <is>
          <t>Critical</t>
        </is>
      </c>
      <c r="E57" s="4" t="inlineStr">
        <is>
          <t>SLA/SLO/SLI が測定可能な形で定義されている</t>
        </is>
      </c>
      <c r="F57" s="4" t="inlineStr">
        <is>
          <t>各 SLO に対応する SLI(測定指標)と測定方法・目標値が明記され、「迅速に対応」等の測定不能表現がない</t>
        </is>
      </c>
      <c r="G57" s="4" t="inlineStr">
        <is>
          <t>SWEBOK は SLI/SLO/SLA を第三者のサービスと品質目標を記述する契約的合意と位置付ける。測定不能な表現の SLA は達成/未達を判定できず、紛争時にどちらの解釈も成り立ってしまう。</t>
        </is>
      </c>
      <c r="H57" s="4" t="inlineStr">
        <is>
          <t>swebok-v4a.pdf ch07 Software Maintenance &gt; 3.2 Activities and Tasks(Maintenance SLIs, SLOs, SLAs)</t>
        </is>
      </c>
      <c r="I57" s="4" t="inlineStr">
        <is>
          <t>CORE</t>
        </is>
      </c>
      <c r="J57" s="4" t="inlineStr">
        <is>
          <t>原則適用。案件スコープ・成果物・規制・リスク上非該当の場合はN/A根拠を記録。</t>
        </is>
      </c>
      <c r="K57" s="4" t="inlineStr">
        <is>
          <t>SRC-SWEBOK-V4A</t>
        </is>
      </c>
      <c r="L57" s="4" t="inlineStr"/>
      <c r="M57" s="4" t="n"/>
      <c r="N57" s="4" t="n"/>
      <c r="O57" s="4" t="n"/>
      <c r="P57" s="4" t="n"/>
      <c r="Q57" s="4" t="n"/>
      <c r="R57" s="4" t="n"/>
      <c r="S57" s="4" t="n"/>
      <c r="T57" s="4" t="n"/>
      <c r="U57" s="4" t="n"/>
      <c r="V57" s="4" t="n"/>
      <c r="W57" s="4" t="n"/>
    </row>
    <row r="58">
      <c r="A58" s="5" t="inlineStr">
        <is>
          <t>MNT-141</t>
        </is>
      </c>
      <c r="B58" s="5" t="inlineStr">
        <is>
          <t>SWEBOK</t>
        </is>
      </c>
      <c r="C58" s="4" t="inlineStr">
        <is>
          <t>8. 供給者管理・SLA(MNT-140〜)</t>
        </is>
      </c>
      <c r="D58" s="9" t="inlineStr">
        <is>
          <t>High</t>
        </is>
      </c>
      <c r="E58" s="4" t="inlineStr">
        <is>
          <t>SLA と体制・コストが整合している</t>
        </is>
      </c>
      <c r="F58" s="4" t="inlineStr">
        <is>
          <t>対応時間・復旧目標が要員体制(受付時間・当番)で実現可能であることが説明されている</t>
        </is>
      </c>
      <c r="G58" s="4" t="inlineStr">
        <is>
          <t>体制の裏付けのない SLA は署名した瞬間から未達が確定しており、違約や恒常的残業として顕在化する。対応時間・復旧目標と要員・当番体制の整合を事前に検証させる。</t>
        </is>
      </c>
      <c r="H58" s="4" t="inlineStr">
        <is>
          <t>swebok-v4a.pdf ch07 Software Maintenance &gt; 2.2.4 Supplier Management(SLA の条件決定の課題)/ 2.2.2 Staffing</t>
        </is>
      </c>
      <c r="I58" s="4" t="inlineStr">
        <is>
          <t>CORE</t>
        </is>
      </c>
      <c r="J58" s="4" t="inlineStr">
        <is>
          <t>原則適用。案件スコープ・成果物・規制・リスク上非該当の場合はN/A根拠を記録。</t>
        </is>
      </c>
      <c r="K58" s="4" t="inlineStr">
        <is>
          <t>SRC-SWEBOK-V4A</t>
        </is>
      </c>
      <c r="L58" s="4" t="inlineStr">
        <is>
          <t>COST</t>
        </is>
      </c>
      <c r="M58" s="4" t="n"/>
      <c r="N58" s="4" t="n"/>
      <c r="O58" s="4" t="n"/>
      <c r="P58" s="4" t="n"/>
      <c r="Q58" s="4" t="n"/>
      <c r="R58" s="4" t="n"/>
      <c r="S58" s="4" t="n"/>
      <c r="T58" s="4" t="n"/>
      <c r="U58" s="4" t="n"/>
      <c r="V58" s="4" t="n"/>
      <c r="W58" s="4" t="n"/>
    </row>
    <row r="59">
      <c r="A59" s="5" t="inlineStr">
        <is>
          <t>MNT-142</t>
        </is>
      </c>
      <c r="B59" s="5" t="inlineStr">
        <is>
          <t>SWEBOK</t>
        </is>
      </c>
      <c r="C59" s="4" t="inlineStr">
        <is>
          <t>8. 供給者管理・SLA(MNT-140〜)</t>
        </is>
      </c>
      <c r="D59" s="9" t="inlineStr">
        <is>
          <t>High</t>
        </is>
      </c>
      <c r="E59" s="4" t="inlineStr">
        <is>
          <t>委託範囲と受入基準が定義されている(外部委託がある場合)</t>
        </is>
      </c>
      <c r="F59" s="4" t="inlineStr">
        <is>
          <t>委託する作業・成果物と受入判定基準が契約または計画書に明記されている</t>
        </is>
      </c>
      <c r="G59" s="4" t="inlineStr">
        <is>
          <t>アウトソーシングの主要課題は保守サービスの範囲・SLA 条件・契約詳細の決定である。受入基準がないと、成果物の品質を検収時に判定できず、品質問題が発覚しても契約上の是正を求められない。</t>
        </is>
      </c>
      <c r="H59" s="4" t="inlineStr">
        <is>
          <t>swebok-v4a.pdf ch07 Software Maintenance &gt; 2.2.4 Supplier Management</t>
        </is>
      </c>
      <c r="I59" s="4" t="inlineStr">
        <is>
          <t>CORE</t>
        </is>
      </c>
      <c r="J59" s="4" t="inlineStr">
        <is>
          <t>原則適用。案件スコープ・成果物・規制・リスク上非該当の場合はN/A根拠を記録。</t>
        </is>
      </c>
      <c r="K59" s="4" t="inlineStr">
        <is>
          <t>SRC-SWEBOK-V4A</t>
        </is>
      </c>
      <c r="L59" s="4" t="inlineStr"/>
      <c r="M59" s="4" t="n"/>
      <c r="N59" s="4" t="n"/>
      <c r="O59" s="4" t="n"/>
      <c r="P59" s="4" t="n"/>
      <c r="Q59" s="4" t="n"/>
      <c r="R59" s="4" t="n"/>
      <c r="S59" s="4" t="n"/>
      <c r="T59" s="4" t="n"/>
      <c r="U59" s="4" t="n"/>
      <c r="V59" s="4" t="n"/>
      <c r="W59" s="4" t="n"/>
    </row>
    <row r="60">
      <c r="A60" s="5" t="inlineStr">
        <is>
          <t>MNT-143</t>
        </is>
      </c>
      <c r="B60" s="5" t="inlineStr">
        <is>
          <t>SWEBOK</t>
        </is>
      </c>
      <c r="C60" s="4" t="inlineStr">
        <is>
          <t>8. 供給者管理・SLA(MNT-140〜)</t>
        </is>
      </c>
      <c r="D60" s="10" t="inlineStr">
        <is>
          <t>Medium</t>
        </is>
      </c>
      <c r="E60" s="4" t="inlineStr">
        <is>
          <t>シングルソース/マルチソーシングの方針が明記されている(外部委託がある場合)</t>
        </is>
      </c>
      <c r="F60" s="4" t="inlineStr">
        <is>
          <t>供給者構成とロックインリスクへの言及がある</t>
        </is>
      </c>
      <c r="G60" s="4" t="inlineStr">
        <is>
          <t>シングルソースは統合管理が容易だがロックインを生み、マルチソーシングは XaaS/API 時代に有効だが統合責任が曖昧になる。方針が明文化されていないと、供給者の撤退・値上げ時に交渉力を失う。</t>
        </is>
      </c>
      <c r="H60" s="4" t="inlineStr">
        <is>
          <t>swebok-v4a.pdf ch07 Software Maintenance &gt; 2.2.4 Supplier Management(Single source or partnership / Multi-sourcing)</t>
        </is>
      </c>
      <c r="I60" s="4" t="inlineStr">
        <is>
          <t>CORE</t>
        </is>
      </c>
      <c r="J60" s="4" t="inlineStr">
        <is>
          <t>原則適用。案件スコープ・成果物・規制・リスク上非該当の場合はN/A根拠を記録。</t>
        </is>
      </c>
      <c r="K60" s="4" t="inlineStr">
        <is>
          <t>SRC-SWEBOK-V4A</t>
        </is>
      </c>
      <c r="L60" s="4" t="inlineStr"/>
      <c r="M60" s="4" t="n"/>
      <c r="N60" s="4" t="n"/>
      <c r="O60" s="4" t="n"/>
      <c r="P60" s="4" t="n"/>
      <c r="Q60" s="4" t="n"/>
      <c r="R60" s="4" t="n"/>
      <c r="S60" s="4" t="n"/>
      <c r="T60" s="4" t="n"/>
      <c r="U60" s="4" t="n"/>
      <c r="V60" s="4" t="n"/>
      <c r="W60" s="4" t="n"/>
    </row>
    <row r="61">
      <c r="A61" s="5" t="inlineStr">
        <is>
          <t>MNT-144</t>
        </is>
      </c>
      <c r="B61" s="5" t="inlineStr">
        <is>
          <t>SWEBOK</t>
        </is>
      </c>
      <c r="C61" s="4" t="inlineStr">
        <is>
          <t>8. 供給者管理・SLA(MNT-140〜)</t>
        </is>
      </c>
      <c r="D61" s="10" t="inlineStr">
        <is>
          <t>Medium</t>
        </is>
      </c>
      <c r="E61" s="4" t="inlineStr">
        <is>
          <t>SLO 達成状況が定期報告されている</t>
        </is>
      </c>
      <c r="F61" s="4" t="inlineStr">
        <is>
          <t>報告頻度・報告先が定義され、直近の報告実績が存在する</t>
        </is>
      </c>
      <c r="G61" s="4" t="inlineStr">
        <is>
          <t>供給者管理は供給者のパフォーマンスの適切な管理を求める。SLO 達成状況の定期報告がないと、サービス劣化が契約更改まで放置され、利用者側で問題が顕在化してから初めて気付くことになる。</t>
        </is>
      </c>
      <c r="H61" s="4" t="inlineStr">
        <is>
          <t>swebok-v4a.pdf ch07 Software Maintenance &gt; 2.2.4 Supplier Management / 3.2.1 Supporting and Monitoring Activities(顧客満足の監視)</t>
        </is>
      </c>
      <c r="I61" s="4" t="inlineStr">
        <is>
          <t>CORE</t>
        </is>
      </c>
      <c r="J61" s="4" t="inlineStr">
        <is>
          <t>原則適用。案件スコープ・成果物・規制・リスク上非該当の場合はN/A根拠を記録。</t>
        </is>
      </c>
      <c r="K61" s="4" t="inlineStr">
        <is>
          <t>SRC-SWEBOK-V4A</t>
        </is>
      </c>
      <c r="L61" s="4" t="inlineStr"/>
      <c r="M61" s="4" t="n"/>
      <c r="N61" s="4" t="n"/>
      <c r="O61" s="4" t="n"/>
      <c r="P61" s="4" t="n"/>
      <c r="Q61" s="4" t="n"/>
      <c r="R61" s="4" t="n"/>
      <c r="S61" s="4" t="n"/>
      <c r="T61" s="4" t="n"/>
      <c r="U61" s="4" t="n"/>
      <c r="V61" s="4" t="n"/>
      <c r="W61" s="4" t="n"/>
    </row>
    <row r="62">
      <c r="A62" s="5" t="inlineStr">
        <is>
          <t>MNT-145</t>
        </is>
      </c>
      <c r="B62" s="5" t="inlineStr">
        <is>
          <t>SWEBOK</t>
        </is>
      </c>
      <c r="C62" s="4" t="inlineStr">
        <is>
          <t>8. 供給者管理・SLA(MNT-140〜)</t>
        </is>
      </c>
      <c r="D62" s="10" t="inlineStr">
        <is>
          <t>Medium</t>
        </is>
      </c>
      <c r="E62" s="4" t="inlineStr">
        <is>
          <t>ライセンス契約(利用ソフトウェア・提供ソフトウェア)が管理されている</t>
        </is>
      </c>
      <c r="F62" s="4" t="inlineStr">
        <is>
          <t>ライセンス一覧に期限・条件が記録され、期限切れが0件である</t>
        </is>
      </c>
      <c r="G62" s="4" t="inlineStr">
        <is>
          <t>SWEBOK は保守のソフトウェア・ハードウェアのライセンスと契約を保守固有の管理対象に挙げ、ライセンス保守費をコスト要素に含める。期限切れの見逃しはサポート喪失や法的リスクに直結する。</t>
        </is>
      </c>
      <c r="H62" s="4" t="inlineStr">
        <is>
          <t>swebok-v4a.pdf ch07 Software Maintenance &gt; 3.2 Activities and Tasks(licenses and contracts)/ 2.3.2 Maintenance Cost Estimation(ライセンス費)</t>
        </is>
      </c>
      <c r="I62" s="4" t="inlineStr">
        <is>
          <t>CORE</t>
        </is>
      </c>
      <c r="J62" s="4" t="inlineStr">
        <is>
          <t>原則適用。案件スコープ・成果物・規制・リスク上非該当の場合はN/A根拠を記録。</t>
        </is>
      </c>
      <c r="K62" s="4" t="inlineStr">
        <is>
          <t>SRC-SWEBOK-V4A</t>
        </is>
      </c>
      <c r="L62" s="4" t="inlineStr"/>
      <c r="M62" s="4" t="n"/>
      <c r="N62" s="4" t="n"/>
      <c r="O62" s="4" t="n"/>
      <c r="P62" s="4" t="n"/>
      <c r="Q62" s="4" t="n"/>
      <c r="R62" s="4" t="n"/>
      <c r="S62" s="4" t="n"/>
      <c r="T62" s="4" t="n"/>
      <c r="U62" s="4" t="n"/>
      <c r="V62" s="4" t="n"/>
      <c r="W62" s="4" t="n"/>
    </row>
    <row r="63">
      <c r="A63" s="5" t="inlineStr">
        <is>
          <t>MNT-160</t>
        </is>
      </c>
      <c r="B63" s="5" t="inlineStr">
        <is>
          <t>SWEBOK</t>
        </is>
      </c>
      <c r="C63" s="4" t="inlineStr">
        <is>
          <t>9. 測定・改善(MNT-160〜)</t>
        </is>
      </c>
      <c r="D63" s="9" t="inlineStr">
        <is>
          <t>High</t>
        </is>
      </c>
      <c r="E63" s="4" t="inlineStr">
        <is>
          <t>保守の測定項目が定義されている</t>
        </is>
      </c>
      <c r="F63" s="4" t="inlineStr">
        <is>
          <t>MR 件数、MR あたり工数、保守性・信頼性指標のうち採用項目と測定頻度・データ源が明記されている</t>
        </is>
      </c>
      <c r="G63" s="4" t="inlineStr">
        <is>
          <t>測定項目・頻度・データ源が未定義だと、保守は「多大な資源を消費するが便益が見えない活動」のままとなり、予算削減の標的になる。測定は保守の価値を可視化する唯一の手段である。</t>
        </is>
      </c>
      <c r="H63" s="4" t="inlineStr">
        <is>
          <t>swebok-v4a.pdf ch07 Software Maintenance &gt; 2.4 Software Maintenance Measurement</t>
        </is>
      </c>
      <c r="I63" s="4" t="inlineStr">
        <is>
          <t>CORE</t>
        </is>
      </c>
      <c r="J63" s="4" t="inlineStr">
        <is>
          <t>原則適用。案件スコープ・成果物・規制・リスク上非該当の場合はN/A根拠を記録。</t>
        </is>
      </c>
      <c r="K63" s="4" t="inlineStr">
        <is>
          <t>SRC-SWEBOK-V4A</t>
        </is>
      </c>
      <c r="L63" s="4" t="inlineStr"/>
      <c r="M63" s="4" t="n"/>
      <c r="N63" s="4" t="n"/>
      <c r="O63" s="4" t="n"/>
      <c r="P63" s="4" t="n"/>
      <c r="Q63" s="4" t="n"/>
      <c r="R63" s="4" t="n"/>
      <c r="S63" s="4" t="n"/>
      <c r="T63" s="4" t="n"/>
      <c r="U63" s="4" t="n"/>
      <c r="V63" s="4" t="n"/>
      <c r="W63" s="4" t="n"/>
    </row>
    <row r="64">
      <c r="A64" s="5" t="inlineStr">
        <is>
          <t>MNT-161</t>
        </is>
      </c>
      <c r="B64" s="5" t="inlineStr">
        <is>
          <t>SWEBOK</t>
        </is>
      </c>
      <c r="C64" s="4" t="inlineStr">
        <is>
          <t>9. 測定・改善(MNT-160〜)</t>
        </is>
      </c>
      <c r="D64" s="9" t="inlineStr">
        <is>
          <t>High</t>
        </is>
      </c>
      <c r="E64" s="4" t="inlineStr">
        <is>
          <t>直近の実測値が記録されている</t>
        </is>
      </c>
      <c r="F64" s="4" t="inlineStr">
        <is>
          <t>定義された全測定項目に、定義された頻度内の実測値がある</t>
        </is>
      </c>
      <c r="G64" s="4" t="inlineStr">
        <is>
          <t>定義だけあって実測がない測定プログラムは形骸化の典型で、見積り改善にも傾向分析にも使えない。SWEBOK も履歴測定データをコスト見積りの入力とすることを求める。</t>
        </is>
      </c>
      <c r="H64" s="4" t="inlineStr">
        <is>
          <t>swebok-v4a.pdf ch07 Software Maintenance &gt; 2.4 Software Maintenance Measurement / 2.3.2 Maintenance Cost Estimation(履歴データの活用)</t>
        </is>
      </c>
      <c r="I64" s="4" t="inlineStr">
        <is>
          <t>CORE</t>
        </is>
      </c>
      <c r="J64" s="4" t="inlineStr">
        <is>
          <t>原則適用。案件スコープ・成果物・規制・リスク上非該当の場合はN/A根拠を記録。</t>
        </is>
      </c>
      <c r="K64" s="4" t="inlineStr">
        <is>
          <t>SRC-SWEBOK-V4A</t>
        </is>
      </c>
      <c r="L64" s="4" t="inlineStr"/>
      <c r="M64" s="4" t="n"/>
      <c r="N64" s="4" t="n"/>
      <c r="O64" s="4" t="n"/>
      <c r="P64" s="4" t="n"/>
      <c r="Q64" s="4" t="n"/>
      <c r="R64" s="4" t="n"/>
      <c r="S64" s="4" t="n"/>
      <c r="T64" s="4" t="n"/>
      <c r="U64" s="4" t="n"/>
      <c r="V64" s="4" t="n"/>
      <c r="W64" s="4" t="n"/>
    </row>
    <row r="65">
      <c r="A65" s="5" t="inlineStr">
        <is>
          <t>MNT-162</t>
        </is>
      </c>
      <c r="B65" s="5" t="inlineStr">
        <is>
          <t>SWEBOK</t>
        </is>
      </c>
      <c r="C65" s="4" t="inlineStr">
        <is>
          <t>9. 測定・改善(MNT-160〜)</t>
        </is>
      </c>
      <c r="D65" s="10" t="inlineStr">
        <is>
          <t>Medium</t>
        </is>
      </c>
      <c r="E65" s="4" t="inlineStr">
        <is>
          <t>測定結果が計画・台帳へフィードバックされている</t>
        </is>
      </c>
      <c r="F65" s="4" t="inlineStr">
        <is>
          <t>測定結果に基づく保守計画改定・負債台帳追加・予防保守起票のいずれかの実績または手順がある</t>
        </is>
      </c>
      <c r="G65" s="4" t="inlineStr">
        <is>
          <t>測定結果が計画・台帳へ還流しないと、測るだけで何も変わらない「メトリクス劇場」になる。傾向分析を改善と予防保守へつなげることが測定の目的である。</t>
        </is>
      </c>
      <c r="H65" s="4" t="inlineStr">
        <is>
          <t>swebok-v4a.pdf ch07 Software Maintenance &gt; 2.4 Software Maintenance Measurement(カテゴリ別の収集・分析・傾向把握による改善)</t>
        </is>
      </c>
      <c r="I65" s="4" t="inlineStr">
        <is>
          <t>CORE</t>
        </is>
      </c>
      <c r="J65" s="4" t="inlineStr">
        <is>
          <t>原則適用。案件スコープ・成果物・規制・リスク上非該当の場合はN/A根拠を記録。</t>
        </is>
      </c>
      <c r="K65" s="4" t="inlineStr">
        <is>
          <t>SRC-SWEBOK-V4A</t>
        </is>
      </c>
      <c r="L65" s="4" t="inlineStr"/>
      <c r="M65" s="4" t="n"/>
      <c r="N65" s="4" t="n"/>
      <c r="O65" s="4" t="n"/>
      <c r="P65" s="4" t="n"/>
      <c r="Q65" s="4" t="n"/>
      <c r="R65" s="4" t="n"/>
      <c r="S65" s="4" t="n"/>
      <c r="T65" s="4" t="n"/>
      <c r="U65" s="4" t="n"/>
      <c r="V65" s="4" t="n"/>
      <c r="W65" s="4" t="n"/>
    </row>
    <row r="66">
      <c r="A66" s="5" t="inlineStr">
        <is>
          <t>MNT-163</t>
        </is>
      </c>
      <c r="B66" s="5" t="inlineStr">
        <is>
          <t>SWEBOK</t>
        </is>
      </c>
      <c r="C66" s="4" t="inlineStr">
        <is>
          <t>9. 測定・改善(MNT-160〜)</t>
        </is>
      </c>
      <c r="D66" s="10" t="inlineStr">
        <is>
          <t>Medium</t>
        </is>
      </c>
      <c r="E66" s="4" t="inlineStr">
        <is>
          <t>閾値と閾値超過時のアクションが定義されている</t>
        </is>
      </c>
      <c r="F66" s="4" t="inlineStr">
        <is>
          <t>主要指標に閾値があり、超過時の対応(エスカレーション・予防保守化)が記述されている</t>
        </is>
      </c>
      <c r="G66" s="4" t="inlineStr">
        <is>
          <t>閾値がないと指標の悪化が「そういうものか」と黙認され、対応が手遅れになる。超過時アクションの事前定義により、悪化検知から是正までの判断遅延を防ぐ。</t>
        </is>
      </c>
      <c r="H66" s="4" t="inlineStr">
        <is>
          <t>実務補完(2.4 Measurement の運用詳細化、SLO 運用の実務)</t>
        </is>
      </c>
      <c r="I66" s="4" t="inlineStr">
        <is>
          <t>CORE</t>
        </is>
      </c>
      <c r="J66" s="4" t="inlineStr">
        <is>
          <t>原則適用。案件スコープ・成果物・規制・リスク上非該当の場合はN/A根拠を記録。</t>
        </is>
      </c>
      <c r="K66" s="4" t="inlineStr">
        <is>
          <t>SRC-PRACTICE</t>
        </is>
      </c>
      <c r="L66" s="4" t="inlineStr"/>
      <c r="M66" s="4" t="n"/>
      <c r="N66" s="4" t="n"/>
      <c r="O66" s="4" t="n"/>
      <c r="P66" s="4" t="n"/>
      <c r="Q66" s="4" t="n"/>
      <c r="R66" s="4" t="n"/>
      <c r="S66" s="4" t="n"/>
      <c r="T66" s="4" t="n"/>
      <c r="U66" s="4" t="n"/>
      <c r="V66" s="4" t="n"/>
      <c r="W66" s="4" t="n"/>
    </row>
    <row r="67">
      <c r="A67" s="5" t="inlineStr">
        <is>
          <t>MNT-164</t>
        </is>
      </c>
      <c r="B67" s="5" t="inlineStr">
        <is>
          <t>SWEBOK</t>
        </is>
      </c>
      <c r="C67" s="4" t="inlineStr">
        <is>
          <t>9. 測定・改善(MNT-160〜)</t>
        </is>
      </c>
      <c r="D67" s="11" t="inlineStr">
        <is>
          <t>Low</t>
        </is>
      </c>
      <c r="E67" s="4" t="inlineStr">
        <is>
          <t>顧客満足度・利用者フィードバックの収集方法がある</t>
        </is>
      </c>
      <c r="F67" s="4" t="inlineStr">
        <is>
          <t>収集チャネルと頻度が定義されている</t>
        </is>
      </c>
      <c r="G67" s="4" t="inlineStr">
        <is>
          <t>SWEBOK は保守結果管理の重要活動として顧客満足の監視を明記する。収集チャネルがないと、利用者の不満は解約や非公式ルートの苦情という形で初めて表面化する。</t>
        </is>
      </c>
      <c r="H67" s="4" t="inlineStr">
        <is>
          <t>swebok-v4a.pdf ch07 Software Maintenance &gt; 3.2.1 Supporting and Monitoring Activities(顧客満足の監視)</t>
        </is>
      </c>
      <c r="I67" s="4" t="inlineStr">
        <is>
          <t>CORE</t>
        </is>
      </c>
      <c r="J67" s="4" t="inlineStr">
        <is>
          <t>原則適用。案件スコープ・成果物・規制・リスク上非該当の場合はN/A根拠を記録。</t>
        </is>
      </c>
      <c r="K67" s="4" t="inlineStr">
        <is>
          <t>SRC-SWEBOK-V4A</t>
        </is>
      </c>
      <c r="L67" s="4" t="inlineStr"/>
      <c r="M67" s="4" t="n"/>
      <c r="N67" s="4" t="n"/>
      <c r="O67" s="4" t="n"/>
      <c r="P67" s="4" t="n"/>
      <c r="Q67" s="4" t="n"/>
      <c r="R67" s="4" t="n"/>
      <c r="S67" s="4" t="n"/>
      <c r="T67" s="4" t="n"/>
      <c r="U67" s="4" t="n"/>
      <c r="V67" s="4" t="n"/>
      <c r="W67" s="4" t="n"/>
    </row>
    <row r="68">
      <c r="A68" s="5" t="inlineStr">
        <is>
          <t>MNT-901</t>
        </is>
      </c>
      <c r="B68" s="5" t="inlineStr">
        <is>
          <t>追加承認</t>
        </is>
      </c>
      <c r="C68" s="4" t="inlineStr">
        <is>
          <t>9. 測定・改善(MNT-160〜)</t>
        </is>
      </c>
      <c r="D68" s="10" t="inlineStr">
        <is>
          <t>Medium</t>
        </is>
      </c>
      <c r="E68" s="4" t="inlineStr">
        <is>
          <t>保守工数・コストが保守区分別に集計され傾向分析されている</t>
        </is>
      </c>
      <c r="F68" s="4" t="inlineStr">
        <is>
          <t>是正/予防/適応/追加/完全化(または修正/拡張)の区分別に工数またはコストの実績が集計され、期間比較(前期比等)の分析結果が報告に含まれている</t>
        </is>
      </c>
      <c r="G68" s="4" t="inlineStr">
        <is>
          <t>修正と拡張を混ぜた報告は「保守=バグ修正で高コスト」という誤解を生み、予算削減や投資判断の誤りを招く。区分別の傾向提示により保守費の使途を説明可能にする。</t>
        </is>
      </c>
      <c r="H68" s="4" t="inlineStr">
        <is>
          <t>swebok-v4a.pdf ch07 Software Maintenance &gt; 2.3 / 2.4 保守区分別のコスト・工数の傾向分析(cost trends by categories of maintenance)</t>
        </is>
      </c>
      <c r="I68" s="4" t="inlineStr">
        <is>
          <t>CORE</t>
        </is>
      </c>
      <c r="J68" s="4" t="inlineStr">
        <is>
          <t>原則適用。案件スコープ・成果物・規制・リスク上非該当の場合はN/A根拠を記録。</t>
        </is>
      </c>
      <c r="K68" s="4" t="inlineStr">
        <is>
          <t>SRC-SWEBOK-V4A</t>
        </is>
      </c>
      <c r="L68" s="4" t="inlineStr">
        <is>
          <t>COST</t>
        </is>
      </c>
      <c r="M68" s="4" t="n"/>
      <c r="N68" s="4" t="n"/>
      <c r="O68" s="4" t="n"/>
      <c r="P68" s="4" t="n"/>
      <c r="Q68" s="4" t="n"/>
      <c r="R68" s="4" t="n"/>
      <c r="S68" s="4" t="n"/>
      <c r="T68" s="4" t="n"/>
      <c r="U68" s="4" t="n"/>
      <c r="V68" s="4" t="n"/>
      <c r="W68" s="4" t="n"/>
    </row>
    <row r="69">
      <c r="A69" s="5" t="inlineStr">
        <is>
          <t>MNT-180</t>
        </is>
      </c>
      <c r="B69" s="5" t="inlineStr">
        <is>
          <t>SWEBOK</t>
        </is>
      </c>
      <c r="C69" s="4" t="inlineStr">
        <is>
          <t>10. EOL・移行・廃棄(MNT-180〜)</t>
        </is>
      </c>
      <c r="D69" s="8" t="inlineStr">
        <is>
          <t>Critical</t>
        </is>
      </c>
      <c r="E69" s="4" t="inlineStr">
        <is>
          <t>EOL 対象と期限が特定されている</t>
        </is>
      </c>
      <c r="F69" s="4" t="inlineStr">
        <is>
          <t>OS・ミドルウェア・ライブラリ・ハードウェア・契約の EOL 日付が一覧化され、情報源(ベンダー公表等)が示されている</t>
        </is>
      </c>
      <c r="G69" s="4" t="inlineStr">
        <is>
          <t>保守の目的には技術的陳腐化の解消とソフトウェアの退役が含まれる。EOL 期限が一覧化されていないと、パッチ提供終了後に脆弱性を抱えたまま稼働を続ける事態に気付かないまま陥る。</t>
        </is>
      </c>
      <c r="H69" s="4" t="inlineStr">
        <is>
          <t>swebok-v4a.pdf ch07 Software Maintenance &gt; 1.3 Need for Software Maintenance(技術的陳腐化の解消・退役)</t>
        </is>
      </c>
      <c r="I69" s="4" t="inlineStr">
        <is>
          <t>CORE</t>
        </is>
      </c>
      <c r="J69" s="4" t="inlineStr">
        <is>
          <t>原則適用。案件スコープ・成果物・規制・リスク上非該当の場合はN/A根拠を記録。</t>
        </is>
      </c>
      <c r="K69" s="4" t="inlineStr">
        <is>
          <t>SRC-SWEBOK-V4A</t>
        </is>
      </c>
      <c r="L69" s="4" t="inlineStr"/>
      <c r="M69" s="4" t="n"/>
      <c r="N69" s="4" t="n"/>
      <c r="O69" s="4" t="n"/>
      <c r="P69" s="4" t="n"/>
      <c r="Q69" s="4" t="n"/>
      <c r="R69" s="4" t="n"/>
      <c r="S69" s="4" t="n"/>
      <c r="T69" s="4" t="n"/>
      <c r="U69" s="4" t="n"/>
      <c r="V69" s="4" t="n"/>
      <c r="W69" s="4" t="n"/>
    </row>
    <row r="70">
      <c r="A70" s="5" t="inlineStr">
        <is>
          <t>MNT-181</t>
        </is>
      </c>
      <c r="B70" s="5" t="inlineStr">
        <is>
          <t>SWEBOK</t>
        </is>
      </c>
      <c r="C70" s="4" t="inlineStr">
        <is>
          <t>10. EOL・移行・廃棄(MNT-180〜)</t>
        </is>
      </c>
      <c r="D70" s="8" t="inlineStr">
        <is>
          <t>Critical</t>
        </is>
      </c>
      <c r="E70" s="4" t="inlineStr">
        <is>
          <t>移行方式が選定理由付きで決定されている</t>
        </is>
      </c>
      <c r="F70" s="4" t="inlineStr">
        <is>
          <t>並行稼働/一括切替/段階移行から選定され、業務影響・コスト・リスクの比較根拠がある</t>
        </is>
      </c>
      <c r="G70" s="4" t="inlineStr">
        <is>
          <t>移行方式は業務影響・コスト・リスクのトレードオフであり、根拠なき一括切替は失敗時に業務全停止を招く。比較検討の記録により、リスクを理解した上での経営判断であることを担保する。</t>
        </is>
      </c>
      <c r="H70" s="4" t="inlineStr">
        <is>
          <t>swebok-v4a.pdf ch07 Software Maintenance &gt; 3.1 Software Maintenance Processes(Transition/Disposal)/ 実務補完(移行方式選定の実務)</t>
        </is>
      </c>
      <c r="I70" s="4" t="inlineStr">
        <is>
          <t>CORE</t>
        </is>
      </c>
      <c r="J70" s="4" t="inlineStr">
        <is>
          <t>原則適用。案件スコープ・成果物・規制・リスク上非該当の場合はN/A根拠を記録。</t>
        </is>
      </c>
      <c r="K70" s="4" t="inlineStr">
        <is>
          <t>SRC-SWEBOK-V4A;SRC-PRACTICE</t>
        </is>
      </c>
      <c r="L70" s="4" t="inlineStr"/>
      <c r="M70" s="4" t="n"/>
      <c r="N70" s="4" t="n"/>
      <c r="O70" s="4" t="n"/>
      <c r="P70" s="4" t="n"/>
      <c r="Q70" s="4" t="n"/>
      <c r="R70" s="4" t="n"/>
      <c r="S70" s="4" t="n"/>
      <c r="T70" s="4" t="n"/>
      <c r="U70" s="4" t="n"/>
      <c r="V70" s="4" t="n"/>
      <c r="W70" s="4" t="n"/>
    </row>
    <row r="71">
      <c r="A71" s="5" t="inlineStr">
        <is>
          <t>MNT-182</t>
        </is>
      </c>
      <c r="B71" s="5" t="inlineStr">
        <is>
          <t>SWEBOK</t>
        </is>
      </c>
      <c r="C71" s="4" t="inlineStr">
        <is>
          <t>10. EOL・移行・廃棄(MNT-180〜)</t>
        </is>
      </c>
      <c r="D71" s="8" t="inlineStr">
        <is>
          <t>Critical</t>
        </is>
      </c>
      <c r="E71" s="4" t="inlineStr">
        <is>
          <t>切戻し条件・手順が定義されている</t>
        </is>
      </c>
      <c r="F71" s="4" t="inlineStr">
        <is>
          <t>切戻しを判断する具体的条件(判定時刻・判定基準)と、リハーサル可能な粒度の手順がある</t>
        </is>
      </c>
      <c r="G71" s="4" t="inlineStr">
        <is>
          <t>リリース計画のバックアウト計画の考え方は移行ではさらに重要になる。切戻し条件(判定時刻・基準)が曖昧だと、移行トラブル時に「もう少し粘るか戻すか」で紛糾し、復旧限界時刻を超過する。</t>
        </is>
      </c>
      <c r="H71" s="4" t="inlineStr">
        <is>
          <t>swebok-v4a.pdf ch07 Software Maintenance &gt; 3.2.2 Planning Activities(back-out plan)の移行への適用</t>
        </is>
      </c>
      <c r="I71" s="4" t="inlineStr">
        <is>
          <t>CORE</t>
        </is>
      </c>
      <c r="J71" s="4" t="inlineStr">
        <is>
          <t>原則適用。案件スコープ・成果物・規制・リスク上非該当の場合はN/A根拠を記録。</t>
        </is>
      </c>
      <c r="K71" s="4" t="inlineStr">
        <is>
          <t>SRC-SWEBOK-V4A</t>
        </is>
      </c>
      <c r="L71" s="4" t="inlineStr"/>
      <c r="M71" s="4" t="n"/>
      <c r="N71" s="4" t="n"/>
      <c r="O71" s="4" t="n"/>
      <c r="P71" s="4" t="n"/>
      <c r="Q71" s="4" t="n"/>
      <c r="R71" s="4" t="n"/>
      <c r="S71" s="4" t="n"/>
      <c r="T71" s="4" t="n"/>
      <c r="U71" s="4" t="n"/>
      <c r="V71" s="4" t="n"/>
      <c r="W71" s="4" t="n"/>
    </row>
    <row r="72">
      <c r="A72" s="5" t="inlineStr">
        <is>
          <t>MNT-183</t>
        </is>
      </c>
      <c r="B72" s="5" t="inlineStr">
        <is>
          <t>SWEBOK</t>
        </is>
      </c>
      <c r="C72" s="4" t="inlineStr">
        <is>
          <t>10. EOL・移行・廃棄(MNT-180〜)</t>
        </is>
      </c>
      <c r="D72" s="9" t="inlineStr">
        <is>
          <t>High</t>
        </is>
      </c>
      <c r="E72" s="4" t="inlineStr">
        <is>
          <t>データ移行手順と検証方法が定義されている</t>
        </is>
      </c>
      <c r="F72" s="4" t="inlineStr">
        <is>
          <t>移行対象データの範囲、変換規則、件数・整合性の検証方法が明記されている</t>
        </is>
      </c>
      <c r="G72" s="4" t="inlineStr">
        <is>
          <t>データ移行の誤りは業務データの破損・欠損という不可逆な事故になる。件数・整合性の検証方法を事前定義しないと、移行成功の判定が主観になり欠損の発見が業務障害後になる。</t>
        </is>
      </c>
      <c r="H72" s="4" t="inlineStr">
        <is>
          <t>実務補完(4.3 Reverse Engineering のデータリバースエンジニアリングが基礎知識)</t>
        </is>
      </c>
      <c r="I72" s="4" t="inlineStr">
        <is>
          <t>CORE</t>
        </is>
      </c>
      <c r="J72" s="4" t="inlineStr">
        <is>
          <t>原則適用。案件スコープ・成果物・規制・リスク上非該当の場合はN/A根拠を記録。</t>
        </is>
      </c>
      <c r="K72" s="4" t="inlineStr">
        <is>
          <t>SRC-PRACTICE</t>
        </is>
      </c>
      <c r="L72" s="4" t="inlineStr"/>
      <c r="M72" s="4" t="n"/>
      <c r="N72" s="4" t="n"/>
      <c r="O72" s="4" t="n"/>
      <c r="P72" s="4" t="n"/>
      <c r="Q72" s="4" t="n"/>
      <c r="R72" s="4" t="n"/>
      <c r="S72" s="4" t="n"/>
      <c r="T72" s="4" t="n"/>
      <c r="U72" s="4" t="n"/>
      <c r="V72" s="4" t="n"/>
      <c r="W72" s="4" t="n"/>
    </row>
    <row r="73">
      <c r="A73" s="5" t="inlineStr">
        <is>
          <t>MNT-184</t>
        </is>
      </c>
      <c r="B73" s="5" t="inlineStr">
        <is>
          <t>SWEBOK</t>
        </is>
      </c>
      <c r="C73" s="4" t="inlineStr">
        <is>
          <t>10. EOL・移行・廃棄(MNT-180〜)</t>
        </is>
      </c>
      <c r="D73" s="9" t="inlineStr">
        <is>
          <t>High</t>
        </is>
      </c>
      <c r="E73" s="4" t="inlineStr">
        <is>
          <t>移行スケジュールに利用者影響(停止時間)が明記されている</t>
        </is>
      </c>
      <c r="F73" s="4" t="inlineStr">
        <is>
          <t>停止の有無・時間帯・利用者への通知計画が記載されている</t>
        </is>
      </c>
      <c r="G73" s="4" t="inlineStr">
        <is>
          <t>リリース計画では全ステークホルダーへの通知が求められる。停止時間が未通知の移行は、利用者側の業務計画と衝突し、技術的に成功しても業務上は事故になる。</t>
        </is>
      </c>
      <c r="H73" s="4" t="inlineStr">
        <is>
          <t>swebok-v4a.pdf ch07 Software Maintenance &gt; 3.2.2 Planning Activities(Inform all stakeholders)</t>
        </is>
      </c>
      <c r="I73" s="4" t="inlineStr">
        <is>
          <t>CORE</t>
        </is>
      </c>
      <c r="J73" s="4" t="inlineStr">
        <is>
          <t>原則適用。案件スコープ・成果物・規制・リスク上非該当の場合はN/A根拠を記録。</t>
        </is>
      </c>
      <c r="K73" s="4" t="inlineStr">
        <is>
          <t>SRC-SWEBOK-V4A</t>
        </is>
      </c>
      <c r="L73" s="4" t="inlineStr"/>
      <c r="M73" s="4" t="n"/>
      <c r="N73" s="4" t="n"/>
      <c r="O73" s="4" t="n"/>
      <c r="P73" s="4" t="n"/>
      <c r="Q73" s="4" t="n"/>
      <c r="R73" s="4" t="n"/>
      <c r="S73" s="4" t="n"/>
      <c r="T73" s="4" t="n"/>
      <c r="U73" s="4" t="n"/>
      <c r="V73" s="4" t="n"/>
      <c r="W73" s="4" t="n"/>
    </row>
    <row r="74">
      <c r="A74" s="5" t="inlineStr">
        <is>
          <t>MNT-185</t>
        </is>
      </c>
      <c r="B74" s="5" t="inlineStr">
        <is>
          <t>SWEBOK</t>
        </is>
      </c>
      <c r="C74" s="4" t="inlineStr">
        <is>
          <t>10. EOL・移行・廃棄(MNT-180〜)</t>
        </is>
      </c>
      <c r="D74" s="9" t="inlineStr">
        <is>
          <t>High</t>
        </is>
      </c>
      <c r="E74" s="4" t="inlineStr">
        <is>
          <t>廃棄時のデータ保全・契約整理が計画されている</t>
        </is>
      </c>
      <c r="F74" s="4" t="inlineStr">
        <is>
          <t>保存義務のあるデータのアーカイブ方法・期間、ライセンス・契約の終了手続き、利用者通知が記述されている</t>
        </is>
      </c>
      <c r="G74" s="4" t="inlineStr">
        <is>
          <t>廃棄はソフトウェア保守プロセスが接続するライフサイクルの終端であり、保存義務データの喪失や契約・ライセンスの解約漏れは、システム停止後に法的・金銭的な問題として残り続ける。</t>
        </is>
      </c>
      <c r="H74" s="4" t="inlineStr">
        <is>
          <t>swebok-v4a.pdf ch07 Software Maintenance &gt; 3.1 Software Maintenance Processes(Disposal)/ 3.2 Activities and Tasks(licenses and contracts)</t>
        </is>
      </c>
      <c r="I74" s="4" t="inlineStr">
        <is>
          <t>CORE</t>
        </is>
      </c>
      <c r="J74" s="4" t="inlineStr">
        <is>
          <t>原則適用。案件スコープ・成果物・規制・リスク上非該当の場合はN/A根拠を記録。</t>
        </is>
      </c>
      <c r="K74" s="4" t="inlineStr">
        <is>
          <t>SRC-SWEBOK-V4A</t>
        </is>
      </c>
      <c r="L74" s="4" t="inlineStr"/>
      <c r="M74" s="4" t="n"/>
      <c r="N74" s="4" t="n"/>
      <c r="O74" s="4" t="n"/>
      <c r="P74" s="4" t="n"/>
      <c r="Q74" s="4" t="n"/>
      <c r="R74" s="4" t="n"/>
      <c r="S74" s="4" t="n"/>
      <c r="T74" s="4" t="n"/>
      <c r="U74" s="4" t="n"/>
      <c r="V74" s="4" t="n"/>
      <c r="W74" s="4" t="n"/>
    </row>
    <row r="75">
      <c r="A75" s="5" t="inlineStr">
        <is>
          <t>MNT-186</t>
        </is>
      </c>
      <c r="B75" s="5" t="inlineStr">
        <is>
          <t>SWEBOK</t>
        </is>
      </c>
      <c r="C75" s="4" t="inlineStr">
        <is>
          <t>10. EOL・移行・廃棄(MNT-180〜)</t>
        </is>
      </c>
      <c r="D75" s="10" t="inlineStr">
        <is>
          <t>Medium</t>
        </is>
      </c>
      <c r="E75" s="4" t="inlineStr">
        <is>
          <t>EOL 放置時のリスクが評価されている</t>
        </is>
      </c>
      <c r="F75" s="4" t="inlineStr">
        <is>
          <t>セキュリティパッチ停止・サポート喪失等の具体的リスクと発生時影響が記述されている</t>
        </is>
      </c>
      <c r="G75" s="4" t="inlineStr">
        <is>
          <t>EOL 対応は費用がかかるため放置されがちだが、放置リスク(パッチ停止・サポート喪失)を明文化しないと、経営層が「動いているから問題ない」と判断し、対応予算が確保されない。</t>
        </is>
      </c>
      <c r="H75" s="4" t="inlineStr">
        <is>
          <t>swebok-v4a.pdf ch07 Software Maintenance &gt; 1.3 Need for Software Maintenance(セキュリティ脅威の予防・技術的陳腐化)/ 2.2.1 Alignment with Organizational Objectives</t>
        </is>
      </c>
      <c r="I75" s="4" t="inlineStr">
        <is>
          <t>CORE</t>
        </is>
      </c>
      <c r="J75" s="4" t="inlineStr">
        <is>
          <t>原則適用。案件スコープ・成果物・規制・リスク上非該当の場合はN/A根拠を記録。</t>
        </is>
      </c>
      <c r="K75" s="4" t="inlineStr">
        <is>
          <t>SRC-SWEBOK-V4A</t>
        </is>
      </c>
      <c r="L75" s="4" t="inlineStr"/>
      <c r="M75" s="4" t="n"/>
      <c r="N75" s="4" t="n"/>
      <c r="O75" s="4" t="n"/>
      <c r="P75" s="4" t="n"/>
      <c r="Q75" s="4" t="n"/>
      <c r="R75" s="4" t="n"/>
      <c r="S75" s="4" t="n"/>
      <c r="T75" s="4" t="n"/>
      <c r="U75" s="4" t="n"/>
      <c r="V75" s="4" t="n"/>
      <c r="W75" s="4" t="n"/>
    </row>
    <row r="76">
      <c r="A76" s="5" t="inlineStr">
        <is>
          <t>MNT-187</t>
        </is>
      </c>
      <c r="B76" s="5" t="inlineStr">
        <is>
          <t>SWEBOK</t>
        </is>
      </c>
      <c r="C76" s="4" t="inlineStr">
        <is>
          <t>10. EOL・移行・廃棄(MNT-180〜)</t>
        </is>
      </c>
      <c r="D76" s="10" t="inlineStr">
        <is>
          <t>Medium</t>
        </is>
      </c>
      <c r="E76" s="4" t="inlineStr">
        <is>
          <t>移行後の保守体制(新旧並行期間を含む)が定義されている</t>
        </is>
      </c>
      <c r="F76" s="4" t="inlineStr">
        <is>
          <t>並行稼働期間中の障害対応の切り分けと、旧システム保守の終了条件が記載されている</t>
        </is>
      </c>
      <c r="G76" s="4" t="inlineStr">
        <is>
          <t>新旧並行期間は障害の原因切り分けが最も混乱する期間であり、旧システム保守の終了条件がないと、いつまでも二重保守のコストを払い続けることになる。</t>
        </is>
      </c>
      <c r="H76" s="4" t="inlineStr">
        <is>
          <t>swebok-v4a.pdf ch07 Software Maintenance &gt; 3.1 Software Maintenance Processes(Transition と Operation の並行)/ 実務補完(並行稼働運用の実務)</t>
        </is>
      </c>
      <c r="I76" s="4" t="inlineStr">
        <is>
          <t>CORE</t>
        </is>
      </c>
      <c r="J76" s="4" t="inlineStr">
        <is>
          <t>原則適用。案件スコープ・成果物・規制・リスク上非該当の場合はN/A根拠を記録。</t>
        </is>
      </c>
      <c r="K76" s="4" t="inlineStr">
        <is>
          <t>SRC-SWEBOK-V4A;SRC-PRACTICE</t>
        </is>
      </c>
      <c r="L76" s="4" t="inlineStr"/>
      <c r="M76" s="4" t="n"/>
      <c r="N76" s="4" t="n"/>
      <c r="O76" s="4" t="n"/>
      <c r="P76" s="4" t="n"/>
      <c r="Q76" s="4" t="n"/>
      <c r="R76" s="4" t="n"/>
      <c r="S76" s="4" t="n"/>
      <c r="T76" s="4" t="n"/>
      <c r="U76" s="4" t="n"/>
      <c r="V76" s="4" t="n"/>
      <c r="W76" s="4" t="n"/>
    </row>
    <row r="77">
      <c r="A77" s="5" t="inlineStr">
        <is>
          <t>MNT-200</t>
        </is>
      </c>
      <c r="B77" s="5" t="inlineStr">
        <is>
          <t>SWEBOK</t>
        </is>
      </c>
      <c r="C77" s="4" t="inlineStr">
        <is>
          <t>11. プログラム理解・ドキュメント(MNT-200〜)</t>
        </is>
      </c>
      <c r="D77" s="9" t="inlineStr">
        <is>
          <t>High</t>
        </is>
      </c>
      <c r="E77" s="4" t="inlineStr">
        <is>
          <t>既存ドキュメントの棚卸しと鮮度評価がある</t>
        </is>
      </c>
      <c r="F77" s="4" t="inlineStr">
        <is>
          <t>ドキュメント一覧に最終更新日と実態との乖離有無の評価がある</t>
        </is>
      </c>
      <c r="G77" s="4" t="inlineStr">
        <is>
          <t>保守工数の大半はソフトウェア理解に費やされ、実態と乖離した文書は理解を助けるどころか誤導する。棚卸しと鮮度評価により「信じてよい文書」を保守者が判別できるようにする。</t>
        </is>
      </c>
      <c r="H77" s="4" t="inlineStr">
        <is>
          <t>swebok-v4a.pdf ch07 Software Maintenance &gt; 2.1.1 Limited Understanding(理解要因としての documentation)/ 4.1 Program Comprehension</t>
        </is>
      </c>
      <c r="I77" s="4" t="inlineStr">
        <is>
          <t>CORE</t>
        </is>
      </c>
      <c r="J77" s="4" t="inlineStr">
        <is>
          <t>原則適用。案件スコープ・成果物・規制・リスク上非該当の場合はN/A根拠を記録。</t>
        </is>
      </c>
      <c r="K77" s="4" t="inlineStr">
        <is>
          <t>SRC-SWEBOK-V4A</t>
        </is>
      </c>
      <c r="L77" s="4" t="inlineStr">
        <is>
          <t>OPS-OBSERVABILITY</t>
        </is>
      </c>
      <c r="M77" s="4" t="n"/>
      <c r="N77" s="4" t="n"/>
      <c r="O77" s="4" t="n"/>
      <c r="P77" s="4" t="n"/>
      <c r="Q77" s="4" t="n"/>
      <c r="R77" s="4" t="n"/>
      <c r="S77" s="4" t="n"/>
      <c r="T77" s="4" t="n"/>
      <c r="U77" s="4" t="n"/>
      <c r="V77" s="4" t="n"/>
      <c r="W77" s="4" t="n"/>
    </row>
    <row r="78">
      <c r="A78" s="5" t="inlineStr">
        <is>
          <t>MNT-201</t>
        </is>
      </c>
      <c r="B78" s="5" t="inlineStr">
        <is>
          <t>SWEBOK</t>
        </is>
      </c>
      <c r="C78" s="4" t="inlineStr">
        <is>
          <t>11. プログラム理解・ドキュメント(MNT-200〜)</t>
        </is>
      </c>
      <c r="D78" s="9" t="inlineStr">
        <is>
          <t>High</t>
        </is>
      </c>
      <c r="E78" s="4" t="inlineStr">
        <is>
          <t>プログラム理解の結果が再文書化されている</t>
        </is>
      </c>
      <c r="F78" s="4" t="inlineStr">
        <is>
          <t>調査で得た構造・依存関係(コールグラフ、モジュール構成等)が文書またはリポジトリ内に残されている</t>
        </is>
      </c>
      <c r="G78" s="4" t="inlineStr">
        <is>
          <t>調査で得た構造理解を残さないと、次の保守者が同じ調査を繰り返す。再文書化・設計回復はリバースエンジニアリングの成果として明示されており、理解コストの再発を防ぐ投資である。</t>
        </is>
      </c>
      <c r="H78" s="4" t="inlineStr">
        <is>
          <t>swebok-v4a.pdf ch07 Software Maintenance &gt; 4.3 Reverse Engineering(Re-documentation / Design recovery / コールグラフ等の生成)</t>
        </is>
      </c>
      <c r="I78" s="4" t="inlineStr">
        <is>
          <t>CORE</t>
        </is>
      </c>
      <c r="J78" s="4" t="inlineStr">
        <is>
          <t>原則適用。案件スコープ・成果物・規制・リスク上非該当の場合はN/A根拠を記録。</t>
        </is>
      </c>
      <c r="K78" s="4" t="inlineStr">
        <is>
          <t>SRC-SWEBOK-V4A</t>
        </is>
      </c>
      <c r="L78" s="4" t="inlineStr">
        <is>
          <t>OPS-OBSERVABILITY</t>
        </is>
      </c>
      <c r="M78" s="4" t="n"/>
      <c r="N78" s="4" t="n"/>
      <c r="O78" s="4" t="n"/>
      <c r="P78" s="4" t="n"/>
      <c r="Q78" s="4" t="n"/>
      <c r="R78" s="4" t="n"/>
      <c r="S78" s="4" t="n"/>
      <c r="T78" s="4" t="n"/>
      <c r="U78" s="4" t="n"/>
      <c r="V78" s="4" t="n"/>
      <c r="W78" s="4" t="n"/>
    </row>
    <row r="79">
      <c r="A79" s="5" t="inlineStr">
        <is>
          <t>MNT-202</t>
        </is>
      </c>
      <c r="B79" s="5" t="inlineStr">
        <is>
          <t>SWEBOK</t>
        </is>
      </c>
      <c r="C79" s="4" t="inlineStr">
        <is>
          <t>11. プログラム理解・ドキュメント(MNT-200〜)</t>
        </is>
      </c>
      <c r="D79" s="10" t="inlineStr">
        <is>
          <t>Medium</t>
        </is>
      </c>
      <c r="E79" s="4" t="inlineStr">
        <is>
          <t>解析に用いたツールと手法が記録されている</t>
        </is>
      </c>
      <c r="F79" s="4" t="inlineStr">
        <is>
          <t>静的解析・依存関係解析・動的解析等のツール名と適用範囲が記録され、追試可能である</t>
        </is>
      </c>
      <c r="G79" s="4" t="inlineStr">
        <is>
          <t>SWEBOK は静的解析・動的解析・依存関係解析・可視化などを保守固有のツール群として挙げる。ツールと適用範囲の記録がないと、解析結果の妥当性を検証できず、追試も引き継ぎもできない。</t>
        </is>
      </c>
      <c r="H79" s="4" t="inlineStr">
        <is>
          <t>swebok-v4a.pdf ch07 Software Maintenance &gt; 5. Software Maintenance Tools / 4.5 Visualizing Maintenance</t>
        </is>
      </c>
      <c r="I79" s="4" t="inlineStr">
        <is>
          <t>CORE</t>
        </is>
      </c>
      <c r="J79" s="4" t="inlineStr">
        <is>
          <t>原則適用。案件スコープ・成果物・規制・リスク上非該当の場合はN/A根拠を記録。</t>
        </is>
      </c>
      <c r="K79" s="4" t="inlineStr">
        <is>
          <t>SRC-SWEBOK-V4A</t>
        </is>
      </c>
      <c r="L79" s="4" t="inlineStr">
        <is>
          <t>OPS-OBSERVABILITY</t>
        </is>
      </c>
      <c r="M79" s="4" t="n"/>
      <c r="N79" s="4" t="n"/>
      <c r="O79" s="4" t="n"/>
      <c r="P79" s="4" t="n"/>
      <c r="Q79" s="4" t="n"/>
      <c r="R79" s="4" t="n"/>
      <c r="S79" s="4" t="n"/>
      <c r="T79" s="4" t="n"/>
      <c r="U79" s="4" t="n"/>
      <c r="V79" s="4" t="n"/>
      <c r="W79" s="4" t="n"/>
    </row>
    <row r="80">
      <c r="A80" s="5" t="inlineStr">
        <is>
          <t>MNT-203</t>
        </is>
      </c>
      <c r="B80" s="5" t="inlineStr">
        <is>
          <t>SWEBOK</t>
        </is>
      </c>
      <c r="C80" s="4" t="inlineStr">
        <is>
          <t>11. プログラム理解・ドキュメント(MNT-200〜)</t>
        </is>
      </c>
      <c r="D80" s="10" t="inlineStr">
        <is>
          <t>Medium</t>
        </is>
      </c>
      <c r="E80" s="4" t="inlineStr">
        <is>
          <t>保守作業で得た知見が次の保守者へ引き継がれる形式になっている</t>
        </is>
      </c>
      <c r="F80" s="4" t="inlineStr">
        <is>
          <t>ナレッジの保存場所(Wiki・README・ADR 等)が定まっており、直近の保守作業分が記録されている</t>
        </is>
      </c>
      <c r="G80" s="4" t="inlineStr">
        <is>
          <t>組織構造がどうであれ「保守作業と全変更の質の高い文書を保持する」ことが SWEBOK の要求である。知見が個人に留まると、担当者の離任で組織の理解度がリセットされる。</t>
        </is>
      </c>
      <c r="H80" s="4" t="inlineStr">
        <is>
          <t>swebok-v4a.pdf ch07 Software Maintenance &gt; 2.2.5 Organizational Aspects of Maintenance(保守作業の文書保持)</t>
        </is>
      </c>
      <c r="I80" s="4" t="inlineStr">
        <is>
          <t>CORE</t>
        </is>
      </c>
      <c r="J80" s="4" t="inlineStr">
        <is>
          <t>原則適用。案件スコープ・成果物・規制・リスク上非該当の場合はN/A根拠を記録。</t>
        </is>
      </c>
      <c r="K80" s="4" t="inlineStr">
        <is>
          <t>SRC-SWEBOK-V4A</t>
        </is>
      </c>
      <c r="L80" s="4" t="inlineStr">
        <is>
          <t>OPS-OBSERVABILITY</t>
        </is>
      </c>
      <c r="M80" s="4" t="n"/>
      <c r="N80" s="4" t="n"/>
      <c r="O80" s="4" t="n"/>
      <c r="P80" s="4" t="n"/>
      <c r="Q80" s="4" t="n"/>
      <c r="R80" s="4" t="n"/>
      <c r="S80" s="4" t="n"/>
      <c r="T80" s="4" t="n"/>
      <c r="U80" s="4" t="n"/>
      <c r="V80" s="4" t="n"/>
      <c r="W80" s="4" t="n"/>
    </row>
    <row r="81">
      <c r="A81" s="5" t="inlineStr">
        <is>
          <t>MNT-204</t>
        </is>
      </c>
      <c r="B81" s="5" t="inlineStr">
        <is>
          <t>SWEBOK</t>
        </is>
      </c>
      <c r="C81" s="4" t="inlineStr">
        <is>
          <t>11. プログラム理解・ドキュメント(MNT-200〜)</t>
        </is>
      </c>
      <c r="D81" s="11" t="inlineStr">
        <is>
          <t>Low</t>
        </is>
      </c>
      <c r="E81" s="4" t="inlineStr">
        <is>
          <t>用語が SWEBOK/JIS の定訳・標準用語と整合している</t>
        </is>
      </c>
      <c r="F81" s="4" t="inlineStr">
        <is>
          <t>MR/PR、保守区分等の用語が標準定義と矛盾なく使われ、独自用語には定義がある</t>
        </is>
      </c>
      <c r="G81" s="4" t="inlineStr">
        <is>
          <t>MR/PR や保守区分などの用語が標準とずれると、区分別集計の比較可能性が失われ、委託先・監査者との会話で誤解が生じる。標準用語との整合が測定と契約の共通言語を守る。</t>
        </is>
      </c>
      <c r="H81" s="4" t="inlineStr">
        <is>
          <t>swebok-v4a.pdf ch07 Software Maintenance &gt; 1.1 Definitions and Terminology(ISO/IEC/IEEE 14764 の用語)</t>
        </is>
      </c>
      <c r="I81" s="4" t="inlineStr">
        <is>
          <t>CORE</t>
        </is>
      </c>
      <c r="J81" s="4" t="inlineStr">
        <is>
          <t>原則適用。案件スコープ・成果物・規制・リスク上非該当の場合はN/A根拠を記録。</t>
        </is>
      </c>
      <c r="K81" s="4" t="inlineStr">
        <is>
          <t>SRC-SWEBOK-V4A;SRC-ISO-GENERAL</t>
        </is>
      </c>
      <c r="L81" s="4" t="inlineStr">
        <is>
          <t>OPS-OBSERVABILITY</t>
        </is>
      </c>
      <c r="M81" s="4" t="n"/>
      <c r="N81" s="4" t="n"/>
      <c r="O81" s="4" t="n"/>
      <c r="P81" s="4" t="n"/>
      <c r="Q81" s="4" t="n"/>
      <c r="R81" s="4" t="n"/>
      <c r="S81" s="4" t="n"/>
      <c r="T81" s="4" t="n"/>
      <c r="U81" s="4" t="n"/>
      <c r="V81" s="4" t="n"/>
      <c r="W81" s="4" t="n"/>
    </row>
    <row r="82">
      <c r="A82" s="5" t="inlineStr">
        <is>
          <t>MNT-220</t>
        </is>
      </c>
      <c r="B82" s="5" t="inlineStr">
        <is>
          <t>SWEBOK</t>
        </is>
      </c>
      <c r="C82" s="4" t="inlineStr">
        <is>
          <t>12. プロセス準拠(MNT-220〜)</t>
        </is>
      </c>
      <c r="D82" s="9" t="inlineStr">
        <is>
          <t>High</t>
        </is>
      </c>
      <c r="E82" s="4" t="inlineStr">
        <is>
          <t>保守プロセスが ISO/IEC/IEEE 14764 の活動構成と対応付いている</t>
        </is>
      </c>
      <c r="F82" s="4" t="inlineStr">
        <is>
          <t>保守準備・保守実施・ロジスティクス支援・結果管理に相当する活動が計画書またはプロセス定義に存在する</t>
        </is>
      </c>
      <c r="G82" s="4" t="inlineStr">
        <is>
          <t>ISO/IEC/IEEE 14764 は保守プロセスを保守準備・保守実施・ロジスティクス支援・結果管理で構成する。この骨格との対応がないと、ロジスティクス支援や結果管理といった地味だが必須の活動が計画から抜ける。</t>
        </is>
      </c>
      <c r="H82" s="4" t="inlineStr">
        <is>
          <t>swebok-v4a.pdf ch07 Software Maintenance &gt; 3.1 Software Maintenance Processes(Prepare / Perform / Logistics support / Manage results)</t>
        </is>
      </c>
      <c r="I82" s="4" t="inlineStr">
        <is>
          <t>CORE</t>
        </is>
      </c>
      <c r="J82" s="4" t="inlineStr">
        <is>
          <t>原則適用。案件スコープ・成果物・規制・リスク上非該当の場合はN/A根拠を記録。</t>
        </is>
      </c>
      <c r="K82" s="4" t="inlineStr">
        <is>
          <t>SRC-SWEBOK-V4A</t>
        </is>
      </c>
      <c r="L82" s="4" t="inlineStr"/>
      <c r="M82" s="4" t="n"/>
      <c r="N82" s="4" t="n"/>
      <c r="O82" s="4" t="n"/>
      <c r="P82" s="4" t="n"/>
      <c r="Q82" s="4" t="n"/>
      <c r="R82" s="4" t="n"/>
      <c r="S82" s="4" t="n"/>
      <c r="T82" s="4" t="n"/>
      <c r="U82" s="4" t="n"/>
      <c r="V82" s="4" t="n"/>
      <c r="W82" s="4" t="n"/>
    </row>
    <row r="83">
      <c r="A83" s="5" t="inlineStr">
        <is>
          <t>MNT-221</t>
        </is>
      </c>
      <c r="B83" s="5" t="inlineStr">
        <is>
          <t>SWEBOK</t>
        </is>
      </c>
      <c r="C83" s="4" t="inlineStr">
        <is>
          <t>12. プロセス準拠(MNT-220〜)</t>
        </is>
      </c>
      <c r="D83" s="9" t="inlineStr">
        <is>
          <t>High</t>
        </is>
      </c>
      <c r="E83" s="4" t="inlineStr">
        <is>
          <t>開発から保守への移行(transition)が計画・実施されている</t>
        </is>
      </c>
      <c r="F83" s="4" t="inlineStr">
        <is>
          <t>移行時の引き継ぎ成果物(コード・文書・環境・テスト資産)の一覧と受領確認の記録がある</t>
        </is>
      </c>
      <c r="G83" s="4" t="inlineStr">
        <is>
          <t>Transition は開発から保守チームへソフトウェアを段階的に移管する統制された活動であり、引き継ぎ成果物の受領確認がないと、保守開始後に「テスト資産がない」「環境が再現できない」ことが発覚する。</t>
        </is>
      </c>
      <c r="H83" s="4" t="inlineStr">
        <is>
          <t>swebok-v4a.pdf ch07 Software Maintenance &gt; 3.2 Activities and Tasks(Transition)</t>
        </is>
      </c>
      <c r="I83" s="4" t="inlineStr">
        <is>
          <t>CORE</t>
        </is>
      </c>
      <c r="J83" s="4" t="inlineStr">
        <is>
          <t>原則適用。案件スコープ・成果物・規制・リスク上非該当の場合はN/A根拠を記録。</t>
        </is>
      </c>
      <c r="K83" s="4" t="inlineStr">
        <is>
          <t>SRC-SWEBOK-V4A</t>
        </is>
      </c>
      <c r="L83" s="4" t="inlineStr"/>
      <c r="M83" s="4" t="n"/>
      <c r="N83" s="4" t="n"/>
      <c r="O83" s="4" t="n"/>
      <c r="P83" s="4" t="n"/>
      <c r="Q83" s="4" t="n"/>
      <c r="R83" s="4" t="n"/>
      <c r="S83" s="4" t="n"/>
      <c r="T83" s="4" t="n"/>
      <c r="U83" s="4" t="n"/>
      <c r="V83" s="4" t="n"/>
      <c r="W83" s="4" t="n"/>
    </row>
    <row r="84">
      <c r="A84" s="5" t="inlineStr">
        <is>
          <t>MNT-222</t>
        </is>
      </c>
      <c r="B84" s="5" t="inlineStr">
        <is>
          <t>SWEBOK</t>
        </is>
      </c>
      <c r="C84" s="4" t="inlineStr">
        <is>
          <t>12. プロセス準拠(MNT-220〜)</t>
        </is>
      </c>
      <c r="D84" s="10" t="inlineStr">
        <is>
          <t>Medium</t>
        </is>
      </c>
      <c r="E84" s="4" t="inlineStr">
        <is>
          <t>SQA・V&amp;V・レビューが保守サイクルに組み込まれている</t>
        </is>
      </c>
      <c r="F84" s="4" t="inlineStr">
        <is>
          <t>変更に対するレビュー・検証の実施タイミングと責任者が定義されている</t>
        </is>
      </c>
      <c r="G84" s="4" t="inlineStr">
        <is>
          <t>「保守すれば品質が上がると期待するだけでは不十分」であり、SQA・V&amp;V・レビュー・監査を他プロセスと連動して選択することが求められる。組み込みがないと小さな変更の品質が個人任せになる。</t>
        </is>
      </c>
      <c r="H84" s="4" t="inlineStr">
        <is>
          <t>swebok-v4a.pdf ch07 Software Maintenance &gt; 3.2.4 Software Quality / 3.2.1 Supporting and Monitoring Activities</t>
        </is>
      </c>
      <c r="I84" s="4" t="inlineStr">
        <is>
          <t>CORE</t>
        </is>
      </c>
      <c r="J84" s="4" t="inlineStr">
        <is>
          <t>原則適用。案件スコープ・成果物・規制・リスク上非該当の場合はN/A根拠を記録。</t>
        </is>
      </c>
      <c r="K84" s="4" t="inlineStr">
        <is>
          <t>SRC-SWEBOK-V4A</t>
        </is>
      </c>
      <c r="L84" s="4" t="inlineStr"/>
      <c r="M84" s="4" t="n"/>
      <c r="N84" s="4" t="n"/>
      <c r="O84" s="4" t="n"/>
      <c r="P84" s="4" t="n"/>
      <c r="Q84" s="4" t="n"/>
      <c r="R84" s="4" t="n"/>
      <c r="S84" s="4" t="n"/>
      <c r="T84" s="4" t="n"/>
      <c r="U84" s="4" t="n"/>
      <c r="V84" s="4" t="n"/>
      <c r="W84" s="4" t="n"/>
    </row>
    <row r="85">
      <c r="A85" s="5" t="inlineStr">
        <is>
          <t>MNT-223</t>
        </is>
      </c>
      <c r="B85" s="5" t="inlineStr">
        <is>
          <t>SWEBOK</t>
        </is>
      </c>
      <c r="C85" s="4" t="inlineStr">
        <is>
          <t>12. プロセス準拠(MNT-220〜)</t>
        </is>
      </c>
      <c r="D85" s="10" t="inlineStr">
        <is>
          <t>Medium</t>
        </is>
      </c>
      <c r="E85" s="4" t="inlineStr">
        <is>
          <t>保守活動が開発・運用プロセスと連携している</t>
        </is>
      </c>
      <c r="F85" s="4" t="inlineStr">
        <is>
          <t>運用からのインシデント連携、開発中案件との変更競合の調整方法が定義されている</t>
        </is>
      </c>
      <c r="G85" s="4" t="inlineStr">
        <is>
          <t>保守は開発・運用と知識・ツールを共有し、緊急パッチと次リリース開発が並走する。連携方法が未定義だと、運用のインシデントが保守に届かず、開発中案件との変更競合がマージ時に発覚する。</t>
        </is>
      </c>
      <c r="H85" s="4" t="inlineStr">
        <is>
          <t>swebok-v4a.pdf ch07 Software Maintenance &gt; 1.1 Definitions and Terminology(開発・運用との知識共有)/ 2. Key Issues(次リリース開発と緊急パッチの並走)</t>
        </is>
      </c>
      <c r="I85" s="4" t="inlineStr">
        <is>
          <t>CORE</t>
        </is>
      </c>
      <c r="J85" s="4" t="inlineStr">
        <is>
          <t>原則適用。案件スコープ・成果物・規制・リスク上非該当の場合はN/A根拠を記録。</t>
        </is>
      </c>
      <c r="K85" s="4" t="inlineStr">
        <is>
          <t>SRC-SWEBOK-V4A</t>
        </is>
      </c>
      <c r="L85" s="4" t="inlineStr"/>
      <c r="M85" s="4" t="n"/>
      <c r="N85" s="4" t="n"/>
      <c r="O85" s="4" t="n"/>
      <c r="P85" s="4" t="n"/>
      <c r="Q85" s="4" t="n"/>
      <c r="R85" s="4" t="n"/>
      <c r="S85" s="4" t="n"/>
      <c r="T85" s="4" t="n"/>
      <c r="U85" s="4" t="n"/>
      <c r="V85" s="4" t="n"/>
      <c r="W85" s="4" t="n"/>
    </row>
    <row r="86">
      <c r="A86" s="5" t="inlineStr">
        <is>
          <t>MNT-224</t>
        </is>
      </c>
      <c r="B86" s="5" t="inlineStr">
        <is>
          <t>SWEBOK</t>
        </is>
      </c>
      <c r="C86" s="4" t="inlineStr">
        <is>
          <t>12. プロセス準拠(MNT-220〜)</t>
        </is>
      </c>
      <c r="D86" s="11" t="inlineStr">
        <is>
          <t>Low</t>
        </is>
      </c>
      <c r="E86" s="4" t="inlineStr">
        <is>
          <t>プロセス自体の改善サイクルがある</t>
        </is>
      </c>
      <c r="F86" s="4" t="inlineStr">
        <is>
          <t>保守プロセスの振り返り(頻度・方法)と改善実績または改善手順が記述されている</t>
        </is>
      </c>
      <c r="G86" s="4" t="inlineStr">
        <is>
          <t>保守プロセス改善は保守成熟度モデルに支えられると SWEBOK は述べる。振り返りの仕組みがないと、同じ種類の手戻り・障害対応が改善されないまま繰り返される。</t>
        </is>
      </c>
      <c r="H86" s="4" t="inlineStr">
        <is>
          <t>swebok-v4a.pdf ch07 Software Maintenance &gt; 3.1 Software Maintenance Processes(保守成熟度モデルによるプロセス改善)/ 3.2.4 Software Quality(継続的改善)</t>
        </is>
      </c>
      <c r="I86" s="4" t="inlineStr">
        <is>
          <t>CORE</t>
        </is>
      </c>
      <c r="J86" s="4" t="inlineStr">
        <is>
          <t>原則適用。案件スコープ・成果物・規制・リスク上非該当の場合はN/A根拠を記録。</t>
        </is>
      </c>
      <c r="K86" s="4" t="inlineStr">
        <is>
          <t>SRC-SWEBOK-V4A</t>
        </is>
      </c>
      <c r="L86" s="4" t="inlineStr"/>
      <c r="M86" s="4" t="n"/>
      <c r="N86" s="4" t="n"/>
      <c r="O86" s="4" t="n"/>
      <c r="P86" s="4" t="n"/>
      <c r="Q86" s="4" t="n"/>
      <c r="R86" s="4" t="n"/>
      <c r="S86" s="4" t="n"/>
      <c r="T86" s="4" t="n"/>
      <c r="U86" s="4" t="n"/>
      <c r="V86" s="4" t="n"/>
      <c r="W86" s="4" t="n"/>
    </row>
    <row r="87">
      <c r="A87" s="5" t="inlineStr">
        <is>
          <t>MNT-904</t>
        </is>
      </c>
      <c r="B87" s="5" t="inlineStr">
        <is>
          <t>追加承認</t>
        </is>
      </c>
      <c r="C87" s="4" t="inlineStr">
        <is>
          <t>12. プロセス準拠(MNT-220〜)</t>
        </is>
      </c>
      <c r="D87" s="10" t="inlineStr">
        <is>
          <t>Medium</t>
        </is>
      </c>
      <c r="E87" s="4" t="inlineStr">
        <is>
          <t>稼働ソフトウェアの監視(容量・継続性・可用性)結果が保守活動に接続されている</t>
        </is>
      </c>
      <c r="F87" s="4" t="inlineStr">
        <is>
          <t>監視対象項目(容量・可用性等)と、監視で検知した劣化・予兆から PR/MR を起票する手順または実績が記録されている(監視自体は運用側の責務でも、保守への連携経路があれば Pass)</t>
        </is>
      </c>
      <c r="G87" s="4" t="inlineStr">
        <is>
          <t>監視と保守が接続されていないと、容量逼迫や可用性劣化の予兆が検知されても予防保守として起票されず、障害になってから緊急保守で対処する後手の運用が固定化する。</t>
        </is>
      </c>
      <c r="H87" s="4" t="inlineStr">
        <is>
          <t>swebok-v4a.pdf ch07 Software Maintenance &gt; 1.2 Nature of Software Maintenance(稼働ソフトウェアのサーベイランス: 容量・継続性・可用性の監視)</t>
        </is>
      </c>
      <c r="I87" s="4" t="inlineStr">
        <is>
          <t>CORE</t>
        </is>
      </c>
      <c r="J87" s="4" t="inlineStr">
        <is>
          <t>原則適用。案件スコープ・成果物・規制・リスク上非該当の場合はN/A根拠を記録。</t>
        </is>
      </c>
      <c r="K87" s="4" t="inlineStr">
        <is>
          <t>SRC-SWEBOK-V4A</t>
        </is>
      </c>
      <c r="L87" s="4" t="inlineStr">
        <is>
          <t>RELIABILITY-HA;OPS-OBSERVABILITY</t>
        </is>
      </c>
      <c r="M87" s="4" t="n"/>
      <c r="N87" s="4" t="n"/>
      <c r="O87" s="4" t="n"/>
      <c r="P87" s="4" t="n"/>
      <c r="Q87" s="4" t="n"/>
      <c r="R87" s="4" t="n"/>
      <c r="S87" s="4" t="n"/>
      <c r="T87" s="4" t="n"/>
      <c r="U87" s="4" t="n"/>
      <c r="V87" s="4" t="n"/>
      <c r="W87" s="4" t="n"/>
    </row>
  </sheetData>
  <autoFilter ref="A1:W87"/>
  <conditionalFormatting sqref="O2:O2000">
    <cfRule type="cellIs" priority="1" operator="equal" dxfId="0">
      <formula>"Fail"</formula>
    </cfRule>
    <cfRule type="cellIs" priority="2" operator="equal" dxfId="1">
      <formula>"Pass"</formula>
    </cfRule>
    <cfRule type="cellIs" priority="4" operator="equal" dxfId="0">
      <formula>"Fail"</formula>
    </cfRule>
    <cfRule type="cellIs" priority="5" operator="equal" dxfId="1">
      <formula>"Pass"</formula>
    </cfRule>
    <cfRule type="cellIs" priority="7" operator="equal" dxfId="0">
      <formula>"Fail"</formula>
    </cfRule>
    <cfRule type="cellIs" priority="8" operator="equal" dxfId="1">
      <formula>"Pass"</formula>
    </cfRule>
    <cfRule type="cellIs" priority="10" operator="equal" dxfId="0">
      <formula>"Fail"</formula>
    </cfRule>
    <cfRule type="cellIs" priority="11" operator="equal" dxfId="1">
      <formula>"Pass"</formula>
    </cfRule>
    <cfRule type="cellIs" priority="13" operator="equal" dxfId="0">
      <formula>"Fail"</formula>
    </cfRule>
    <cfRule type="cellIs" priority="14" operator="equal" dxfId="1">
      <formula>"Pass"</formula>
    </cfRule>
  </conditionalFormatting>
  <conditionalFormatting sqref="N2:N2000">
    <cfRule type="cellIs" priority="3" operator="equal" dxfId="2">
      <formula>"N/A"</formula>
    </cfRule>
    <cfRule type="cellIs" priority="6" operator="equal" dxfId="2">
      <formula>"N/A"</formula>
    </cfRule>
    <cfRule type="cellIs" priority="9" operator="equal" dxfId="2">
      <formula>"N/A"</formula>
    </cfRule>
    <cfRule type="cellIs" priority="12" operator="equal" dxfId="2">
      <formula>"N/A"</formula>
    </cfRule>
    <cfRule type="cellIs" priority="15" operator="equal" dxfId="2">
      <formula>"N/A"</formula>
    </cfRule>
  </conditionalFormatting>
  <dataValidations count="20">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s>
  <pageMargins left="0.75" right="0.75" top="1" bottom="1" header="0.5" footer="0.5"/>
  <pageSetup orientation="landscape" fitToWidth="1"/>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W97"/>
  <sheetViews>
    <sheetView workbookViewId="0">
      <pane xSplit="4" ySplit="1" topLeftCell="E2"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4" customWidth="1" min="1" max="1"/>
    <col width="14" customWidth="1" min="2" max="2"/>
    <col width="28" customWidth="1" min="3" max="3"/>
    <col width="12" customWidth="1" min="4" max="4"/>
    <col width="46" customWidth="1" min="5" max="5"/>
    <col width="52" customWidth="1" min="6" max="6"/>
    <col width="48" customWidth="1" min="7" max="7"/>
    <col width="46" customWidth="1" min="8" max="8"/>
    <col width="18" customWidth="1" min="9" max="9"/>
    <col width="38" customWidth="1" min="10" max="10"/>
    <col width="28" customWidth="1" min="11" max="11"/>
    <col width="25" customWidth="1" min="12" max="12"/>
    <col width="13" customWidth="1" min="13" max="13"/>
    <col width="12" customWidth="1" min="14" max="14"/>
    <col width="12" customWidth="1" min="15" max="15"/>
    <col width="38" customWidth="1" min="16" max="16"/>
    <col width="24" customWidth="1" min="17" max="17"/>
    <col width="30" customWidth="1" min="18" max="18"/>
    <col width="23" customWidth="1" min="19" max="19"/>
    <col width="15" customWidth="1" min="20" max="20"/>
    <col width="18" customWidth="1" min="21" max="21"/>
    <col width="15" customWidth="1" min="22" max="22"/>
    <col width="15" customWidth="1" min="23" max="23"/>
  </cols>
  <sheetData>
    <row r="1">
      <c r="A1" s="3" t="inlineStr">
        <is>
          <t>ID</t>
        </is>
      </c>
      <c r="B1" s="3" t="inlineStr">
        <is>
          <t>区分</t>
        </is>
      </c>
      <c r="C1" s="3" t="inlineStr">
        <is>
          <t>カテゴリ</t>
        </is>
      </c>
      <c r="D1" s="3" t="inlineStr">
        <is>
          <t>基準重要度</t>
        </is>
      </c>
      <c r="E1" s="3" t="inlineStr">
        <is>
          <t>チェック項目</t>
        </is>
      </c>
      <c r="F1" s="3" t="inlineStr">
        <is>
          <t>合格基準</t>
        </is>
      </c>
      <c r="G1" s="3" t="inlineStr">
        <is>
          <t>意図(なぜ確認するか)</t>
        </is>
      </c>
      <c r="H1" s="3" t="inlineStr">
        <is>
          <t>対象ドキュメント(参照箇所)</t>
        </is>
      </c>
      <c r="I1" s="21" t="inlineStr">
        <is>
          <t>適用プロファイル</t>
        </is>
      </c>
      <c r="J1" s="21" t="inlineStr">
        <is>
          <t>適用条件</t>
        </is>
      </c>
      <c r="K1" s="21" t="inlineStr">
        <is>
          <t>出典ID</t>
        </is>
      </c>
      <c r="L1" s="21" t="inlineStr">
        <is>
          <t>重複統制グループ</t>
        </is>
      </c>
      <c r="M1" s="21" t="inlineStr">
        <is>
          <t>案件重要度</t>
        </is>
      </c>
      <c r="N1" s="21" t="inlineStr">
        <is>
          <t>適用判定</t>
        </is>
      </c>
      <c r="O1" s="21" t="inlineStr">
        <is>
          <t>判定</t>
        </is>
      </c>
      <c r="P1" s="21" t="inlineStr">
        <is>
          <t>証跡・参照箇所</t>
        </is>
      </c>
      <c r="Q1" s="21" t="inlineStr">
        <is>
          <t>指摘・Issue ID</t>
        </is>
      </c>
      <c r="R1" s="21" t="inlineStr">
        <is>
          <t>対応方針</t>
        </is>
      </c>
      <c r="S1" s="21" t="inlineStr">
        <is>
          <t>例外・リスク受容承認者</t>
        </is>
      </c>
      <c r="T1" s="21" t="inlineStr">
        <is>
          <t>是正期限</t>
        </is>
      </c>
      <c r="U1" s="21" t="inlineStr">
        <is>
          <t>レビュアー</t>
        </is>
      </c>
      <c r="V1" s="21" t="inlineStr">
        <is>
          <t>レビュー日</t>
        </is>
      </c>
      <c r="W1" s="21" t="inlineStr">
        <is>
          <t>再確認結果</t>
        </is>
      </c>
    </row>
    <row r="2">
      <c r="A2" s="5" t="inlineStr">
        <is>
          <t>SCM-001</t>
        </is>
      </c>
      <c r="B2" s="5" t="inlineStr">
        <is>
          <t>SWEBOK</t>
        </is>
      </c>
      <c r="C2" s="4" t="inlineStr">
        <is>
          <t>1. SCMプロセスの管理・SCMP(SWEBOK 8-1)</t>
        </is>
      </c>
      <c r="D2" s="8" t="inlineStr">
        <is>
          <t>Critical</t>
        </is>
      </c>
      <c r="E2" s="4" t="inlineStr">
        <is>
          <t>SCMPまたは相当文書が存在し、承認されているか</t>
        </is>
      </c>
      <c r="F2" s="4" t="inlineStr">
        <is>
          <t>承認者・承認日(またはレビュー済みマージ記録)が確認できる</t>
        </is>
      </c>
      <c r="G2" s="4" t="inlineStr">
        <is>
          <t>SCMの拠り所となる計画が未承認のままだと、ブランチ運用や変更フローがメンバーごとにバラバラになり、監査時に「合意されたプロセス」を示せなくなる。承認記録は契約・規制対応の第一の証跡でもある。</t>
        </is>
      </c>
      <c r="H2" s="4" t="inlineStr">
        <is>
          <t>swebok-v4a.pdf ch08 Software Configuration Management &gt; 1.4 SCM Plan / 1.3 Planning for SCM</t>
        </is>
      </c>
      <c r="I2" s="4" t="inlineStr">
        <is>
          <t>CORE</t>
        </is>
      </c>
      <c r="J2" s="4" t="inlineStr">
        <is>
          <t>原則適用。案件スコープ・成果物・規制・リスク上非該当の場合はN/A根拠を記録。</t>
        </is>
      </c>
      <c r="K2" s="4" t="inlineStr">
        <is>
          <t>SRC-SWEBOK-V4A</t>
        </is>
      </c>
      <c r="L2" s="4" t="inlineStr"/>
      <c r="M2" s="4" t="n"/>
      <c r="N2" s="4" t="n"/>
      <c r="O2" s="4" t="n"/>
      <c r="P2" s="4" t="n"/>
      <c r="Q2" s="4" t="n"/>
      <c r="R2" s="4" t="n"/>
      <c r="S2" s="4" t="n"/>
      <c r="T2" s="4" t="n"/>
      <c r="U2" s="4" t="n"/>
      <c r="V2" s="4" t="n"/>
      <c r="W2" s="4" t="n"/>
    </row>
    <row r="3">
      <c r="A3" s="5" t="inlineStr">
        <is>
          <t>SCM-002</t>
        </is>
      </c>
      <c r="B3" s="5" t="inlineStr">
        <is>
          <t>SWEBOK</t>
        </is>
      </c>
      <c r="C3" s="4" t="inlineStr">
        <is>
          <t>1. SCMプロセスの管理・SCMP(SWEBOK 8-1)</t>
        </is>
      </c>
      <c r="D3" s="8" t="inlineStr">
        <is>
          <t>Critical</t>
        </is>
      </c>
      <c r="E3" s="4" t="inlineStr">
        <is>
          <t>SCM活動の責任分担が定義されているか</t>
        </is>
      </c>
      <c r="F3" s="4" t="inlineStr">
        <is>
          <t>構成識別・変更管理・状況記録・監査・リリース管理の各活動に担当役割が割り当てられている(RACI等)</t>
        </is>
      </c>
      <c r="G3" s="4" t="inlineStr">
        <is>
          <t>担当が曖昧だと構成監査やベースライン確立が「誰の仕事でもない」まま放置され、リリース直前に未管理のCIが発覚する。役割の明確化はSWEBOKが混乱防止のために明示的に要求している。</t>
        </is>
      </c>
      <c r="H3" s="4" t="inlineStr">
        <is>
          <t>swebok-v4a.pdf ch08 Software Configuration Management &gt; 1.3.1 SCM Organization and Responsibilities</t>
        </is>
      </c>
      <c r="I3" s="4" t="inlineStr">
        <is>
          <t>CORE</t>
        </is>
      </c>
      <c r="J3" s="4" t="inlineStr">
        <is>
          <t>原則適用。案件スコープ・成果物・規制・リスク上非該当の場合はN/A根拠を記録。</t>
        </is>
      </c>
      <c r="K3" s="4" t="inlineStr">
        <is>
          <t>SRC-SWEBOK-V4A</t>
        </is>
      </c>
      <c r="L3" s="4" t="inlineStr"/>
      <c r="M3" s="4" t="n"/>
      <c r="N3" s="4" t="n"/>
      <c r="O3" s="4" t="n"/>
      <c r="P3" s="4" t="n"/>
      <c r="Q3" s="4" t="n"/>
      <c r="R3" s="4" t="n"/>
      <c r="S3" s="4" t="n"/>
      <c r="T3" s="4" t="n"/>
      <c r="U3" s="4" t="n"/>
      <c r="V3" s="4" t="n"/>
      <c r="W3" s="4" t="n"/>
    </row>
    <row r="4">
      <c r="A4" s="5" t="inlineStr">
        <is>
          <t>SCM-003</t>
        </is>
      </c>
      <c r="B4" s="5" t="inlineStr">
        <is>
          <t>SWEBOK</t>
        </is>
      </c>
      <c r="C4" s="4" t="inlineStr">
        <is>
          <t>1. SCMプロセスの管理・SCMP(SWEBOK 8-1)</t>
        </is>
      </c>
      <c r="D4" s="9" t="inlineStr">
        <is>
          <t>High</t>
        </is>
      </c>
      <c r="E4" s="4" t="inlineStr">
        <is>
          <t>CCB/SCCB(または相当する承認体制)の構成・権限・開催方法が定義されているか</t>
        </is>
      </c>
      <c r="F4" s="4" t="inlineStr">
        <is>
          <t>誰が変更を承認/却下できるか、判断の記録場所が明記されている。小規模の場合は個人が担う旨と記録方法が書かれている</t>
        </is>
      </c>
      <c r="G4" s="4" t="inlineStr">
        <is>
          <t>変更の承認権限者が不明だと、重要変更が独断でマージされたり、逆に軽微な変更まで停滞したりする。小規模でも個人+記録方法を定めておかないと事後に判断根拠をたどれない。</t>
        </is>
      </c>
      <c r="H4" s="4" t="inlineStr">
        <is>
          <t>swebok-v4a.pdf ch08 Software Configuration Management &gt; 3.1.1 Software Configuration Control Board (CCB/SCCB)</t>
        </is>
      </c>
      <c r="I4" s="4" t="inlineStr">
        <is>
          <t>CORE</t>
        </is>
      </c>
      <c r="J4" s="4" t="inlineStr">
        <is>
          <t>原則適用。案件スコープ・成果物・規制・リスク上非該当の場合はN/A根拠を記録。</t>
        </is>
      </c>
      <c r="K4" s="4" t="inlineStr">
        <is>
          <t>SRC-SWEBOK-V4A</t>
        </is>
      </c>
      <c r="L4" s="4" t="inlineStr"/>
      <c r="M4" s="4" t="n"/>
      <c r="N4" s="4" t="n"/>
      <c r="O4" s="4" t="n"/>
      <c r="P4" s="4" t="n"/>
      <c r="Q4" s="4" t="n"/>
      <c r="R4" s="4" t="n"/>
      <c r="S4" s="4" t="n"/>
      <c r="T4" s="4" t="n"/>
      <c r="U4" s="4" t="n"/>
      <c r="V4" s="4" t="n"/>
      <c r="W4" s="4" t="n"/>
    </row>
    <row r="5">
      <c r="A5" s="5" t="inlineStr">
        <is>
          <t>SCM-004</t>
        </is>
      </c>
      <c r="B5" s="5" t="inlineStr">
        <is>
          <t>SWEBOK</t>
        </is>
      </c>
      <c r="C5" s="4" t="inlineStr">
        <is>
          <t>1. SCMプロセスの管理・SCMP(SWEBOK 8-1)</t>
        </is>
      </c>
      <c r="D5" s="9" t="inlineStr">
        <is>
          <t>High</t>
        </is>
      </c>
      <c r="E5" s="4" t="inlineStr">
        <is>
          <t>適用される制約(契約条項・規制・組織方針・業界標準)が識別されているか</t>
        </is>
      </c>
      <c r="F5" s="4" t="inlineStr">
        <is>
          <t>制約の一覧と各制約がSCMプロセスに与える要件(証跡・監査・承認)が記載されている</t>
        </is>
      </c>
      <c r="G5" s="4" t="inlineStr">
        <is>
          <t>契約で構成監査が要求されているのに見落とすと、納品時に監査証跡を遡って作れず受入拒否や契約違反になる。規制産業では公共安全に関わる外部制約がSCM設計を規定する。</t>
        </is>
      </c>
      <c r="H5" s="4" t="inlineStr">
        <is>
          <t>swebok-v4a.pdf ch08 Software Configuration Management &gt; 1.2 Constraints and Guidance for the SCM Process</t>
        </is>
      </c>
      <c r="I5" s="4" t="inlineStr">
        <is>
          <t>CORE</t>
        </is>
      </c>
      <c r="J5" s="4" t="inlineStr">
        <is>
          <t>原則適用。案件スコープ・成果物・規制・リスク上非該当の場合はN/A根拠を記録。</t>
        </is>
      </c>
      <c r="K5" s="4" t="inlineStr">
        <is>
          <t>SRC-SWEBOK-V4A</t>
        </is>
      </c>
      <c r="L5" s="4" t="inlineStr"/>
      <c r="M5" s="4" t="n"/>
      <c r="N5" s="4" t="n"/>
      <c r="O5" s="4" t="n"/>
      <c r="P5" s="4" t="n"/>
      <c r="Q5" s="4" t="n"/>
      <c r="R5" s="4" t="n"/>
      <c r="S5" s="4" t="n"/>
      <c r="T5" s="4" t="n"/>
      <c r="U5" s="4" t="n"/>
      <c r="V5" s="4" t="n"/>
      <c r="W5" s="4" t="n"/>
    </row>
    <row r="6">
      <c r="A6" s="5" t="inlineStr">
        <is>
          <t>SCM-005</t>
        </is>
      </c>
      <c r="B6" s="5" t="inlineStr">
        <is>
          <t>SWEBOK</t>
        </is>
      </c>
      <c r="C6" s="4" t="inlineStr">
        <is>
          <t>1. SCMプロセスの管理・SCMP(SWEBOK 8-1)</t>
        </is>
      </c>
      <c r="D6" s="9" t="inlineStr">
        <is>
          <t>High</t>
        </is>
      </c>
      <c r="E6" s="4" t="inlineStr">
        <is>
          <t>SCMツール一式が特定されているか</t>
        </is>
      </c>
      <c r="F6" s="4" t="inlineStr">
        <is>
          <t>バージョン管理、CI/CD、変更管理(課題管理)、アーティファクトリポジトリの各用途に具体的ツール名が割り当てられている</t>
        </is>
      </c>
      <c r="G6" s="4" t="inlineStr">
        <is>
          <t>ツールが特定されていないと、メンバーが各自バラバラの場所に成果物を置き、CIの一元管理と履歴追跡が崩壊する。SCMは単一ツールでなくワークベンチ(ツール一式)を要するというのがSWEBOKの立場。</t>
        </is>
      </c>
      <c r="H6" s="4" t="inlineStr">
        <is>
          <t>swebok-v4a.pdf ch08 Software Configuration Management &gt; 1.3.3 Tool Selection and Implementation / 7. SCM Tools</t>
        </is>
      </c>
      <c r="I6" s="4" t="inlineStr">
        <is>
          <t>CORE</t>
        </is>
      </c>
      <c r="J6" s="4" t="inlineStr">
        <is>
          <t>原則適用。案件スコープ・成果物・規制・リスク上非該当の場合はN/A根拠を記録。</t>
        </is>
      </c>
      <c r="K6" s="4" t="inlineStr">
        <is>
          <t>SRC-SWEBOK-V4A</t>
        </is>
      </c>
      <c r="L6" s="4" t="inlineStr"/>
      <c r="M6" s="4" t="n"/>
      <c r="N6" s="4" t="n"/>
      <c r="O6" s="4" t="n"/>
      <c r="P6" s="4" t="n"/>
      <c r="Q6" s="4" t="n"/>
      <c r="R6" s="4" t="n"/>
      <c r="S6" s="4" t="n"/>
      <c r="T6" s="4" t="n"/>
      <c r="U6" s="4" t="n"/>
      <c r="V6" s="4" t="n"/>
      <c r="W6" s="4" t="n"/>
    </row>
    <row r="7">
      <c r="A7" s="5" t="inlineStr">
        <is>
          <t>SCM-006</t>
        </is>
      </c>
      <c r="B7" s="5" t="inlineStr">
        <is>
          <t>SWEBOK</t>
        </is>
      </c>
      <c r="C7" s="4" t="inlineStr">
        <is>
          <t>1. SCMプロセスの管理・SCMP(SWEBOK 8-1)</t>
        </is>
      </c>
      <c r="D7" s="10" t="inlineStr">
        <is>
          <t>Medium</t>
        </is>
      </c>
      <c r="E7" s="4" t="inlineStr">
        <is>
          <t>ベンダー・サブコントラクタから受領する成果物のCM要件が定義されているか(該当する場合)</t>
        </is>
      </c>
      <c r="F7" s="4" t="inlineStr">
        <is>
          <t>受入時の識別・検証・格納方法が記載されている。外部委託がない場合はN/A</t>
        </is>
      </c>
      <c r="G7" s="4" t="inlineStr">
        <is>
          <t>外部受領物を無検証・無識別で取り込むと、どのバージョンを組み込んだか不明になり、不具合時の切り分けや再現ビルドができなくなる。委託先SCMへの要求と遵守監視も必要になる。</t>
        </is>
      </c>
      <c r="H7" s="4" t="inlineStr">
        <is>
          <t>swebok-v4a.pdf ch08 Software Configuration Management &gt; 1.3.4 Vendor/Subcontractor Control</t>
        </is>
      </c>
      <c r="I7" s="4" t="inlineStr">
        <is>
          <t>CORE</t>
        </is>
      </c>
      <c r="J7" s="4" t="inlineStr">
        <is>
          <t>原則適用。案件スコープ・成果物・規制・リスク上非該当の場合はN/A根拠を記録。</t>
        </is>
      </c>
      <c r="K7" s="4" t="inlineStr">
        <is>
          <t>SRC-SWEBOK-V4A</t>
        </is>
      </c>
      <c r="L7" s="4" t="inlineStr"/>
      <c r="M7" s="4" t="n"/>
      <c r="N7" s="4" t="n"/>
      <c r="O7" s="4" t="n"/>
      <c r="P7" s="4" t="n"/>
      <c r="Q7" s="4" t="n"/>
      <c r="R7" s="4" t="n"/>
      <c r="S7" s="4" t="n"/>
      <c r="T7" s="4" t="n"/>
      <c r="U7" s="4" t="n"/>
      <c r="V7" s="4" t="n"/>
      <c r="W7" s="4" t="n"/>
    </row>
    <row r="8">
      <c r="A8" s="5" t="inlineStr">
        <is>
          <t>SCM-007</t>
        </is>
      </c>
      <c r="B8" s="5" t="inlineStr">
        <is>
          <t>SWEBOK</t>
        </is>
      </c>
      <c r="C8" s="4" t="inlineStr">
        <is>
          <t>1. SCMプロセスの管理・SCMP(SWEBOK 8-1)</t>
        </is>
      </c>
      <c r="D8" s="10" t="inlineStr">
        <is>
          <t>Medium</t>
        </is>
      </c>
      <c r="E8" s="4" t="inlineStr">
        <is>
          <t>他システム・他チームとのインタフェース管理方法が定義されているか(該当する場合)</t>
        </is>
      </c>
      <c r="F8" s="4" t="inlineStr">
        <is>
          <t>インタフェース仕様の変更が双方の変更管理を通る手続きが記載されている</t>
        </is>
      </c>
      <c r="G8" s="4" t="inlineStr">
        <is>
          <t>インタフェース仕様が片側の判断だけで変わると、結合時に初めて不整合が発覚し大きな手戻りになる。双方の変更管理を通す手続きがその防波堤となる。</t>
        </is>
      </c>
      <c r="H8" s="4" t="inlineStr">
        <is>
          <t>swebok-v4a.pdf ch08 Software Configuration Management &gt; 1.3.5 Interface Control</t>
        </is>
      </c>
      <c r="I8" s="4" t="inlineStr">
        <is>
          <t>CORE</t>
        </is>
      </c>
      <c r="J8" s="4" t="inlineStr">
        <is>
          <t>原則適用。案件スコープ・成果物・規制・リスク上非該当の場合はN/A根拠を記録。</t>
        </is>
      </c>
      <c r="K8" s="4" t="inlineStr">
        <is>
          <t>SRC-SWEBOK-V4A</t>
        </is>
      </c>
      <c r="L8" s="4" t="inlineStr"/>
      <c r="M8" s="4" t="n"/>
      <c r="N8" s="4" t="n"/>
      <c r="O8" s="4" t="n"/>
      <c r="P8" s="4" t="n"/>
      <c r="Q8" s="4" t="n"/>
      <c r="R8" s="4" t="n"/>
      <c r="S8" s="4" t="n"/>
      <c r="T8" s="4" t="n"/>
      <c r="U8" s="4" t="n"/>
      <c r="V8" s="4" t="n"/>
      <c r="W8" s="4" t="n"/>
    </row>
    <row r="9">
      <c r="A9" s="5" t="inlineStr">
        <is>
          <t>SCM-008</t>
        </is>
      </c>
      <c r="B9" s="5" t="inlineStr">
        <is>
          <t>SWEBOK</t>
        </is>
      </c>
      <c r="C9" s="4" t="inlineStr">
        <is>
          <t>1. SCMプロセスの管理・SCMP(SWEBOK 8-1)</t>
        </is>
      </c>
      <c r="D9" s="10" t="inlineStr">
        <is>
          <t>Medium</t>
        </is>
      </c>
      <c r="E9" s="4" t="inlineStr">
        <is>
          <t>SCMスケジュール(ベースライン確立時期・監査時期)がプロジェクトマイルストーンと対応しているか</t>
        </is>
      </c>
      <c r="F9" s="4" t="inlineStr">
        <is>
          <t>主要マイルストーンごとに確立するベースラインまたは実施するSCMイベントが特定できる</t>
        </is>
      </c>
      <c r="G9" s="4" t="inlineStr">
        <is>
          <t>ベースライン確立や監査の時期がマイルストーンと紐付いていないと、リリース判定時に「固定された構成」が存在せず、何をテストし何を出荷したのか特定できなくなる。</t>
        </is>
      </c>
      <c r="H9" s="4" t="inlineStr">
        <is>
          <t>swebok-v4a.pdf ch08 Software Configuration Management &gt; 1.3.2 SCM Resources and Schedules</t>
        </is>
      </c>
      <c r="I9" s="4" t="inlineStr">
        <is>
          <t>CORE</t>
        </is>
      </c>
      <c r="J9" s="4" t="inlineStr">
        <is>
          <t>原則適用。案件スコープ・成果物・規制・リスク上非該当の場合はN/A根拠を記録。</t>
        </is>
      </c>
      <c r="K9" s="4" t="inlineStr">
        <is>
          <t>SRC-SWEBOK-V4A</t>
        </is>
      </c>
      <c r="L9" s="4" t="inlineStr"/>
      <c r="M9" s="4" t="n"/>
      <c r="N9" s="4" t="n"/>
      <c r="O9" s="4" t="n"/>
      <c r="P9" s="4" t="n"/>
      <c r="Q9" s="4" t="n"/>
      <c r="R9" s="4" t="n"/>
      <c r="S9" s="4" t="n"/>
      <c r="T9" s="4" t="n"/>
      <c r="U9" s="4" t="n"/>
      <c r="V9" s="4" t="n"/>
      <c r="W9" s="4" t="n"/>
    </row>
    <row r="10">
      <c r="A10" s="5" t="inlineStr">
        <is>
          <t>SCM-009</t>
        </is>
      </c>
      <c r="B10" s="5" t="inlineStr">
        <is>
          <t>SWEBOK</t>
        </is>
      </c>
      <c r="C10" s="4" t="inlineStr">
        <is>
          <t>1. SCMプロセスの管理・SCMP(SWEBOK 8-1)</t>
        </is>
      </c>
      <c r="D10" s="10" t="inlineStr">
        <is>
          <t>Medium</t>
        </is>
      </c>
      <c r="E10" s="4" t="inlineStr">
        <is>
          <t>SCMP自体の保守・改訂手続きが定義されているか</t>
        </is>
      </c>
      <c r="F10" s="4" t="inlineStr">
        <is>
          <t>改訂のトリガー、改訂者、承認者、版管理方法が記載されている</t>
        </is>
      </c>
      <c r="G10" s="4" t="inlineStr">
        <is>
          <t>SCMPは「生きた文書」であり、CI/CD導入やブランチ戦略変更に追随して改訂されないと実態と乖離し、誰も参照しない死文書になる。改訂手続きがないと乖離が固定化する。</t>
        </is>
      </c>
      <c r="H10" s="4" t="inlineStr">
        <is>
          <t>swebok-v4a.pdf ch08 Software Configuration Management &gt; 1.4 SCM Plan (living document / SCMP Maintenance)</t>
        </is>
      </c>
      <c r="I10" s="4" t="inlineStr">
        <is>
          <t>CORE</t>
        </is>
      </c>
      <c r="J10" s="4" t="inlineStr">
        <is>
          <t>原則適用。案件スコープ・成果物・規制・リスク上非該当の場合はN/A根拠を記録。</t>
        </is>
      </c>
      <c r="K10" s="4" t="inlineStr">
        <is>
          <t>SRC-SWEBOK-V4A</t>
        </is>
      </c>
      <c r="L10" s="4" t="inlineStr"/>
      <c r="M10" s="4" t="n"/>
      <c r="N10" s="4" t="n"/>
      <c r="O10" s="4" t="n"/>
      <c r="P10" s="4" t="n"/>
      <c r="Q10" s="4" t="n"/>
      <c r="R10" s="4" t="n"/>
      <c r="S10" s="4" t="n"/>
      <c r="T10" s="4" t="n"/>
      <c r="U10" s="4" t="n"/>
      <c r="V10" s="4" t="n"/>
      <c r="W10" s="4" t="n"/>
    </row>
    <row r="11">
      <c r="A11" s="5" t="inlineStr">
        <is>
          <t>SCM-010</t>
        </is>
      </c>
      <c r="B11" s="5" t="inlineStr">
        <is>
          <t>SWEBOK</t>
        </is>
      </c>
      <c r="C11" s="4" t="inlineStr">
        <is>
          <t>1. SCMプロセスの管理・SCMP(SWEBOK 8-1)</t>
        </is>
      </c>
      <c r="D11" s="10" t="inlineStr">
        <is>
          <t>Medium</t>
        </is>
      </c>
      <c r="E11" s="4" t="inlineStr">
        <is>
          <t>SCMプロセスの測定尺度が定義されているか</t>
        </is>
      </c>
      <c r="F11" s="4" t="inlineStr">
        <is>
          <t>CRリードタイム、ビルド成功率、変更失敗率等のうち少なくとも2つの指標と収集方法が定義されている</t>
        </is>
      </c>
      <c r="G11" s="4" t="inlineStr">
        <is>
          <t>測定がないと変更処理の滞留やビルド破損の常態化に気づけず、承認レベルの最適化や工数見積りの改善もできない。測定はSCMプロセス改善の入力であるとSWEBOKは位置づける。</t>
        </is>
      </c>
      <c r="H11" s="4" t="inlineStr">
        <is>
          <t>swebok-v4a.pdf ch08 Software Configuration Management &gt; 1.5.1 SCM Measures and Measurement</t>
        </is>
      </c>
      <c r="I11" s="4" t="inlineStr">
        <is>
          <t>CORE</t>
        </is>
      </c>
      <c r="J11" s="4" t="inlineStr">
        <is>
          <t>原則適用。案件スコープ・成果物・規制・リスク上非該当の場合はN/A根拠を記録。</t>
        </is>
      </c>
      <c r="K11" s="4" t="inlineStr">
        <is>
          <t>SRC-SWEBOK-V4A</t>
        </is>
      </c>
      <c r="L11" s="4" t="inlineStr"/>
      <c r="M11" s="4" t="n"/>
      <c r="N11" s="4" t="n"/>
      <c r="O11" s="4" t="n"/>
      <c r="P11" s="4" t="n"/>
      <c r="Q11" s="4" t="n"/>
      <c r="R11" s="4" t="n"/>
      <c r="S11" s="4" t="n"/>
      <c r="T11" s="4" t="n"/>
      <c r="U11" s="4" t="n"/>
      <c r="V11" s="4" t="n"/>
      <c r="W11" s="4" t="n"/>
    </row>
    <row r="12">
      <c r="A12" s="5" t="inlineStr">
        <is>
          <t>SCM-011</t>
        </is>
      </c>
      <c r="B12" s="5" t="inlineStr">
        <is>
          <t>SWEBOK</t>
        </is>
      </c>
      <c r="C12" s="4" t="inlineStr">
        <is>
          <t>1. SCMプロセスの管理・SCMP(SWEBOK 8-1)</t>
        </is>
      </c>
      <c r="D12" s="11" t="inlineStr">
        <is>
          <t>Low</t>
        </is>
      </c>
      <c r="E12" s="4" t="inlineStr">
        <is>
          <t>SCMプロセス内監査(計画遵守の確認)の実施方法が定義されているか</t>
        </is>
      </c>
      <c r="F12" s="4" t="inlineStr">
        <is>
          <t>実施時期・実施者・確認観点が記載されている</t>
        </is>
      </c>
      <c r="G12" s="4" t="inlineStr">
        <is>
          <t>計画と運用実態は時間とともに乖離する。プロセス内監査がないと「文書上は保護されているが実際はforce push可能」のような形骸化を検出できない。</t>
        </is>
      </c>
      <c r="H12" s="4" t="inlineStr">
        <is>
          <t>swebok-v4a.pdf ch08 Software Configuration Management &gt; 1.5 Surveillance of SCM / 1.5.2 In-Process Audits of SCM</t>
        </is>
      </c>
      <c r="I12" s="4" t="inlineStr">
        <is>
          <t>CORE</t>
        </is>
      </c>
      <c r="J12" s="4" t="inlineStr">
        <is>
          <t>原則適用。案件スコープ・成果物・規制・リスク上非該当の場合はN/A根拠を記録。</t>
        </is>
      </c>
      <c r="K12" s="4" t="inlineStr">
        <is>
          <t>SRC-SWEBOK-V4A</t>
        </is>
      </c>
      <c r="L12" s="4" t="inlineStr"/>
      <c r="M12" s="4" t="n"/>
      <c r="N12" s="4" t="n"/>
      <c r="O12" s="4" t="n"/>
      <c r="P12" s="4" t="n"/>
      <c r="Q12" s="4" t="n"/>
      <c r="R12" s="4" t="n"/>
      <c r="S12" s="4" t="n"/>
      <c r="T12" s="4" t="n"/>
      <c r="U12" s="4" t="n"/>
      <c r="V12" s="4" t="n"/>
      <c r="W12" s="4" t="n"/>
    </row>
    <row r="13">
      <c r="A13" s="5" t="inlineStr">
        <is>
          <t>SCM-012</t>
        </is>
      </c>
      <c r="B13" s="5" t="inlineStr">
        <is>
          <t>SWEBOK</t>
        </is>
      </c>
      <c r="C13" s="4" t="inlineStr">
        <is>
          <t>1. SCMプロセスの管理・SCMP(SWEBOK 8-1)</t>
        </is>
      </c>
      <c r="D13" s="11" t="inlineStr">
        <is>
          <t>Low</t>
        </is>
      </c>
      <c r="E13" s="4" t="inlineStr">
        <is>
          <t>SCM関連の教育・オンボーディング手段が示されているか</t>
        </is>
      </c>
      <c r="F13" s="4" t="inlineStr">
        <is>
          <t>新規参画者がブランチ戦略・変更フローを学ぶ文書または手順への参照がある</t>
        </is>
      </c>
      <c r="G13" s="4" t="inlineStr">
        <is>
          <t>新規参画者が変更フローを知らないままコミットすると、保護ルール違反や誤ブランチへのマージ事故が起きる。SWEBOKは計画実施のための訓練要件の特定を求めている。</t>
        </is>
      </c>
      <c r="H13" s="4" t="inlineStr">
        <is>
          <t>swebok-v4a.pdf ch08 Software Configuration Management &gt; 1.3.2 SCM Resources and Schedules (training requirements)</t>
        </is>
      </c>
      <c r="I13" s="4" t="inlineStr">
        <is>
          <t>CORE</t>
        </is>
      </c>
      <c r="J13" s="4" t="inlineStr">
        <is>
          <t>原則適用。案件スコープ・成果物・規制・リスク上非該当の場合はN/A根拠を記録。</t>
        </is>
      </c>
      <c r="K13" s="4" t="inlineStr">
        <is>
          <t>SRC-SWEBOK-V4A</t>
        </is>
      </c>
      <c r="L13" s="4" t="inlineStr"/>
      <c r="M13" s="4" t="n"/>
      <c r="N13" s="4" t="n"/>
      <c r="O13" s="4" t="n"/>
      <c r="P13" s="4" t="n"/>
      <c r="Q13" s="4" t="n"/>
      <c r="R13" s="4" t="n"/>
      <c r="S13" s="4" t="n"/>
      <c r="T13" s="4" t="n"/>
      <c r="U13" s="4" t="n"/>
      <c r="V13" s="4" t="n"/>
      <c r="W13" s="4" t="n"/>
    </row>
    <row r="14">
      <c r="A14" s="5" t="inlineStr">
        <is>
          <t>SCM-020</t>
        </is>
      </c>
      <c r="B14" s="5" t="inlineStr">
        <is>
          <t>SWEBOK</t>
        </is>
      </c>
      <c r="C14" s="4" t="inlineStr">
        <is>
          <t>2. 構成識別(SWEBOK 8-2)</t>
        </is>
      </c>
      <c r="D14" s="8" t="inlineStr">
        <is>
          <t>Critical</t>
        </is>
      </c>
      <c r="E14" s="4" t="inlineStr">
        <is>
          <t>管理対象のSCIが選定・一覧化されているか</t>
        </is>
      </c>
      <c r="F14" s="4" t="inlineStr">
        <is>
          <t>ソースコード、ビルド/パイプライン定義、構成データ、文書、テスト資料、依存ライブラリのうち該当するものがSCIとして列挙され、格納場所が特定されている</t>
        </is>
      </c>
      <c r="G14" s="4" t="inlineStr">
        <is>
          <t>SCI選定を怠ると、コード以外の計画書・テスト資料・構成データ等が管理外に置かれ、変更しても誰も気づかず不整合が蓄積する。SCI識別は他のすべてのSCM活動の基盤である。</t>
        </is>
      </c>
      <c r="H14" s="4" t="inlineStr">
        <is>
          <t>swebok-v4a.pdf ch08 Software Configuration Management &gt; 2.1 Identifying Items to Be Controlled / 2.1.2 Software Configuration Item</t>
        </is>
      </c>
      <c r="I14" s="4" t="inlineStr">
        <is>
          <t>CORE</t>
        </is>
      </c>
      <c r="J14" s="4" t="inlineStr">
        <is>
          <t>原則適用。案件スコープ・成果物・規制・リスク上非該当の場合はN/A根拠を記録。</t>
        </is>
      </c>
      <c r="K14" s="4" t="inlineStr">
        <is>
          <t>SRC-SWEBOK-V4A</t>
        </is>
      </c>
      <c r="L14" s="4" t="inlineStr"/>
      <c r="M14" s="4" t="n"/>
      <c r="N14" s="4" t="n"/>
      <c r="O14" s="4" t="n"/>
      <c r="P14" s="4" t="n"/>
      <c r="Q14" s="4" t="n"/>
      <c r="R14" s="4" t="n"/>
      <c r="S14" s="4" t="n"/>
      <c r="T14" s="4" t="n"/>
      <c r="U14" s="4" t="n"/>
      <c r="V14" s="4" t="n"/>
      <c r="W14" s="4" t="n"/>
    </row>
    <row r="15">
      <c r="A15" s="5" t="inlineStr">
        <is>
          <t>SCM-021</t>
        </is>
      </c>
      <c r="B15" s="5" t="inlineStr">
        <is>
          <t>SWEBOK</t>
        </is>
      </c>
      <c r="C15" s="4" t="inlineStr">
        <is>
          <t>2. 構成識別(SWEBOK 8-2)</t>
        </is>
      </c>
      <c r="D15" s="8" t="inlineStr">
        <is>
          <t>Critical</t>
        </is>
      </c>
      <c r="E15" s="4" t="inlineStr">
        <is>
          <t>すべてのSCIがバージョン管理下にあるか</t>
        </is>
      </c>
      <c r="F15" s="4" t="inlineStr">
        <is>
          <t>SCI一覧の各項目についてバージョン管理リポジトリまたは版管理された格納庫が対応付いている。手元ファイルや共有フォルダの無版管理ファイルが正とされていない</t>
        </is>
      </c>
      <c r="G15" s="4" t="inlineStr">
        <is>
          <t>版管理外の「手元の最新版」が正になると、リリースした内容を後から特定・再現できず、変更の巻き戻しも不可能になる。完全性の保証はSCMの定義そのものに含まれる。</t>
        </is>
      </c>
      <c r="H15" s="4" t="inlineStr">
        <is>
          <t>swebok-v4a.pdf ch08 Software Configuration Management &gt; 2.1 Identifying Items to Be Controlled / 2.6 Software Libraries</t>
        </is>
      </c>
      <c r="I15" s="4" t="inlineStr">
        <is>
          <t>CORE</t>
        </is>
      </c>
      <c r="J15" s="4" t="inlineStr">
        <is>
          <t>原則適用。案件スコープ・成果物・規制・リスク上非該当の場合はN/A根拠を記録。</t>
        </is>
      </c>
      <c r="K15" s="4" t="inlineStr">
        <is>
          <t>SRC-SWEBOK-V4A</t>
        </is>
      </c>
      <c r="L15" s="4" t="inlineStr"/>
      <c r="M15" s="4" t="n"/>
      <c r="N15" s="4" t="n"/>
      <c r="O15" s="4" t="n"/>
      <c r="P15" s="4" t="n"/>
      <c r="Q15" s="4" t="n"/>
      <c r="R15" s="4" t="n"/>
      <c r="S15" s="4" t="n"/>
      <c r="T15" s="4" t="n"/>
      <c r="U15" s="4" t="n"/>
      <c r="V15" s="4" t="n"/>
      <c r="W15" s="4" t="n"/>
    </row>
    <row r="16">
      <c r="A16" s="5" t="inlineStr">
        <is>
          <t>SCM-022</t>
        </is>
      </c>
      <c r="B16" s="5" t="inlineStr">
        <is>
          <t>SWEBOK</t>
        </is>
      </c>
      <c r="C16" s="4" t="inlineStr">
        <is>
          <t>2. 構成識別(SWEBOK 8-2)</t>
        </is>
      </c>
      <c r="D16" s="9" t="inlineStr">
        <is>
          <t>High</t>
        </is>
      </c>
      <c r="E16" s="4" t="inlineStr">
        <is>
          <t>CI識別子・属性のスキームが定義されているか</t>
        </is>
      </c>
      <c r="F16" s="4" t="inlineStr">
        <is>
          <t>名称、一意識別子、種別、所有者を含む命名/属性規則が文書化されている</t>
        </is>
      </c>
      <c r="G16" s="4" t="inlineStr">
        <is>
          <t>識別子スキームがないと状況記録(SCSA)で何を収集・追跡すべきか定まらず、CIの参照が「あのファイル」のような口頭伝承になり誤参照事故を招く。</t>
        </is>
      </c>
      <c r="H16" s="4" t="inlineStr">
        <is>
          <t>swebok-v4a.pdf ch08 Software Configuration Management &gt; 2.2 Configuration Item Identifiers and Attributes</t>
        </is>
      </c>
      <c r="I16" s="4" t="inlineStr">
        <is>
          <t>CORE</t>
        </is>
      </c>
      <c r="J16" s="4" t="inlineStr">
        <is>
          <t>原則適用。案件スコープ・成果物・規制・リスク上非該当の場合はN/A根拠を記録。</t>
        </is>
      </c>
      <c r="K16" s="4" t="inlineStr">
        <is>
          <t>SRC-SWEBOK-V4A</t>
        </is>
      </c>
      <c r="L16" s="4" t="inlineStr"/>
      <c r="M16" s="4" t="n"/>
      <c r="N16" s="4" t="n"/>
      <c r="O16" s="4" t="n"/>
      <c r="P16" s="4" t="n"/>
      <c r="Q16" s="4" t="n"/>
      <c r="R16" s="4" t="n"/>
      <c r="S16" s="4" t="n"/>
      <c r="T16" s="4" t="n"/>
      <c r="U16" s="4" t="n"/>
      <c r="V16" s="4" t="n"/>
      <c r="W16" s="4" t="n"/>
    </row>
    <row r="17">
      <c r="A17" s="5" t="inlineStr">
        <is>
          <t>SCM-023</t>
        </is>
      </c>
      <c r="B17" s="5" t="inlineStr">
        <is>
          <t>SWEBOK</t>
        </is>
      </c>
      <c r="C17" s="4" t="inlineStr">
        <is>
          <t>2. 構成識別(SWEBOK 8-2)</t>
        </is>
      </c>
      <c r="D17" s="8" t="inlineStr">
        <is>
          <t>Critical</t>
        </is>
      </c>
      <c r="E17" s="4" t="inlineStr">
        <is>
          <t>ベースライン(またはリリースタグ)の定義と確立手続きがあるか</t>
        </is>
      </c>
      <c r="F17" s="4" t="inlineStr">
        <is>
          <t>どの時点で何を固定するか、承認者、以後の変更が変更管理を通る旨が明記されている</t>
        </is>
      </c>
      <c r="G17" s="4" t="inlineStr">
        <is>
          <t>ベースラインは正式承認された固定点であり、以後の変更を正式な変更管理に通すための起点。これがないと「どの状態からの変更か」が定義できず、変更管理全体が空回りする。</t>
        </is>
      </c>
      <c r="H17" s="4" t="inlineStr">
        <is>
          <t>swebok-v4a.pdf ch08 Software Configuration Management &gt; 2.3 Baseline Identification / 2.4 Baseline Attributes</t>
        </is>
      </c>
      <c r="I17" s="4" t="inlineStr">
        <is>
          <t>CORE</t>
        </is>
      </c>
      <c r="J17" s="4" t="inlineStr">
        <is>
          <t>原則適用。案件スコープ・成果物・規制・リスク上非該当の場合はN/A根拠を記録。</t>
        </is>
      </c>
      <c r="K17" s="4" t="inlineStr">
        <is>
          <t>SRC-SWEBOK-V4A</t>
        </is>
      </c>
      <c r="L17" s="4" t="inlineStr"/>
      <c r="M17" s="4" t="n"/>
      <c r="N17" s="4" t="n"/>
      <c r="O17" s="4" t="n"/>
      <c r="P17" s="4" t="n"/>
      <c r="Q17" s="4" t="n"/>
      <c r="R17" s="4" t="n"/>
      <c r="S17" s="4" t="n"/>
      <c r="T17" s="4" t="n"/>
      <c r="U17" s="4" t="n"/>
      <c r="V17" s="4" t="n"/>
      <c r="W17" s="4" t="n"/>
    </row>
    <row r="18">
      <c r="A18" s="5" t="inlineStr">
        <is>
          <t>SCM-024</t>
        </is>
      </c>
      <c r="B18" s="5" t="inlineStr">
        <is>
          <t>SWEBOK</t>
        </is>
      </c>
      <c r="C18" s="4" t="inlineStr">
        <is>
          <t>2. 構成識別(SWEBOK 8-2)</t>
        </is>
      </c>
      <c r="D18" s="9" t="inlineStr">
        <is>
          <t>High</t>
        </is>
      </c>
      <c r="E18" s="4" t="inlineStr">
        <is>
          <t>ベースライン/タグから構成SCIの全リビジョンを一意に特定できるか</t>
        </is>
      </c>
      <c r="F18" s="4" t="inlineStr">
        <is>
          <t>タグ・ロックファイル・マニフェスト等により、任意のリリースの完全な構成を再現手順込みで特定できる</t>
        </is>
      </c>
      <c r="G18" s="4" t="inlineStr">
        <is>
          <t>障害調査や再リリース時に過去構成を完全再現できないと、原因特定が推測頼みになり修正の検証もできない。ベースラインは構成するCIの版まで一意に固定されて初めて意味を持つ。</t>
        </is>
      </c>
      <c r="H18" s="4" t="inlineStr">
        <is>
          <t>swebok-v4a.pdf ch08 Software Configuration Management &gt; 2.3 Baseline Identification / 6.1 Software Building (再現ビルド)</t>
        </is>
      </c>
      <c r="I18" s="4" t="inlineStr">
        <is>
          <t>CORE</t>
        </is>
      </c>
      <c r="J18" s="4" t="inlineStr">
        <is>
          <t>原則適用。案件スコープ・成果物・規制・リスク上非該当の場合はN/A根拠を記録。</t>
        </is>
      </c>
      <c r="K18" s="4" t="inlineStr">
        <is>
          <t>SRC-SWEBOK-V4A</t>
        </is>
      </c>
      <c r="L18" s="4" t="inlineStr"/>
      <c r="M18" s="4" t="n"/>
      <c r="N18" s="4" t="n"/>
      <c r="O18" s="4" t="n"/>
      <c r="P18" s="4" t="n"/>
      <c r="Q18" s="4" t="n"/>
      <c r="R18" s="4" t="n"/>
      <c r="S18" s="4" t="n"/>
      <c r="T18" s="4" t="n"/>
      <c r="U18" s="4" t="n"/>
      <c r="V18" s="4" t="n"/>
      <c r="W18" s="4" t="n"/>
    </row>
    <row r="19">
      <c r="A19" s="5" t="inlineStr">
        <is>
          <t>SCM-025</t>
        </is>
      </c>
      <c r="B19" s="5" t="inlineStr">
        <is>
          <t>SWEBOK</t>
        </is>
      </c>
      <c r="C19" s="4" t="inlineStr">
        <is>
          <t>2. 構成識別(SWEBOK 8-2)</t>
        </is>
      </c>
      <c r="D19" s="9" t="inlineStr">
        <is>
          <t>High</t>
        </is>
      </c>
      <c r="E19" s="4" t="inlineStr">
        <is>
          <t>外部依存関係(ライブラリ・ベースイメージ)のバージョンが固定・記録されているか</t>
        </is>
      </c>
      <c r="F19" s="4" t="inlineStr">
        <is>
          <t>ロックファイルまたはバージョンピン止めが存在し、「latest」等の浮動参照が本番ビルドに使われていない</t>
        </is>
      </c>
      <c r="G19" s="4" t="inlineStr">
        <is>
          <t>浮動参照(latest等)を許すと、同じコミットからビルドしても日によって成果物が変わり、テスト済みと本番投入物が別物になる事故が起きる。依存関係もSCIとして版固定すべき対象である。</t>
        </is>
      </c>
      <c r="H19" s="4" t="inlineStr">
        <is>
          <t>swebok-v4a.pdf ch08 Software Configuration Management &gt; 2.1.2 Software Configuration Item / 2.5 Relationships Scheme Definition</t>
        </is>
      </c>
      <c r="I19" s="4" t="inlineStr">
        <is>
          <t>CORE</t>
        </is>
      </c>
      <c r="J19" s="4" t="inlineStr">
        <is>
          <t>原則適用。案件スコープ・成果物・規制・リスク上非該当の場合はN/A根拠を記録。</t>
        </is>
      </c>
      <c r="K19" s="4" t="inlineStr">
        <is>
          <t>SRC-SWEBOK-V4A</t>
        </is>
      </c>
      <c r="L19" s="4" t="inlineStr"/>
      <c r="M19" s="4" t="n"/>
      <c r="N19" s="4" t="n"/>
      <c r="O19" s="4" t="n"/>
      <c r="P19" s="4" t="n"/>
      <c r="Q19" s="4" t="n"/>
      <c r="R19" s="4" t="n"/>
      <c r="S19" s="4" t="n"/>
      <c r="T19" s="4" t="n"/>
      <c r="U19" s="4" t="n"/>
      <c r="V19" s="4" t="n"/>
      <c r="W19" s="4" t="n"/>
    </row>
    <row r="20">
      <c r="A20" s="5" t="inlineStr">
        <is>
          <t>SCM-026</t>
        </is>
      </c>
      <c r="B20" s="5" t="inlineStr">
        <is>
          <t>SWEBOK</t>
        </is>
      </c>
      <c r="C20" s="4" t="inlineStr">
        <is>
          <t>2. 構成識別(SWEBOK 8-2)</t>
        </is>
      </c>
      <c r="D20" s="10" t="inlineStr">
        <is>
          <t>Medium</t>
        </is>
      </c>
      <c r="E20" s="4" t="inlineStr">
        <is>
          <t>CI間の関係(依存・派生・継承・バリアント)の表現方法が定義されているか</t>
        </is>
      </c>
      <c r="F20" s="4" t="inlineStr">
        <is>
          <t>依存関係の記録方法(マニフェスト、SBOM、リポジトリ構造)が記載されている</t>
        </is>
      </c>
      <c r="G20" s="4" t="inlineStr">
        <is>
          <t>依存・派生・継承(succession)・バリアントの関係を追跡しないと、あるCIの変更が他のCIに波及することを影響分析で見抜けず、想定外の破壊を招く。関係追跡はCR判断を支える情報である。</t>
        </is>
      </c>
      <c r="H20" s="4" t="inlineStr">
        <is>
          <t>swebok-v4a.pdf ch08 Software Configuration Management &gt; 2.5 Relationships Scheme Definition</t>
        </is>
      </c>
      <c r="I20" s="4" t="inlineStr">
        <is>
          <t>CORE</t>
        </is>
      </c>
      <c r="J20" s="4" t="inlineStr">
        <is>
          <t>原則適用。案件スコープ・成果物・規制・リスク上非該当の場合はN/A根拠を記録。</t>
        </is>
      </c>
      <c r="K20" s="4" t="inlineStr">
        <is>
          <t>SRC-SWEBOK-V4A</t>
        </is>
      </c>
      <c r="L20" s="4" t="inlineStr"/>
      <c r="M20" s="4" t="n"/>
      <c r="N20" s="4" t="n"/>
      <c r="O20" s="4" t="n"/>
      <c r="P20" s="4" t="n"/>
      <c r="Q20" s="4" t="n"/>
      <c r="R20" s="4" t="n"/>
      <c r="S20" s="4" t="n"/>
      <c r="T20" s="4" t="n"/>
      <c r="U20" s="4" t="n"/>
      <c r="V20" s="4" t="n"/>
      <c r="W20" s="4" t="n"/>
    </row>
    <row r="21">
      <c r="A21" s="5" t="inlineStr">
        <is>
          <t>SCM-027</t>
        </is>
      </c>
      <c r="B21" s="5" t="inlineStr">
        <is>
          <t>SWEBOK</t>
        </is>
      </c>
      <c r="C21" s="4" t="inlineStr">
        <is>
          <t>2. 構成識別(SWEBOK 8-2)</t>
        </is>
      </c>
      <c r="D21" s="9" t="inlineStr">
        <is>
          <t>High</t>
        </is>
      </c>
      <c r="E21" s="4" t="inlineStr">
        <is>
          <t>SBOMの生成方法・形式が定義されているか(要求される場合)</t>
        </is>
      </c>
      <c r="F21" s="4" t="inlineStr">
        <is>
          <t>SPDXまたはCycloneDX等の形式、生成タイミング(ビルド時)、保管場所が定義されている。契約・規制上不要な場合はN/A(根拠を記載)</t>
        </is>
      </c>
      <c r="G21" s="4" t="inlineStr">
        <is>
          <t>SBOMはビルドに含まれるコンポーネントと供給網関係の公式記録であり、これがないと脆弱性公表時に自製品への影響を即答できず、顧客・規制当局への説明責任を果たせない。</t>
        </is>
      </c>
      <c r="H21" s="4" t="inlineStr">
        <is>
          <t>swebok-v4a.pdf ch08 Software Configuration Management &gt; 2.5 Relationships Scheme Definition (SBOM) / 6.1 Software Building</t>
        </is>
      </c>
      <c r="I21" s="4" t="inlineStr">
        <is>
          <t>CORE</t>
        </is>
      </c>
      <c r="J21" s="4" t="inlineStr">
        <is>
          <t>原則適用。案件スコープ・成果物・規制・リスク上非該当の場合はN/A根拠を記録。</t>
        </is>
      </c>
      <c r="K21" s="4" t="inlineStr">
        <is>
          <t>SRC-SWEBOK-V4A</t>
        </is>
      </c>
      <c r="L21" s="4" t="inlineStr">
        <is>
          <t>SEC-SUPPLY-CHAIN</t>
        </is>
      </c>
      <c r="M21" s="4" t="n"/>
      <c r="N21" s="4" t="n"/>
      <c r="O21" s="4" t="n"/>
      <c r="P21" s="4" t="n"/>
      <c r="Q21" s="4" t="n"/>
      <c r="R21" s="4" t="n"/>
      <c r="S21" s="4" t="n"/>
      <c r="T21" s="4" t="n"/>
      <c r="U21" s="4" t="n"/>
      <c r="V21" s="4" t="n"/>
      <c r="W21" s="4" t="n"/>
    </row>
    <row r="22">
      <c r="A22" s="5" t="inlineStr">
        <is>
          <t>SCM-028</t>
        </is>
      </c>
      <c r="B22" s="5" t="inlineStr">
        <is>
          <t>SWEBOK</t>
        </is>
      </c>
      <c r="C22" s="4" t="inlineStr">
        <is>
          <t>2. 構成識別(SWEBOK 8-2)</t>
        </is>
      </c>
      <c r="D22" s="10" t="inlineStr">
        <is>
          <t>Medium</t>
        </is>
      </c>
      <c r="E22" s="4" t="inlineStr">
        <is>
          <t>リポジトリ構成(モノレポ/マルチレポ、ディレクトリ規約)が文書化されているか</t>
        </is>
      </c>
      <c r="F22" s="4" t="inlineStr">
        <is>
          <t>リポジトリ一覧と各リポジトリの責務、主要ディレクトリの役割が記載されている</t>
        </is>
      </c>
      <c r="G22" s="4" t="inlineStr">
        <is>
          <t>リポジトリの責務分担が不明だと、同じ資産が複数箇所に重複して置かれ「どちらが正か」の混乱が生じる。構成識別のラベリング戦略はリポジトリ構造の文書化から始まる。</t>
        </is>
      </c>
      <c r="H22" s="4" t="inlineStr">
        <is>
          <t>swebok-v4a.pdf ch08 Software Configuration Management &gt; 2.1 Identifying Items to Be Controlled / 2.6 Software Libraries</t>
        </is>
      </c>
      <c r="I22" s="4" t="inlineStr">
        <is>
          <t>CORE</t>
        </is>
      </c>
      <c r="J22" s="4" t="inlineStr">
        <is>
          <t>原則適用。案件スコープ・成果物・規制・リスク上非該当の場合はN/A根拠を記録。</t>
        </is>
      </c>
      <c r="K22" s="4" t="inlineStr">
        <is>
          <t>SRC-SWEBOK-V4A</t>
        </is>
      </c>
      <c r="L22" s="4" t="inlineStr"/>
      <c r="M22" s="4" t="n"/>
      <c r="N22" s="4" t="n"/>
      <c r="O22" s="4" t="n"/>
      <c r="P22" s="4" t="n"/>
      <c r="Q22" s="4" t="n"/>
      <c r="R22" s="4" t="n"/>
      <c r="S22" s="4" t="n"/>
      <c r="T22" s="4" t="n"/>
      <c r="U22" s="4" t="n"/>
      <c r="V22" s="4" t="n"/>
      <c r="W22" s="4" t="n"/>
    </row>
    <row r="23">
      <c r="A23" s="5" t="inlineStr">
        <is>
          <t>SCM-029</t>
        </is>
      </c>
      <c r="B23" s="5" t="inlineStr">
        <is>
          <t>SWEBOK</t>
        </is>
      </c>
      <c r="C23" s="4" t="inlineStr">
        <is>
          <t>2. 構成識別(SWEBOK 8-2)</t>
        </is>
      </c>
      <c r="D23" s="10" t="inlineStr">
        <is>
          <t>Medium</t>
        </is>
      </c>
      <c r="E23" s="4" t="inlineStr">
        <is>
          <t>リリース可能な成果物を格納するライブラリ(アーティファクトリポジトリ等)が区別されているか</t>
        </is>
      </c>
      <c r="F23" s="4" t="inlineStr">
        <is>
          <t>開発中成果物と配布可能なリリースベースラインの格納場所が区別され、後者への書込み権限が制限されている</t>
        </is>
      </c>
      <c r="G23" s="4" t="inlineStr">
        <is>
          <t>開発中成果物と配布可能ベースラインが混在すると、未検証ビルドが誤って本番デプロイされる事故が起きる。SWEBOKは配布可能物を保持する definitive media library の区別を求めている。</t>
        </is>
      </c>
      <c r="H23" s="4" t="inlineStr">
        <is>
          <t>swebok-v4a.pdf ch08 Software Configuration Management &gt; 2.6 Software Libraries (definitive media library)</t>
        </is>
      </c>
      <c r="I23" s="4" t="inlineStr">
        <is>
          <t>CORE</t>
        </is>
      </c>
      <c r="J23" s="4" t="inlineStr">
        <is>
          <t>原則適用。案件スコープ・成果物・規制・リスク上非該当の場合はN/A根拠を記録。</t>
        </is>
      </c>
      <c r="K23" s="4" t="inlineStr">
        <is>
          <t>SRC-SWEBOK-V4A</t>
        </is>
      </c>
      <c r="L23" s="4" t="inlineStr"/>
      <c r="M23" s="4" t="n"/>
      <c r="N23" s="4" t="n"/>
      <c r="O23" s="4" t="n"/>
      <c r="P23" s="4" t="n"/>
      <c r="Q23" s="4" t="n"/>
      <c r="R23" s="4" t="n"/>
      <c r="S23" s="4" t="n"/>
      <c r="T23" s="4" t="n"/>
      <c r="U23" s="4" t="n"/>
      <c r="V23" s="4" t="n"/>
      <c r="W23" s="4" t="n"/>
    </row>
    <row r="24">
      <c r="A24" s="5" t="inlineStr">
        <is>
          <t>SCM-030</t>
        </is>
      </c>
      <c r="B24" s="5" t="inlineStr">
        <is>
          <t>SWEBOK</t>
        </is>
      </c>
      <c r="C24" s="4" t="inlineStr">
        <is>
          <t>2. 構成識別(SWEBOK 8-2)</t>
        </is>
      </c>
      <c r="D24" s="11" t="inlineStr">
        <is>
          <t>Low</t>
        </is>
      </c>
      <c r="E24" s="4" t="inlineStr">
        <is>
          <t>文書類SCIの版管理規則(版番号・改訂履歴)が定義されているか</t>
        </is>
      </c>
      <c r="F24" s="4" t="inlineStr">
        <is>
          <t>文書の版表記規則と改訂履歴の記載方法が統一されている</t>
        </is>
      </c>
      <c r="G24" s="4" t="inlineStr">
        <is>
          <t>文書CIの版表記が不統一だと、レビューアや監査人が「最新の承認版」を誤認し、旧仕様に基づく実装・判断ミスが生じる。ベースラインはメディア種別を問わず適用される。</t>
        </is>
      </c>
      <c r="H24" s="4" t="inlineStr">
        <is>
          <t>swebok-v4a.pdf ch08 Software Configuration Management &gt; 2.3 Baseline Identification / 2.1.2 Software Configuration Item (文書もSCI)</t>
        </is>
      </c>
      <c r="I24" s="4" t="inlineStr">
        <is>
          <t>CORE</t>
        </is>
      </c>
      <c r="J24" s="4" t="inlineStr">
        <is>
          <t>原則適用。案件スコープ・成果物・規制・リスク上非該当の場合はN/A根拠を記録。</t>
        </is>
      </c>
      <c r="K24" s="4" t="inlineStr">
        <is>
          <t>SRC-SWEBOK-V4A</t>
        </is>
      </c>
      <c r="L24" s="4" t="inlineStr"/>
      <c r="M24" s="4" t="n"/>
      <c r="N24" s="4" t="n"/>
      <c r="O24" s="4" t="n"/>
      <c r="P24" s="4" t="n"/>
      <c r="Q24" s="4" t="n"/>
      <c r="R24" s="4" t="n"/>
      <c r="S24" s="4" t="n"/>
      <c r="T24" s="4" t="n"/>
      <c r="U24" s="4" t="n"/>
      <c r="V24" s="4" t="n"/>
      <c r="W24" s="4" t="n"/>
    </row>
    <row r="25">
      <c r="A25" s="5" t="inlineStr">
        <is>
          <t>SCM-901</t>
        </is>
      </c>
      <c r="B25" s="5" t="inlineStr">
        <is>
          <t>追加承認</t>
        </is>
      </c>
      <c r="C25" s="4" t="inlineStr">
        <is>
          <t>2. 構成識別(SWEBOK 8-2)</t>
        </is>
      </c>
      <c r="D25" s="9" t="inlineStr">
        <is>
          <t>High</t>
        </is>
      </c>
      <c r="E25" s="4" t="inlineStr">
        <is>
          <t>リポジトリ・アーティファクトリポジトリのバックアップと復旧手段が定義されているか</t>
        </is>
      </c>
      <c r="F25" s="4" t="inlineStr">
        <is>
          <t>バックアップの対象(ソースリポジトリ、成果物、課題データ)、取得頻度、保管先、復旧手順(または SaaS の可用性・復旧保証への依拠とその根拠)が記載されている</t>
        </is>
      </c>
      <c r="G25" s="4" t="inlineStr">
        <is>
          <t>ホスティング障害・誤削除・アカウント侵害でリポジトリを喪失すると、全SCIとその履歴が失われ再現ビルドも変更追跡も不可能になる。SaaS任せの場合もその前提を明示しておかないと復旧計画が空白になる。</t>
        </is>
      </c>
      <c r="H25" s="4" t="inlineStr">
        <is>
          <t>swebok-v4a.pdf ch08 Software Configuration Management &gt; 2.6 Software Libraries — ライブラリのバックアップ設備(backup facilities)</t>
        </is>
      </c>
      <c r="I25" s="4" t="inlineStr">
        <is>
          <t>CORE</t>
        </is>
      </c>
      <c r="J25" s="4" t="inlineStr">
        <is>
          <t>原則適用。案件スコープ・成果物・規制・リスク上非該当の場合はN/A根拠を記録。</t>
        </is>
      </c>
      <c r="K25" s="4" t="inlineStr">
        <is>
          <t>SRC-SWEBOK-V4A</t>
        </is>
      </c>
      <c r="L25" s="4" t="inlineStr">
        <is>
          <t>CONTINUITY-BACKUP</t>
        </is>
      </c>
      <c r="M25" s="4" t="n"/>
      <c r="N25" s="4" t="n"/>
      <c r="O25" s="4" t="n"/>
      <c r="P25" s="4" t="n"/>
      <c r="Q25" s="4" t="n"/>
      <c r="R25" s="4" t="n"/>
      <c r="S25" s="4" t="n"/>
      <c r="T25" s="4" t="n"/>
      <c r="U25" s="4" t="n"/>
      <c r="V25" s="4" t="n"/>
      <c r="W25" s="4" t="n"/>
    </row>
    <row r="26">
      <c r="A26" s="5" t="inlineStr">
        <is>
          <t>SCM-040</t>
        </is>
      </c>
      <c r="B26" s="5" t="inlineStr">
        <is>
          <t>SWEBOK</t>
        </is>
      </c>
      <c r="C26" s="4" t="inlineStr">
        <is>
          <t>3. ブランチ戦略(SWEBOK 8-1.3)</t>
        </is>
      </c>
      <c r="D26" s="8" t="inlineStr">
        <is>
          <t>Critical</t>
        </is>
      </c>
      <c r="E26" s="4" t="inlineStr">
        <is>
          <t>採用するブランチフローが明文化されているか</t>
        </is>
      </c>
      <c r="F26" s="4" t="inlineStr">
        <is>
          <t>フロー名(トランクベース、GitHub Flow、Git Flow等)または独自フローの図解と、ブランチ種別一覧が存在する</t>
        </is>
      </c>
      <c r="G26" s="4" t="inlineStr">
        <is>
          <t>ブランチ・マージ戦略は多くのSCM活動に影響するため慎重に計画し周知すべき、とSWEBOKは明記する。明文化がないと各自の流儀でブランチが乱立し、統合時に大規模コンフリクトが発生する。</t>
        </is>
      </c>
      <c r="H26" s="4" t="inlineStr">
        <is>
          <t>swebok-v4a.pdf ch08 Software Configuration Management &gt; 1.3 Planning for SCM (branching and merging strategies)</t>
        </is>
      </c>
      <c r="I26" s="4" t="inlineStr">
        <is>
          <t>CORE</t>
        </is>
      </c>
      <c r="J26" s="4" t="inlineStr">
        <is>
          <t>原則適用。案件スコープ・成果物・規制・リスク上非該当の場合はN/A根拠を記録。</t>
        </is>
      </c>
      <c r="K26" s="4" t="inlineStr">
        <is>
          <t>SRC-SWEBOK-V4A</t>
        </is>
      </c>
      <c r="L26" s="4" t="inlineStr"/>
      <c r="M26" s="4" t="n"/>
      <c r="N26" s="4" t="n"/>
      <c r="O26" s="4" t="n"/>
      <c r="P26" s="4" t="n"/>
      <c r="Q26" s="4" t="n"/>
      <c r="R26" s="4" t="n"/>
      <c r="S26" s="4" t="n"/>
      <c r="T26" s="4" t="n"/>
      <c r="U26" s="4" t="n"/>
      <c r="V26" s="4" t="n"/>
      <c r="W26" s="4" t="n"/>
    </row>
    <row r="27">
      <c r="A27" s="5" t="inlineStr">
        <is>
          <t>SCM-041</t>
        </is>
      </c>
      <c r="B27" s="5" t="inlineStr">
        <is>
          <t>SWEBOK</t>
        </is>
      </c>
      <c r="C27" s="4" t="inlineStr">
        <is>
          <t>3. ブランチ戦略(SWEBOK 8-1.3)</t>
        </is>
      </c>
      <c r="D27" s="9" t="inlineStr">
        <is>
          <t>High</t>
        </is>
      </c>
      <c r="E27" s="4" t="inlineStr">
        <is>
          <t>ブランチフローの選定理由がプロジェクト特性と対応しているか</t>
        </is>
      </c>
      <c r="F27" s="4" t="inlineStr">
        <is>
          <t>リリース頻度・並行保守バージョン数・チーム規模のうち少なくとも2つとの対応が説明されている</t>
        </is>
      </c>
      <c r="G27" s="4" t="inlineStr">
        <is>
          <t>リリース頻度や並行保守数に合わないフロー(例: 常時デプロイなのにGit Flow)を選ぶと、マージ作業自体がボトルネック化する。計画はプロジェクトの性質と整合すべきというのがSWEBOKの要求。</t>
        </is>
      </c>
      <c r="H27" s="4" t="inlineStr">
        <is>
          <t>swebok-v4a.pdf ch08 Software Configuration Management &gt; 1.3 Planning for SCM (プロジェクト特性との整合)</t>
        </is>
      </c>
      <c r="I27" s="4" t="inlineStr">
        <is>
          <t>CORE</t>
        </is>
      </c>
      <c r="J27" s="4" t="inlineStr">
        <is>
          <t>原則適用。案件スコープ・成果物・規制・リスク上非該当の場合はN/A根拠を記録。</t>
        </is>
      </c>
      <c r="K27" s="4" t="inlineStr">
        <is>
          <t>SRC-SWEBOK-V4A</t>
        </is>
      </c>
      <c r="L27" s="4" t="inlineStr"/>
      <c r="M27" s="4" t="n"/>
      <c r="N27" s="4" t="n"/>
      <c r="O27" s="4" t="n"/>
      <c r="P27" s="4" t="n"/>
      <c r="Q27" s="4" t="n"/>
      <c r="R27" s="4" t="n"/>
      <c r="S27" s="4" t="n"/>
      <c r="T27" s="4" t="n"/>
      <c r="U27" s="4" t="n"/>
      <c r="V27" s="4" t="n"/>
      <c r="W27" s="4" t="n"/>
    </row>
    <row r="28">
      <c r="A28" s="5" t="inlineStr">
        <is>
          <t>SCM-042</t>
        </is>
      </c>
      <c r="B28" s="5" t="inlineStr">
        <is>
          <t>SWEBOK</t>
        </is>
      </c>
      <c r="C28" s="4" t="inlineStr">
        <is>
          <t>3. ブランチ戦略(SWEBOK 8-1.3)</t>
        </is>
      </c>
      <c r="D28" s="9" t="inlineStr">
        <is>
          <t>High</t>
        </is>
      </c>
      <c r="E28" s="4" t="inlineStr">
        <is>
          <t>ブランチ種別ごとの命名規則・起点・マージ先・生存期間が定義されているか</t>
        </is>
      </c>
      <c r="F28" s="4" t="inlineStr">
        <is>
          <t>全ブランチ種別について4要素が表等で定義されている</t>
        </is>
      </c>
      <c r="G28" s="4" t="inlineStr">
        <is>
          <t>ブランチの起点・マージ先・寿命が定義されていないと、長期間放置されたブランチからの誤マージや、hotfixの本流反映漏れ(次リリースでのデグレ)が起きる。</t>
        </is>
      </c>
      <c r="H28" s="4" t="inlineStr">
        <is>
          <t>swebok-v4a.pdf ch08 Software Configuration Management &gt; 1.3 Planning for SCM (branching and merging strategies)</t>
        </is>
      </c>
      <c r="I28" s="4" t="inlineStr">
        <is>
          <t>CORE</t>
        </is>
      </c>
      <c r="J28" s="4" t="inlineStr">
        <is>
          <t>原則適用。案件スコープ・成果物・規制・リスク上非該当の場合はN/A根拠を記録。</t>
        </is>
      </c>
      <c r="K28" s="4" t="inlineStr">
        <is>
          <t>SRC-SWEBOK-V4A</t>
        </is>
      </c>
      <c r="L28" s="4" t="inlineStr"/>
      <c r="M28" s="4" t="n"/>
      <c r="N28" s="4" t="n"/>
      <c r="O28" s="4" t="n"/>
      <c r="P28" s="4" t="n"/>
      <c r="Q28" s="4" t="n"/>
      <c r="R28" s="4" t="n"/>
      <c r="S28" s="4" t="n"/>
      <c r="T28" s="4" t="n"/>
      <c r="U28" s="4" t="n"/>
      <c r="V28" s="4" t="n"/>
      <c r="W28" s="4" t="n"/>
    </row>
    <row r="29">
      <c r="A29" s="5" t="inlineStr">
        <is>
          <t>SCM-043</t>
        </is>
      </c>
      <c r="B29" s="5" t="inlineStr">
        <is>
          <t>SWEBOK</t>
        </is>
      </c>
      <c r="C29" s="4" t="inlineStr">
        <is>
          <t>3. ブランチ戦略(SWEBOK 8-1.3)</t>
        </is>
      </c>
      <c r="D29" s="8" t="inlineStr">
        <is>
          <t>Critical</t>
        </is>
      </c>
      <c r="E29" s="4" t="inlineStr">
        <is>
          <t>本番リリース対象ブランチの保護ルールが定義され、設定と一致しているか</t>
        </is>
      </c>
      <c r="F29" s="4" t="inlineStr">
        <is>
          <t>必須レビュー、必須ステータスチェック、force push禁止が文書化され、リポジトリ設定で確認できる(設定を確認できない場合は文書の存在で判定し、その旨を記載)</t>
        </is>
      </c>
      <c r="G29" s="4" t="inlineStr">
        <is>
          <t>リリース対象ブランチはベースラインの実体であり、保護がないとレビュー・CIを迂回した変更や履歴改変(force push)で正式承認済み構成の完全性が破壊される。</t>
        </is>
      </c>
      <c r="H29" s="4" t="inlineStr">
        <is>
          <t>swebok-v4a.pdf ch08 Software Configuration Management &gt; 2.3 Baseline Identification / 3. Software Configuration Change Control(承認済み変更のみの保証)</t>
        </is>
      </c>
      <c r="I29" s="4" t="inlineStr">
        <is>
          <t>CORE</t>
        </is>
      </c>
      <c r="J29" s="4" t="inlineStr">
        <is>
          <t>原則適用。案件スコープ・成果物・規制・リスク上非該当の場合はN/A根拠を記録。</t>
        </is>
      </c>
      <c r="K29" s="4" t="inlineStr">
        <is>
          <t>SRC-SWEBOK-V4A</t>
        </is>
      </c>
      <c r="L29" s="4" t="inlineStr"/>
      <c r="M29" s="4" t="n"/>
      <c r="N29" s="4" t="n"/>
      <c r="O29" s="4" t="n"/>
      <c r="P29" s="4" t="n"/>
      <c r="Q29" s="4" t="n"/>
      <c r="R29" s="4" t="n"/>
      <c r="S29" s="4" t="n"/>
      <c r="T29" s="4" t="n"/>
      <c r="U29" s="4" t="n"/>
      <c r="V29" s="4" t="n"/>
      <c r="W29" s="4" t="n"/>
    </row>
    <row r="30">
      <c r="A30" s="5" t="inlineStr">
        <is>
          <t>SCM-044</t>
        </is>
      </c>
      <c r="B30" s="5" t="inlineStr">
        <is>
          <t>SWEBOK</t>
        </is>
      </c>
      <c r="C30" s="4" t="inlineStr">
        <is>
          <t>3. ブランチ戦略(SWEBOK 8-1.3)</t>
        </is>
      </c>
      <c r="D30" s="9" t="inlineStr">
        <is>
          <t>High</t>
        </is>
      </c>
      <c r="E30" s="4" t="inlineStr">
        <is>
          <t>マージ方式(マージコミット/スカッシュ/リベース)が統一されているか</t>
        </is>
      </c>
      <c r="F30" s="4" t="inlineStr">
        <is>
          <t>採用方式と理由が記載され、リポジトリ設定またはレビュー規約で強制されている</t>
        </is>
      </c>
      <c r="G30" s="4" t="inlineStr">
        <is>
          <t>マージ方式が混在すると履歴の追跡性が損なわれ、「この変更はどのCRから来たか」の遡及や部分的な巻き戻しが困難になる。マージは複数人が同一CIを変更する際の要となる操作である。</t>
        </is>
      </c>
      <c r="H30" s="4" t="inlineStr">
        <is>
          <t>swebok-v4a.pdf ch08 Software Configuration Management &gt; 1.3 Planning for SCM (merging) / 3.2 Implementing Software Changes</t>
        </is>
      </c>
      <c r="I30" s="4" t="inlineStr">
        <is>
          <t>CORE</t>
        </is>
      </c>
      <c r="J30" s="4" t="inlineStr">
        <is>
          <t>原則適用。案件スコープ・成果物・規制・リスク上非該当の場合はN/A根拠を記録。</t>
        </is>
      </c>
      <c r="K30" s="4" t="inlineStr">
        <is>
          <t>SRC-SWEBOK-V4A</t>
        </is>
      </c>
      <c r="L30" s="4" t="inlineStr"/>
      <c r="M30" s="4" t="n"/>
      <c r="N30" s="4" t="n"/>
      <c r="O30" s="4" t="n"/>
      <c r="P30" s="4" t="n"/>
      <c r="Q30" s="4" t="n"/>
      <c r="R30" s="4" t="n"/>
      <c r="S30" s="4" t="n"/>
      <c r="T30" s="4" t="n"/>
      <c r="U30" s="4" t="n"/>
      <c r="V30" s="4" t="n"/>
      <c r="W30" s="4" t="n"/>
    </row>
    <row r="31">
      <c r="A31" s="5" t="inlineStr">
        <is>
          <t>SCM-045</t>
        </is>
      </c>
      <c r="B31" s="5" t="inlineStr">
        <is>
          <t>SWEBOK</t>
        </is>
      </c>
      <c r="C31" s="4" t="inlineStr">
        <is>
          <t>3. ブランチ戦略(SWEBOK 8-1.3)</t>
        </is>
      </c>
      <c r="D31" s="8" t="inlineStr">
        <is>
          <t>Critical</t>
        </is>
      </c>
      <c r="E31" s="4" t="inlineStr">
        <is>
          <t>hotfix(緊急修正)のフローが定義されているか</t>
        </is>
      </c>
      <c r="F31" s="4" t="inlineStr">
        <is>
          <t>起点ブランチ、修正の全保守対象ブランチへの反映方法、事後手続き(CR起票・レビュー)が記載されている</t>
        </is>
      </c>
      <c r="G31" s="4" t="inlineStr">
        <is>
          <t>緊急時の手順が未定義だと、場当たり的な直接修正が行われ、全保守ブランチへの反映漏れや事後の変更記録欠落を招く。SWEBOKも変更フローに「緊急パス(事後にプロセス実施)」の存在を明示している。</t>
        </is>
      </c>
      <c r="H31" s="4" t="inlineStr">
        <is>
          <t>swebok-v4a.pdf ch08 Software Configuration Management &gt; 3.1 Requesting, Evaluating, and Approving Software Changes (Emergency Path, Figure 8.3)</t>
        </is>
      </c>
      <c r="I31" s="4" t="inlineStr">
        <is>
          <t>CORE</t>
        </is>
      </c>
      <c r="J31" s="4" t="inlineStr">
        <is>
          <t>原則適用。案件スコープ・成果物・規制・リスク上非該当の場合はN/A根拠を記録。</t>
        </is>
      </c>
      <c r="K31" s="4" t="inlineStr">
        <is>
          <t>SRC-SWEBOK-V4A</t>
        </is>
      </c>
      <c r="L31" s="4" t="inlineStr"/>
      <c r="M31" s="4" t="n"/>
      <c r="N31" s="4" t="n"/>
      <c r="O31" s="4" t="n"/>
      <c r="P31" s="4" t="n"/>
      <c r="Q31" s="4" t="n"/>
      <c r="R31" s="4" t="n"/>
      <c r="S31" s="4" t="n"/>
      <c r="T31" s="4" t="n"/>
      <c r="U31" s="4" t="n"/>
      <c r="V31" s="4" t="n"/>
      <c r="W31" s="4" t="n"/>
    </row>
    <row r="32">
      <c r="A32" s="5" t="inlineStr">
        <is>
          <t>SCM-046</t>
        </is>
      </c>
      <c r="B32" s="5" t="inlineStr">
        <is>
          <t>SWEBOK</t>
        </is>
      </c>
      <c r="C32" s="4" t="inlineStr">
        <is>
          <t>3. ブランチ戦略(SWEBOK 8-1.3)</t>
        </is>
      </c>
      <c r="D32" s="10" t="inlineStr">
        <is>
          <t>Medium</t>
        </is>
      </c>
      <c r="E32" s="4" t="inlineStr">
        <is>
          <t>長命ブランチの存在理由と同期方法が定義されているか(存在する場合)</t>
        </is>
      </c>
      <c r="F32" s="4" t="inlineStr">
        <is>
          <t>並行保守等の必要性と、上流変更の取り込み頻度・方法が記載されている。長命ブランチがなければN/A</t>
        </is>
      </c>
      <c r="G32" s="4" t="inlineStr">
        <is>
          <t>長命ブランチは上流との乖離が蓄積し、同期を怠ると統合時に解決不能規模のコンフリクトが発生する。並行開発ストリームの管理はバージョン管理計画の一部である。</t>
        </is>
      </c>
      <c r="H32" s="4" t="inlineStr">
        <is>
          <t>swebok-v4a.pdf ch08 Software Configuration Management &gt; 2.6 Software Libraries (複数開発ストリーム) / 1.3 Planning for SCM</t>
        </is>
      </c>
      <c r="I32" s="4" t="inlineStr">
        <is>
          <t>CORE</t>
        </is>
      </c>
      <c r="J32" s="4" t="inlineStr">
        <is>
          <t>原則適用。案件スコープ・成果物・規制・リスク上非該当の場合はN/A根拠を記録。</t>
        </is>
      </c>
      <c r="K32" s="4" t="inlineStr">
        <is>
          <t>SRC-SWEBOK-V4A</t>
        </is>
      </c>
      <c r="L32" s="4" t="inlineStr"/>
      <c r="M32" s="4" t="n"/>
      <c r="N32" s="4" t="n"/>
      <c r="O32" s="4" t="n"/>
      <c r="P32" s="4" t="n"/>
      <c r="Q32" s="4" t="n"/>
      <c r="R32" s="4" t="n"/>
      <c r="S32" s="4" t="n"/>
      <c r="T32" s="4" t="n"/>
      <c r="U32" s="4" t="n"/>
      <c r="V32" s="4" t="n"/>
      <c r="W32" s="4" t="n"/>
    </row>
    <row r="33">
      <c r="A33" s="5" t="inlineStr">
        <is>
          <t>SCM-047</t>
        </is>
      </c>
      <c r="B33" s="5" t="inlineStr">
        <is>
          <t>SWEBOK</t>
        </is>
      </c>
      <c r="C33" s="4" t="inlineStr">
        <is>
          <t>3. ブランチ戦略(SWEBOK 8-1.3)</t>
        </is>
      </c>
      <c r="D33" s="10" t="inlineStr">
        <is>
          <t>Medium</t>
        </is>
      </c>
      <c r="E33" s="4" t="inlineStr">
        <is>
          <t>コミットメッセージ規約が定義されているか</t>
        </is>
      </c>
      <c r="F33" s="4" t="inlineStr">
        <is>
          <t>形式(プレフィックス等)と課題ID記載ルールが定義されている</t>
        </is>
      </c>
      <c r="G33" s="4" t="inlineStr">
        <is>
          <t>コミットメッセージに課題IDがないと、変更とCRの対応が切れ、SCSAが要求する「実装済み変更の状況」を機械的に集計できなくなる。</t>
        </is>
      </c>
      <c r="H33" s="4" t="inlineStr">
        <is>
          <t>swebok-v4a.pdf ch08 Software Configuration Management &gt; 3.2 Implementing Software Changes(変更の文書化) / 4.1 SCSA情報</t>
        </is>
      </c>
      <c r="I33" s="4" t="inlineStr">
        <is>
          <t>CORE</t>
        </is>
      </c>
      <c r="J33" s="4" t="inlineStr">
        <is>
          <t>原則適用。案件スコープ・成果物・規制・リスク上非該当の場合はN/A根拠を記録。</t>
        </is>
      </c>
      <c r="K33" s="4" t="inlineStr">
        <is>
          <t>SRC-SWEBOK-V4A</t>
        </is>
      </c>
      <c r="L33" s="4" t="inlineStr"/>
      <c r="M33" s="4" t="n"/>
      <c r="N33" s="4" t="n"/>
      <c r="O33" s="4" t="n"/>
      <c r="P33" s="4" t="n"/>
      <c r="Q33" s="4" t="n"/>
      <c r="R33" s="4" t="n"/>
      <c r="S33" s="4" t="n"/>
      <c r="T33" s="4" t="n"/>
      <c r="U33" s="4" t="n"/>
      <c r="V33" s="4" t="n"/>
      <c r="W33" s="4" t="n"/>
    </row>
    <row r="34">
      <c r="A34" s="5" t="inlineStr">
        <is>
          <t>SCM-048</t>
        </is>
      </c>
      <c r="B34" s="5" t="inlineStr">
        <is>
          <t>SWEBOK</t>
        </is>
      </c>
      <c r="C34" s="4" t="inlineStr">
        <is>
          <t>3. ブランチ戦略(SWEBOK 8-1.3)</t>
        </is>
      </c>
      <c r="D34" s="10" t="inlineStr">
        <is>
          <t>Medium</t>
        </is>
      </c>
      <c r="E34" s="4" t="inlineStr">
        <is>
          <t>マージ前の必須条件(レビュー承認数、CI通過、コンフリクト解消責任)が定義されているか</t>
        </is>
      </c>
      <c r="F34" s="4" t="inlineStr">
        <is>
          <t>3要素すべてが明記されている</t>
        </is>
      </c>
      <c r="G34" s="4" t="inlineStr">
        <is>
          <t>マージ前提条件が曖昧だと、未レビュー・CI不通過の変更が統合ブランチに入り込み、ベースラインの品質保証(承認済み変更のみが入っている状態)が崩れる。</t>
        </is>
      </c>
      <c r="H34" s="4" t="inlineStr">
        <is>
          <t>swebok-v4a.pdf ch08 Software Configuration Management &gt; 3.2 Implementing Software Changes(承認された変更のみの確認) / 6.1 Software Building (CI)</t>
        </is>
      </c>
      <c r="I34" s="4" t="inlineStr">
        <is>
          <t>CORE</t>
        </is>
      </c>
      <c r="J34" s="4" t="inlineStr">
        <is>
          <t>原則適用。案件スコープ・成果物・規制・リスク上非該当の場合はN/A根拠を記録。</t>
        </is>
      </c>
      <c r="K34" s="4" t="inlineStr">
        <is>
          <t>SRC-SWEBOK-V4A</t>
        </is>
      </c>
      <c r="L34" s="4" t="inlineStr"/>
      <c r="M34" s="4" t="n"/>
      <c r="N34" s="4" t="n"/>
      <c r="O34" s="4" t="n"/>
      <c r="P34" s="4" t="n"/>
      <c r="Q34" s="4" t="n"/>
      <c r="R34" s="4" t="n"/>
      <c r="S34" s="4" t="n"/>
      <c r="T34" s="4" t="n"/>
      <c r="U34" s="4" t="n"/>
      <c r="V34" s="4" t="n"/>
      <c r="W34" s="4" t="n"/>
    </row>
    <row r="35">
      <c r="A35" s="5" t="inlineStr">
        <is>
          <t>SCM-049</t>
        </is>
      </c>
      <c r="B35" s="5" t="inlineStr">
        <is>
          <t>SWEBOK</t>
        </is>
      </c>
      <c r="C35" s="4" t="inlineStr">
        <is>
          <t>3. ブランチ戦略(SWEBOK 8-1.3)</t>
        </is>
      </c>
      <c r="D35" s="11" t="inlineStr">
        <is>
          <t>Low</t>
        </is>
      </c>
      <c r="E35" s="4" t="inlineStr">
        <is>
          <t>不要ブランチの削除ルールがあるか</t>
        </is>
      </c>
      <c r="F35" s="4" t="inlineStr">
        <is>
          <t>マージ済みブランチの削除タイミング(自動削除設定等)が定義されている</t>
        </is>
      </c>
      <c r="G35" s="4" t="inlineStr">
        <is>
          <t>マージ済みブランチが放置されると、廃止済みブランチへの誤コミットや誤った起点からのブランチ作成を招き、リポジトリの見通しが悪化する。</t>
        </is>
      </c>
      <c r="H35" s="4" t="inlineStr">
        <is>
          <t>実務補完(Git運用プラクティス。SWEBOK 1.3のブランチ戦略計画の具体化)</t>
        </is>
      </c>
      <c r="I35" s="4" t="inlineStr">
        <is>
          <t>CORE</t>
        </is>
      </c>
      <c r="J35" s="4" t="inlineStr">
        <is>
          <t>原則適用。案件スコープ・成果物・規制・リスク上非該当の場合はN/A根拠を記録。</t>
        </is>
      </c>
      <c r="K35" s="4" t="inlineStr">
        <is>
          <t>SRC-PRACTICE</t>
        </is>
      </c>
      <c r="L35" s="4" t="inlineStr"/>
      <c r="M35" s="4" t="n"/>
      <c r="N35" s="4" t="n"/>
      <c r="O35" s="4" t="n"/>
      <c r="P35" s="4" t="n"/>
      <c r="Q35" s="4" t="n"/>
      <c r="R35" s="4" t="n"/>
      <c r="S35" s="4" t="n"/>
      <c r="T35" s="4" t="n"/>
      <c r="U35" s="4" t="n"/>
      <c r="V35" s="4" t="n"/>
      <c r="W35" s="4" t="n"/>
    </row>
    <row r="36">
      <c r="A36" s="5" t="inlineStr">
        <is>
          <t>SCM-060</t>
        </is>
      </c>
      <c r="B36" s="5" t="inlineStr">
        <is>
          <t>SWEBOK</t>
        </is>
      </c>
      <c r="C36" s="4" t="inlineStr">
        <is>
          <t>4. バージョニング規約(SWEBOK 8-2.3)</t>
        </is>
      </c>
      <c r="D36" s="8" t="inlineStr">
        <is>
          <t>Critical</t>
        </is>
      </c>
      <c r="E36" s="4" t="inlineStr">
        <is>
          <t>バージョン番号体系が定義されているか</t>
        </is>
      </c>
      <c r="F36" s="4" t="inlineStr">
        <is>
          <t>各桁(例: MAJOR.MINOR.PATCH)の意味とインクリメント条件が明記されている(SemVer準拠の場合はその旨と逸脱点)</t>
        </is>
      </c>
      <c r="G36" s="4" t="inlineStr">
        <is>
          <t>版番号の各桁の意味が共有されていないと、互換性破壊を含む変更がPATCH番号で出荷され、利用者側の想定外障害を引き起こす。版はCIの継承(succession)を追跡する基本手段である。</t>
        </is>
      </c>
      <c r="H36" s="4" t="inlineStr">
        <is>
          <t>swebok-v4a.pdf ch08 Software Configuration Management &gt; 2.5 Relationships Scheme Definition (Succession) / 2.2 CI識別子。体系例は実務補完(SemVer)</t>
        </is>
      </c>
      <c r="I36" s="4" t="inlineStr">
        <is>
          <t>CORE</t>
        </is>
      </c>
      <c r="J36" s="4" t="inlineStr">
        <is>
          <t>原則適用。案件スコープ・成果物・規制・リスク上非該当の場合はN/A根拠を記録。</t>
        </is>
      </c>
      <c r="K36" s="4" t="inlineStr">
        <is>
          <t>SRC-SWEBOK-V4A;SRC-PRACTICE</t>
        </is>
      </c>
      <c r="L36" s="4" t="inlineStr"/>
      <c r="M36" s="4" t="n"/>
      <c r="N36" s="4" t="n"/>
      <c r="O36" s="4" t="n"/>
      <c r="P36" s="4" t="n"/>
      <c r="Q36" s="4" t="n"/>
      <c r="R36" s="4" t="n"/>
      <c r="S36" s="4" t="n"/>
      <c r="T36" s="4" t="n"/>
      <c r="U36" s="4" t="n"/>
      <c r="V36" s="4" t="n"/>
      <c r="W36" s="4" t="n"/>
    </row>
    <row r="37">
      <c r="A37" s="5" t="inlineStr">
        <is>
          <t>SCM-061</t>
        </is>
      </c>
      <c r="B37" s="5" t="inlineStr">
        <is>
          <t>SWEBOK</t>
        </is>
      </c>
      <c r="C37" s="4" t="inlineStr">
        <is>
          <t>4. バージョニング規約(SWEBOK 8-2.3)</t>
        </is>
      </c>
      <c r="D37" s="9" t="inlineStr">
        <is>
          <t>High</t>
        </is>
      </c>
      <c r="E37" s="4" t="inlineStr">
        <is>
          <t>互換性を壊す変更(breaking change)の定義があるか</t>
        </is>
      </c>
      <c r="F37" s="4" t="inlineStr">
        <is>
          <t>API・データスキーマ・設定・CLIのうち該当する対象について、何が互換性破壊に当たるかの判定基準が列挙されている</t>
        </is>
      </c>
      <c r="G37" s="4" t="inlineStr">
        <is>
          <t>何が互換性破壊かの判定基準がないと、バージョン番号のインクリメント判断が属人化し、利用側の移行計画(いつ対応工数を確保すべきか)が立てられなくなる。</t>
        </is>
      </c>
      <c r="H37" s="4" t="inlineStr">
        <is>
          <t>実務補完(SemVer)。SWEBOK 1.3.5 Interface Control(インタフェース変更の管理)の具体化</t>
        </is>
      </c>
      <c r="I37" s="4" t="inlineStr">
        <is>
          <t>CORE</t>
        </is>
      </c>
      <c r="J37" s="4" t="inlineStr">
        <is>
          <t>原則適用。案件スコープ・成果物・規制・リスク上非該当の場合はN/A根拠を記録。</t>
        </is>
      </c>
      <c r="K37" s="4" t="inlineStr">
        <is>
          <t>SRC-PRACTICE</t>
        </is>
      </c>
      <c r="L37" s="4" t="inlineStr"/>
      <c r="M37" s="4" t="n"/>
      <c r="N37" s="4" t="n"/>
      <c r="O37" s="4" t="n"/>
      <c r="P37" s="4" t="n"/>
      <c r="Q37" s="4" t="n"/>
      <c r="R37" s="4" t="n"/>
      <c r="S37" s="4" t="n"/>
      <c r="T37" s="4" t="n"/>
      <c r="U37" s="4" t="n"/>
      <c r="V37" s="4" t="n"/>
      <c r="W37" s="4" t="n"/>
    </row>
    <row r="38">
      <c r="A38" s="5" t="inlineStr">
        <is>
          <t>SCM-062</t>
        </is>
      </c>
      <c r="B38" s="5" t="inlineStr">
        <is>
          <t>SWEBOK</t>
        </is>
      </c>
      <c r="C38" s="4" t="inlineStr">
        <is>
          <t>4. バージョニング規約(SWEBOK 8-2.3)</t>
        </is>
      </c>
      <c r="D38" s="9" t="inlineStr">
        <is>
          <t>High</t>
        </is>
      </c>
      <c r="E38" s="4" t="inlineStr">
        <is>
          <t>タグ命名規則とタグ作成の責任者・タイミングが定義されているか</t>
        </is>
      </c>
      <c r="F38" s="4" t="inlineStr">
        <is>
          <t>タグ形式(例: v1.2.3)、作成者(またはパイプライン自動作成)、作成タイミングが明記されている</t>
        </is>
      </c>
      <c r="G38" s="4" t="inlineStr">
        <is>
          <t>タグの形式・作成者・タイミングが不定だと、ベースラインの確立が再現不能な手作業になり、「タグ付け忘れ」でリリース構成を特定できないリリースが生まれる。</t>
        </is>
      </c>
      <c r="H38" s="4" t="inlineStr">
        <is>
          <t>swebok-v4a.pdf ch08 Software Configuration Management &gt; 2.3 Baseline Identification / 2.4 Baseline Attributes</t>
        </is>
      </c>
      <c r="I38" s="4" t="inlineStr">
        <is>
          <t>CORE</t>
        </is>
      </c>
      <c r="J38" s="4" t="inlineStr">
        <is>
          <t>原則適用。案件スコープ・成果物・規制・リスク上非該当の場合はN/A根拠を記録。</t>
        </is>
      </c>
      <c r="K38" s="4" t="inlineStr">
        <is>
          <t>SRC-SWEBOK-V4A</t>
        </is>
      </c>
      <c r="L38" s="4" t="inlineStr"/>
      <c r="M38" s="4" t="n"/>
      <c r="N38" s="4" t="n"/>
      <c r="O38" s="4" t="n"/>
      <c r="P38" s="4" t="n"/>
      <c r="Q38" s="4" t="n"/>
      <c r="R38" s="4" t="n"/>
      <c r="S38" s="4" t="n"/>
      <c r="T38" s="4" t="n"/>
      <c r="U38" s="4" t="n"/>
      <c r="V38" s="4" t="n"/>
      <c r="W38" s="4" t="n"/>
    </row>
    <row r="39">
      <c r="A39" s="5" t="inlineStr">
        <is>
          <t>SCM-063</t>
        </is>
      </c>
      <c r="B39" s="5" t="inlineStr">
        <is>
          <t>SWEBOK</t>
        </is>
      </c>
      <c r="C39" s="4" t="inlineStr">
        <is>
          <t>4. バージョニング規約(SWEBOK 8-2.3)</t>
        </is>
      </c>
      <c r="D39" s="8" t="inlineStr">
        <is>
          <t>Critical</t>
        </is>
      </c>
      <c r="E39" s="4" t="inlineStr">
        <is>
          <t>同一バージョン番号の成果物が不変であることが保証されているか</t>
        </is>
      </c>
      <c r="F39" s="4" t="inlineStr">
        <is>
          <t>リリース済みタグ・成果物の上書き禁止が文書化され、アーティファクトリポジトリの設定(上書き不可)等で担保されている</t>
        </is>
      </c>
      <c r="G39" s="4" t="inlineStr">
        <is>
          <t>同一バージョン番号の中身が差し替わると、障害報告のバージョン情報が信用できなくなり、調査・再現・顧客説明のすべてが破綻する。ベースラインは正式変更手続き以外で変更してはならない。</t>
        </is>
      </c>
      <c r="H39" s="4" t="inlineStr">
        <is>
          <t>swebok-v4a.pdf ch08 Software Configuration Management &gt; 2.3 Baseline Identification(ベースラインの固定性)</t>
        </is>
      </c>
      <c r="I39" s="4" t="inlineStr">
        <is>
          <t>CORE</t>
        </is>
      </c>
      <c r="J39" s="4" t="inlineStr">
        <is>
          <t>原則適用。案件スコープ・成果物・規制・リスク上非該当の場合はN/A根拠を記録。</t>
        </is>
      </c>
      <c r="K39" s="4" t="inlineStr">
        <is>
          <t>SRC-SWEBOK-V4A</t>
        </is>
      </c>
      <c r="L39" s="4" t="inlineStr"/>
      <c r="M39" s="4" t="n"/>
      <c r="N39" s="4" t="n"/>
      <c r="O39" s="4" t="n"/>
      <c r="P39" s="4" t="n"/>
      <c r="Q39" s="4" t="n"/>
      <c r="R39" s="4" t="n"/>
      <c r="S39" s="4" t="n"/>
      <c r="T39" s="4" t="n"/>
      <c r="U39" s="4" t="n"/>
      <c r="V39" s="4" t="n"/>
      <c r="W39" s="4" t="n"/>
    </row>
    <row r="40">
      <c r="A40" s="5" t="inlineStr">
        <is>
          <t>SCM-064</t>
        </is>
      </c>
      <c r="B40" s="5" t="inlineStr">
        <is>
          <t>SWEBOK</t>
        </is>
      </c>
      <c r="C40" s="4" t="inlineStr">
        <is>
          <t>4. バージョニング規約(SWEBOK 8-2.3)</t>
        </is>
      </c>
      <c r="D40" s="10" t="inlineStr">
        <is>
          <t>Medium</t>
        </is>
      </c>
      <c r="E40" s="4" t="inlineStr">
        <is>
          <t>プレリリース版(alpha/beta/rc)の識別子と用法が定義されているか(使用する場合)</t>
        </is>
      </c>
      <c r="F40" s="4" t="inlineStr">
        <is>
          <t>識別子の形式と、どの環境・利用者向けかが定義されている。使用しない場合はN/A</t>
        </is>
      </c>
      <c r="G40" s="4" t="inlineStr">
        <is>
          <t>プレリリース識別子の用法が曖昧だと、検証用ビルドが本番相当と誤認されて顧客環境に導入される事故が起きる。パッケージングでは用途に応じた正しいバリアント選択が求められる。</t>
        </is>
      </c>
      <c r="H40" s="4" t="inlineStr">
        <is>
          <t>swebok-v4a.pdf ch08 Software Configuration Management &gt; 6.2 Software Release Management(パッケージングとバリアント選択)</t>
        </is>
      </c>
      <c r="I40" s="4" t="inlineStr">
        <is>
          <t>CORE</t>
        </is>
      </c>
      <c r="J40" s="4" t="inlineStr">
        <is>
          <t>原則適用。案件スコープ・成果物・規制・リスク上非該当の場合はN/A根拠を記録。</t>
        </is>
      </c>
      <c r="K40" s="4" t="inlineStr">
        <is>
          <t>SRC-SWEBOK-V4A</t>
        </is>
      </c>
      <c r="L40" s="4" t="inlineStr"/>
      <c r="M40" s="4" t="n"/>
      <c r="N40" s="4" t="n"/>
      <c r="O40" s="4" t="n"/>
      <c r="P40" s="4" t="n"/>
      <c r="Q40" s="4" t="n"/>
      <c r="R40" s="4" t="n"/>
      <c r="S40" s="4" t="n"/>
      <c r="T40" s="4" t="n"/>
      <c r="U40" s="4" t="n"/>
      <c r="V40" s="4" t="n"/>
      <c r="W40" s="4" t="n"/>
    </row>
    <row r="41">
      <c r="A41" s="5" t="inlineStr">
        <is>
          <t>SCM-065</t>
        </is>
      </c>
      <c r="B41" s="5" t="inlineStr">
        <is>
          <t>SWEBOK</t>
        </is>
      </c>
      <c r="C41" s="4" t="inlineStr">
        <is>
          <t>4. バージョニング規約(SWEBOK 8-2.3)</t>
        </is>
      </c>
      <c r="D41" s="10" t="inlineStr">
        <is>
          <t>Medium</t>
        </is>
      </c>
      <c r="E41" s="4" t="inlineStr">
        <is>
          <t>複数モジュール/サービス間のバージョン整合の管理方法が定義されているか(該当する場合)</t>
        </is>
      </c>
      <c r="F41" s="4" t="inlineStr">
        <is>
          <t>一括バージョニングか独立バージョニングかの方針と、互換組合せの管理方法が記載されている</t>
        </is>
      </c>
      <c r="G41" s="4" t="inlineStr">
        <is>
          <t>モジュール間の互換組合せが管理されていないと、個別には正しいバージョン同士の組合せで初めて発生する不整合を検出できない。CI間の依存関係追跡はまさにこのための仕組みである。</t>
        </is>
      </c>
      <c r="H41" s="4" t="inlineStr">
        <is>
          <t>swebok-v4a.pdf ch08 Software Configuration Management &gt; 2.5 Relationships Scheme Definition (Dependencies)</t>
        </is>
      </c>
      <c r="I41" s="4" t="inlineStr">
        <is>
          <t>CORE</t>
        </is>
      </c>
      <c r="J41" s="4" t="inlineStr">
        <is>
          <t>原則適用。案件スコープ・成果物・規制・リスク上非該当の場合はN/A根拠を記録。</t>
        </is>
      </c>
      <c r="K41" s="4" t="inlineStr">
        <is>
          <t>SRC-SWEBOK-V4A</t>
        </is>
      </c>
      <c r="L41" s="4" t="inlineStr"/>
      <c r="M41" s="4" t="n"/>
      <c r="N41" s="4" t="n"/>
      <c r="O41" s="4" t="n"/>
      <c r="P41" s="4" t="n"/>
      <c r="Q41" s="4" t="n"/>
      <c r="R41" s="4" t="n"/>
      <c r="S41" s="4" t="n"/>
      <c r="T41" s="4" t="n"/>
      <c r="U41" s="4" t="n"/>
      <c r="V41" s="4" t="n"/>
      <c r="W41" s="4" t="n"/>
    </row>
    <row r="42">
      <c r="A42" s="5" t="inlineStr">
        <is>
          <t>SCM-066</t>
        </is>
      </c>
      <c r="B42" s="5" t="inlineStr">
        <is>
          <t>SWEBOK</t>
        </is>
      </c>
      <c r="C42" s="4" t="inlineStr">
        <is>
          <t>4. バージョニング規約(SWEBOK 8-2.3)</t>
        </is>
      </c>
      <c r="D42" s="10" t="inlineStr">
        <is>
          <t>Medium</t>
        </is>
      </c>
      <c r="E42" s="4" t="inlineStr">
        <is>
          <t>サポートポリシー(同時保守バージョン数・EOL基準)が定義されているか</t>
        </is>
      </c>
      <c r="F42" s="4" t="inlineStr">
        <is>
          <t>保守対象バージョンの決定基準とEOL通知方法が記載されている</t>
        </is>
      </c>
      <c r="G42" s="4" t="inlineStr">
        <is>
          <t>保守対象バージョンが無限定だと、hotfixの反映先が際限なく増え保守コストが破綻する。数リリース前の版を使う利用者への対応(アップグレード手順等)はリリース管理の考慮事項である。</t>
        </is>
      </c>
      <c r="H42" s="4" t="inlineStr">
        <is>
          <t>swebok-v4a.pdf ch08 Software Configuration Management &gt; 6.2 Software Release Management(旧版利用者への対応)。EOL基準は実務補完</t>
        </is>
      </c>
      <c r="I42" s="4" t="inlineStr">
        <is>
          <t>CORE</t>
        </is>
      </c>
      <c r="J42" s="4" t="inlineStr">
        <is>
          <t>原則適用。案件スコープ・成果物・規制・リスク上非該当の場合はN/A根拠を記録。</t>
        </is>
      </c>
      <c r="K42" s="4" t="inlineStr">
        <is>
          <t>SRC-SWEBOK-V4A;SRC-PRACTICE</t>
        </is>
      </c>
      <c r="L42" s="4" t="inlineStr"/>
      <c r="M42" s="4" t="n"/>
      <c r="N42" s="4" t="n"/>
      <c r="O42" s="4" t="n"/>
      <c r="P42" s="4" t="n"/>
      <c r="Q42" s="4" t="n"/>
      <c r="R42" s="4" t="n"/>
      <c r="S42" s="4" t="n"/>
      <c r="T42" s="4" t="n"/>
      <c r="U42" s="4" t="n"/>
      <c r="V42" s="4" t="n"/>
      <c r="W42" s="4" t="n"/>
    </row>
    <row r="43">
      <c r="A43" s="5" t="inlineStr">
        <is>
          <t>SCM-067</t>
        </is>
      </c>
      <c r="B43" s="5" t="inlineStr">
        <is>
          <t>SWEBOK</t>
        </is>
      </c>
      <c r="C43" s="4" t="inlineStr">
        <is>
          <t>4. バージョニング規約(SWEBOK 8-2.3)</t>
        </is>
      </c>
      <c r="D43" s="11" t="inlineStr">
        <is>
          <t>Low</t>
        </is>
      </c>
      <c r="E43" s="4" t="inlineStr">
        <is>
          <t>内部バージョンと顧客提示バージョンの対応が定義されているか(異なる場合)</t>
        </is>
      </c>
      <c r="F43" s="4" t="inlineStr">
        <is>
          <t>対応表または変換規則が記載されている。同一の場合はN/A</t>
        </is>
      </c>
      <c r="G43" s="4" t="inlineStr">
        <is>
          <t>内部版と顧客提示版の対応が記録されていないと、顧客からの障害報告を内部ビルドに突き合わせられず、初動調査で時間を失う。</t>
        </is>
      </c>
      <c r="H43" s="4" t="inlineStr">
        <is>
          <t>swebok-v4a.pdf ch08 Software Configuration Management &gt; 6.2 Software Release Management (VDD/配布物の識別)。対応表運用は実務補完</t>
        </is>
      </c>
      <c r="I43" s="4" t="inlineStr">
        <is>
          <t>CORE</t>
        </is>
      </c>
      <c r="J43" s="4" t="inlineStr">
        <is>
          <t>原則適用。案件スコープ・成果物・規制・リスク上非該当の場合はN/A根拠を記録。</t>
        </is>
      </c>
      <c r="K43" s="4" t="inlineStr">
        <is>
          <t>SRC-SWEBOK-V4A;SRC-PRACTICE</t>
        </is>
      </c>
      <c r="L43" s="4" t="inlineStr"/>
      <c r="M43" s="4" t="n"/>
      <c r="N43" s="4" t="n"/>
      <c r="O43" s="4" t="n"/>
      <c r="P43" s="4" t="n"/>
      <c r="Q43" s="4" t="n"/>
      <c r="R43" s="4" t="n"/>
      <c r="S43" s="4" t="n"/>
      <c r="T43" s="4" t="n"/>
      <c r="U43" s="4" t="n"/>
      <c r="V43" s="4" t="n"/>
      <c r="W43" s="4" t="n"/>
    </row>
    <row r="44">
      <c r="A44" s="5" t="inlineStr">
        <is>
          <t>SCM-080</t>
        </is>
      </c>
      <c r="B44" s="5" t="inlineStr">
        <is>
          <t>SWEBOK</t>
        </is>
      </c>
      <c r="C44" s="4" t="inlineStr">
        <is>
          <t>5. 変更管理(SWEBOK 8-3)</t>
        </is>
      </c>
      <c r="D44" s="8" t="inlineStr">
        <is>
          <t>Critical</t>
        </is>
      </c>
      <c r="E44" s="4" t="inlineStr">
        <is>
          <t>変更要求(CR)プロセスの全体フローが定義されているか</t>
        </is>
      </c>
      <c r="F44" s="4" t="inlineStr">
        <is>
          <t>起票→影響分析→判断(承認/修正/延期/却下)→実装→検証→クローズの各ステップと担当が図または表で定義されている</t>
        </is>
      </c>
      <c r="G44" s="4" t="inlineStr">
        <is>
          <t>SWEBOKはSCR処理の正式な流れ(起票→評価→CCB判断→実装→検証)を図示して要求している。フローが未定義だと変更が口頭依頼で始まり、影響分析や承認を飛ばした変更が本番に到達する。</t>
        </is>
      </c>
      <c r="H44" s="4" t="inlineStr">
        <is>
          <t>swebok-v4a.pdf ch08 Software Configuration Management &gt; 3.1 Requesting, Evaluating, and Approving Software Changes (Figure 8.3)</t>
        </is>
      </c>
      <c r="I44" s="4" t="inlineStr">
        <is>
          <t>CORE</t>
        </is>
      </c>
      <c r="J44" s="4" t="inlineStr">
        <is>
          <t>原則適用。案件スコープ・成果物・規制・リスク上非該当の場合はN/A根拠を記録。</t>
        </is>
      </c>
      <c r="K44" s="4" t="inlineStr">
        <is>
          <t>SRC-SWEBOK-V4A</t>
        </is>
      </c>
      <c r="L44" s="4" t="inlineStr"/>
      <c r="M44" s="4" t="n"/>
      <c r="N44" s="4" t="n"/>
      <c r="O44" s="4" t="n"/>
      <c r="P44" s="4" t="n"/>
      <c r="Q44" s="4" t="n"/>
      <c r="R44" s="4" t="n"/>
      <c r="S44" s="4" t="n"/>
      <c r="T44" s="4" t="n"/>
      <c r="U44" s="4" t="n"/>
      <c r="V44" s="4" t="n"/>
      <c r="W44" s="4" t="n"/>
    </row>
    <row r="45">
      <c r="A45" s="5" t="inlineStr">
        <is>
          <t>SCM-081</t>
        </is>
      </c>
      <c r="B45" s="5" t="inlineStr">
        <is>
          <t>SWEBOK</t>
        </is>
      </c>
      <c r="C45" s="4" t="inlineStr">
        <is>
          <t>5. 変更管理(SWEBOK 8-3)</t>
        </is>
      </c>
      <c r="D45" s="9" t="inlineStr">
        <is>
          <t>High</t>
        </is>
      </c>
      <c r="E45" s="4" t="inlineStr">
        <is>
          <t>CRフォーム(または課題テンプレート)の必須項目が定義されているか</t>
        </is>
      </c>
      <c r="F45" s="4" t="inlineStr">
        <is>
          <t>起票者、日付、変更内容、理由、影響範囲、優先度、対象バージョン/ベースラインを含む</t>
        </is>
      </c>
      <c r="G45" s="4" t="inlineStr">
        <is>
          <t>CRに理由・影響範囲・対象ベースラインが書かれていないと、承認者は判断材料を都度聞き直すことになり、記録としても後から「なぜこの変更をしたか」を説明できない。</t>
        </is>
      </c>
      <c r="H45" s="4" t="inlineStr">
        <is>
          <t>swebok-v4a.pdf ch08 Software Configuration Management &gt; 3.1.3 Software Change Request Forms Definition</t>
        </is>
      </c>
      <c r="I45" s="4" t="inlineStr">
        <is>
          <t>CORE</t>
        </is>
      </c>
      <c r="J45" s="4" t="inlineStr">
        <is>
          <t>原則適用。案件スコープ・成果物・規制・リスク上非該当の場合はN/A根拠を記録。</t>
        </is>
      </c>
      <c r="K45" s="4" t="inlineStr">
        <is>
          <t>SRC-SWEBOK-V4A</t>
        </is>
      </c>
      <c r="L45" s="4" t="inlineStr"/>
      <c r="M45" s="4" t="n"/>
      <c r="N45" s="4" t="n"/>
      <c r="O45" s="4" t="n"/>
      <c r="P45" s="4" t="n"/>
      <c r="Q45" s="4" t="n"/>
      <c r="R45" s="4" t="n"/>
      <c r="S45" s="4" t="n"/>
      <c r="T45" s="4" t="n"/>
      <c r="U45" s="4" t="n"/>
      <c r="V45" s="4" t="n"/>
      <c r="W45" s="4" t="n"/>
    </row>
    <row r="46">
      <c r="A46" s="5" t="inlineStr">
        <is>
          <t>SCM-082</t>
        </is>
      </c>
      <c r="B46" s="5" t="inlineStr">
        <is>
          <t>SWEBOK</t>
        </is>
      </c>
      <c r="C46" s="4" t="inlineStr">
        <is>
          <t>5. 変更管理(SWEBOK 8-3)</t>
        </is>
      </c>
      <c r="D46" s="9" t="inlineStr">
        <is>
          <t>High</t>
        </is>
      </c>
      <c r="E46" s="4" t="inlineStr">
        <is>
          <t>誰でもCRを起票できることが明記されているか</t>
        </is>
      </c>
      <c r="F46" s="4" t="inlineStr">
        <is>
          <t>起票権限の制限がないこと、または制限がある場合の合理的理由が記載されている</t>
        </is>
      </c>
      <c r="G46" s="4" t="inlineStr">
        <is>
          <t>SWEBOKは「CRはライフサイクルの任意時点で誰でも起票できる」と明記する。起票経路を狭めると、現場が発見した欠陥や改善が正式ルートに乗らず、非公式な直接修正が横行する。</t>
        </is>
      </c>
      <c r="H46" s="4" t="inlineStr">
        <is>
          <t>swebok-v4a.pdf ch08 Software Configuration Management &gt; 3.1 Requesting, Evaluating, and Approving Software Changes</t>
        </is>
      </c>
      <c r="I46" s="4" t="inlineStr">
        <is>
          <t>CORE</t>
        </is>
      </c>
      <c r="J46" s="4" t="inlineStr">
        <is>
          <t>原則適用。案件スコープ・成果物・規制・リスク上非該当の場合はN/A根拠を記録。</t>
        </is>
      </c>
      <c r="K46" s="4" t="inlineStr">
        <is>
          <t>SRC-SWEBOK-V4A</t>
        </is>
      </c>
      <c r="L46" s="4" t="inlineStr"/>
      <c r="M46" s="4" t="n"/>
      <c r="N46" s="4" t="n"/>
      <c r="O46" s="4" t="n"/>
      <c r="P46" s="4" t="n"/>
      <c r="Q46" s="4" t="n"/>
      <c r="R46" s="4" t="n"/>
      <c r="S46" s="4" t="n"/>
      <c r="T46" s="4" t="n"/>
      <c r="U46" s="4" t="n"/>
      <c r="V46" s="4" t="n"/>
      <c r="W46" s="4" t="n"/>
    </row>
    <row r="47">
      <c r="A47" s="5" t="inlineStr">
        <is>
          <t>SCM-083</t>
        </is>
      </c>
      <c r="B47" s="5" t="inlineStr">
        <is>
          <t>SWEBOK</t>
        </is>
      </c>
      <c r="C47" s="4" t="inlineStr">
        <is>
          <t>5. 変更管理(SWEBOK 8-3)</t>
        </is>
      </c>
      <c r="D47" s="8" t="inlineStr">
        <is>
          <t>Critical</t>
        </is>
      </c>
      <c r="E47" s="4" t="inlineStr">
        <is>
          <t>変更の承認記録が残る仕組みか</t>
        </is>
      </c>
      <c r="F47" s="4" t="inlineStr">
        <is>
          <t>承認者・承認日時・判断結果がツール(PRレビュー、課題管理、CCB議事録)に記録される手順になっている</t>
        </is>
      </c>
      <c r="G47" s="4" t="inlineStr">
        <is>
          <t>承認記録が残らないと、構成監査で「承認された変更のみが実装されている」ことを証明できず、問題発生時に判断の経緯・責任をたどれない。CCBの決定の記録はツールで捕捉すべき要件である。</t>
        </is>
      </c>
      <c r="H47" s="4" t="inlineStr">
        <is>
          <t>swebok-v4a.pdf ch08 Software Configuration Management &gt; 3.1.2 Software Change Request Process(CCB決定の捕捉)</t>
        </is>
      </c>
      <c r="I47" s="4" t="inlineStr">
        <is>
          <t>CORE</t>
        </is>
      </c>
      <c r="J47" s="4" t="inlineStr">
        <is>
          <t>原則適用。案件スコープ・成果物・規制・リスク上非該当の場合はN/A根拠を記録。</t>
        </is>
      </c>
      <c r="K47" s="4" t="inlineStr">
        <is>
          <t>SRC-SWEBOK-V4A</t>
        </is>
      </c>
      <c r="L47" s="4" t="inlineStr"/>
      <c r="M47" s="4" t="n"/>
      <c r="N47" s="4" t="n"/>
      <c r="O47" s="4" t="n"/>
      <c r="P47" s="4" t="n"/>
      <c r="Q47" s="4" t="n"/>
      <c r="R47" s="4" t="n"/>
      <c r="S47" s="4" t="n"/>
      <c r="T47" s="4" t="n"/>
      <c r="U47" s="4" t="n"/>
      <c r="V47" s="4" t="n"/>
      <c r="W47" s="4" t="n"/>
    </row>
    <row r="48">
      <c r="A48" s="5" t="inlineStr">
        <is>
          <t>SCM-084</t>
        </is>
      </c>
      <c r="B48" s="5" t="inlineStr">
        <is>
          <t>SWEBOK</t>
        </is>
      </c>
      <c r="C48" s="4" t="inlineStr">
        <is>
          <t>5. 変更管理(SWEBOK 8-3)</t>
        </is>
      </c>
      <c r="D48" s="9" t="inlineStr">
        <is>
          <t>High</t>
        </is>
      </c>
      <c r="E48" s="4" t="inlineStr">
        <is>
          <t>影響分析の観点が定義されているか</t>
        </is>
      </c>
      <c r="F48" s="4" t="inlineStr">
        <is>
          <t>影響を受けるSCI、他システム/インタフェース、スケジュール、コストのうち少なくとも3観点が影響分析項目として定義されている</t>
        </is>
      </c>
      <c r="G48" s="4" t="inlineStr">
        <is>
          <t>影響分析(技術評価)の観点が定義されていないと、分析の深さが担当者任せになり、他CI・他システムへの波及やコスト影響を見落としたまま承認される。</t>
        </is>
      </c>
      <c r="H48" s="4" t="inlineStr">
        <is>
          <t>swebok-v4a.pdf ch08 Software Configuration Management &gt; 3.1 Requesting, Evaluating, and Approving Software Changes(impact analysis)</t>
        </is>
      </c>
      <c r="I48" s="4" t="inlineStr">
        <is>
          <t>CORE</t>
        </is>
      </c>
      <c r="J48" s="4" t="inlineStr">
        <is>
          <t>原則適用。案件スコープ・成果物・規制・リスク上非該当の場合はN/A根拠を記録。</t>
        </is>
      </c>
      <c r="K48" s="4" t="inlineStr">
        <is>
          <t>SRC-SWEBOK-V4A</t>
        </is>
      </c>
      <c r="L48" s="4" t="inlineStr"/>
      <c r="M48" s="4" t="n"/>
      <c r="N48" s="4" t="n"/>
      <c r="O48" s="4" t="n"/>
      <c r="P48" s="4" t="n"/>
      <c r="Q48" s="4" t="n"/>
      <c r="R48" s="4" t="n"/>
      <c r="S48" s="4" t="n"/>
      <c r="T48" s="4" t="n"/>
      <c r="U48" s="4" t="n"/>
      <c r="V48" s="4" t="n"/>
      <c r="W48" s="4" t="n"/>
    </row>
    <row r="49">
      <c r="A49" s="5" t="inlineStr">
        <is>
          <t>SCM-085</t>
        </is>
      </c>
      <c r="B49" s="5" t="inlineStr">
        <is>
          <t>SWEBOK</t>
        </is>
      </c>
      <c r="C49" s="4" t="inlineStr">
        <is>
          <t>5. 変更管理(SWEBOK 8-3)</t>
        </is>
      </c>
      <c r="D49" s="8" t="inlineStr">
        <is>
          <t>Critical</t>
        </is>
      </c>
      <c r="E49" s="4" t="inlineStr">
        <is>
          <t>変更がどのバージョン/ベースラインに取り込まれたか追跡できるか</t>
        </is>
      </c>
      <c r="F49" s="4" t="inlineStr">
        <is>
          <t>CR(課題)⇔コミット⇔リリースの相互参照方法(課題ID記載規約、リリースノート生成)が定義されている</t>
        </is>
      </c>
      <c r="G49" s="4" t="inlineStr">
        <is>
          <t>複数の承認済みSCRが並行実装される中で、どのSCRがどの版・ベースラインに入ったかを追跡する手段の提供をSWEBOKは必須とする。これがないとリリースノートが作れず、修正漏れの版を出荷する。</t>
        </is>
      </c>
      <c r="H49" s="4" t="inlineStr">
        <is>
          <t>swebok-v4a.pdf ch08 Software Configuration Management &gt; 3.2 Implementing Software Changes</t>
        </is>
      </c>
      <c r="I49" s="4" t="inlineStr">
        <is>
          <t>CORE</t>
        </is>
      </c>
      <c r="J49" s="4" t="inlineStr">
        <is>
          <t>原則適用。案件スコープ・成果物・規制・リスク上非該当の場合はN/A根拠を記録。</t>
        </is>
      </c>
      <c r="K49" s="4" t="inlineStr">
        <is>
          <t>SRC-SWEBOK-V4A</t>
        </is>
      </c>
      <c r="L49" s="4" t="inlineStr"/>
      <c r="M49" s="4" t="n"/>
      <c r="N49" s="4" t="n"/>
      <c r="O49" s="4" t="n"/>
      <c r="P49" s="4" t="n"/>
      <c r="Q49" s="4" t="n"/>
      <c r="R49" s="4" t="n"/>
      <c r="S49" s="4" t="n"/>
      <c r="T49" s="4" t="n"/>
      <c r="U49" s="4" t="n"/>
      <c r="V49" s="4" t="n"/>
      <c r="W49" s="4" t="n"/>
    </row>
    <row r="50">
      <c r="A50" s="5" t="inlineStr">
        <is>
          <t>SCM-086</t>
        </is>
      </c>
      <c r="B50" s="5" t="inlineStr">
        <is>
          <t>SWEBOK</t>
        </is>
      </c>
      <c r="C50" s="4" t="inlineStr">
        <is>
          <t>5. 変更管理(SWEBOK 8-3)</t>
        </is>
      </c>
      <c r="D50" s="9" t="inlineStr">
        <is>
          <t>High</t>
        </is>
      </c>
      <c r="E50" s="4" t="inlineStr">
        <is>
          <t>緊急変更の手続きと事後承認ルールが定義されているか</t>
        </is>
      </c>
      <c r="F50" s="4" t="inlineStr">
        <is>
          <t>通常フローを短縮できる条件、最低限の事前確認、事後のCR起票・レビュー期限が明記されている</t>
        </is>
      </c>
      <c r="G50" s="4" t="inlineStr">
        <is>
          <t>緊急パスの条件と事後手続きが未定義だと、「緊急」を口実に通常フローが常態的に迂回され、変更記録の欠落が蓄積する。SWEBOKも緊急パスには事後の変更プロセス実施が伴うとしている。</t>
        </is>
      </c>
      <c r="H50" s="4" t="inlineStr">
        <is>
          <t>swebok-v4a.pdf ch08 Software Configuration Management &gt; 3.1 Requesting, Evaluating, and Approving Software Changes (Emergency Path)</t>
        </is>
      </c>
      <c r="I50" s="4" t="inlineStr">
        <is>
          <t>CORE</t>
        </is>
      </c>
      <c r="J50" s="4" t="inlineStr">
        <is>
          <t>原則適用。案件スコープ・成果物・規制・リスク上非該当の場合はN/A根拠を記録。</t>
        </is>
      </c>
      <c r="K50" s="4" t="inlineStr">
        <is>
          <t>SRC-SWEBOK-V4A</t>
        </is>
      </c>
      <c r="L50" s="4" t="inlineStr"/>
      <c r="M50" s="4" t="n"/>
      <c r="N50" s="4" t="n"/>
      <c r="O50" s="4" t="n"/>
      <c r="P50" s="4" t="n"/>
      <c r="Q50" s="4" t="n"/>
      <c r="R50" s="4" t="n"/>
      <c r="S50" s="4" t="n"/>
      <c r="T50" s="4" t="n"/>
      <c r="U50" s="4" t="n"/>
      <c r="V50" s="4" t="n"/>
      <c r="W50" s="4" t="n"/>
    </row>
    <row r="51">
      <c r="A51" s="5" t="inlineStr">
        <is>
          <t>SCM-087</t>
        </is>
      </c>
      <c r="B51" s="5" t="inlineStr">
        <is>
          <t>SWEBOK</t>
        </is>
      </c>
      <c r="C51" s="4" t="inlineStr">
        <is>
          <t>5. 変更管理(SWEBOK 8-3)</t>
        </is>
      </c>
      <c r="D51" s="10" t="inlineStr">
        <is>
          <t>Medium</t>
        </is>
      </c>
      <c r="E51" s="4" t="inlineStr">
        <is>
          <t>変更の規模・リスクに応じた承認レベルの層別があるか</t>
        </is>
      </c>
      <c r="F51" s="4" t="inlineStr">
        <is>
          <t>軽量変更(通常PRレビュー)と重要変更(CCB/上位承認)の区分基準が定義されている</t>
        </is>
      </c>
      <c r="G51" s="4" t="inlineStr">
        <is>
          <t>SWEBOKはCIの重要度・変更の性質・時期に応じた多段階の変更権限を認めている。層別がないと軽微修正まで重い承認を要して開発が停滞するか、逆に重要変更が軽い承認で通ってしまう。</t>
        </is>
      </c>
      <c r="H51" s="4" t="inlineStr">
        <is>
          <t>swebok-v4a.pdf ch08 Software Configuration Management &gt; 3.1.1 Software Configuration Control Board(複数レベルの変更権限)</t>
        </is>
      </c>
      <c r="I51" s="4" t="inlineStr">
        <is>
          <t>CORE</t>
        </is>
      </c>
      <c r="J51" s="4" t="inlineStr">
        <is>
          <t>原則適用。案件スコープ・成果物・規制・リスク上非該当の場合はN/A根拠を記録。</t>
        </is>
      </c>
      <c r="K51" s="4" t="inlineStr">
        <is>
          <t>SRC-SWEBOK-V4A</t>
        </is>
      </c>
      <c r="L51" s="4" t="inlineStr"/>
      <c r="M51" s="4" t="n"/>
      <c r="N51" s="4" t="n"/>
      <c r="O51" s="4" t="n"/>
      <c r="P51" s="4" t="n"/>
      <c r="Q51" s="4" t="n"/>
      <c r="R51" s="4" t="n"/>
      <c r="S51" s="4" t="n"/>
      <c r="T51" s="4" t="n"/>
      <c r="U51" s="4" t="n"/>
      <c r="V51" s="4" t="n"/>
      <c r="W51" s="4" t="n"/>
    </row>
    <row r="52">
      <c r="A52" s="5" t="inlineStr">
        <is>
          <t>SCM-088</t>
        </is>
      </c>
      <c r="B52" s="5" t="inlineStr">
        <is>
          <t>SWEBOK</t>
        </is>
      </c>
      <c r="C52" s="4" t="inlineStr">
        <is>
          <t>5. 変更管理(SWEBOK 8-3)</t>
        </is>
      </c>
      <c r="D52" s="10" t="inlineStr">
        <is>
          <t>Medium</t>
        </is>
      </c>
      <c r="E52" s="4" t="inlineStr">
        <is>
          <t>逸脱(deviation)・ウェーバー(waiver)の手続きが定義されているか(契約・規制上必要な場合)</t>
        </is>
      </c>
      <c r="F52" s="4" t="inlineStr">
        <is>
          <t>申請様式、承認権限者、記録場所が定義されている。該当契約・規制がない場合はN/A(根拠を記載)</t>
        </is>
      </c>
      <c r="G52" s="4" t="inlineStr">
        <is>
          <t>要求を満たせない箇所を非公式に「見なかったこと」にすると、契約不適合が出荷後に発覚する。逸脱・ウェーバーは事前/事後の正式な書面承認プロセスであり、該当時は必須となる。</t>
        </is>
      </c>
      <c r="H52" s="4" t="inlineStr">
        <is>
          <t>swebok-v4a.pdf ch08 Software Configuration Management &gt; 3.3 Deviations and Waivers</t>
        </is>
      </c>
      <c r="I52" s="4" t="inlineStr">
        <is>
          <t>CORE</t>
        </is>
      </c>
      <c r="J52" s="4" t="inlineStr">
        <is>
          <t>原則適用。案件スコープ・成果物・規制・リスク上非該当の場合はN/A根拠を記録。</t>
        </is>
      </c>
      <c r="K52" s="4" t="inlineStr">
        <is>
          <t>SRC-SWEBOK-V4A</t>
        </is>
      </c>
      <c r="L52" s="4" t="inlineStr"/>
      <c r="M52" s="4" t="n"/>
      <c r="N52" s="4" t="n"/>
      <c r="O52" s="4" t="n"/>
      <c r="P52" s="4" t="n"/>
      <c r="Q52" s="4" t="n"/>
      <c r="R52" s="4" t="n"/>
      <c r="S52" s="4" t="n"/>
      <c r="T52" s="4" t="n"/>
      <c r="U52" s="4" t="n"/>
      <c r="V52" s="4" t="n"/>
      <c r="W52" s="4" t="n"/>
    </row>
    <row r="53">
      <c r="A53" s="5" t="inlineStr">
        <is>
          <t>SCM-089</t>
        </is>
      </c>
      <c r="B53" s="5" t="inlineStr">
        <is>
          <t>SWEBOK</t>
        </is>
      </c>
      <c r="C53" s="4" t="inlineStr">
        <is>
          <t>5. 変更管理(SWEBOK 8-3)</t>
        </is>
      </c>
      <c r="D53" s="10" t="inlineStr">
        <is>
          <t>Medium</t>
        </is>
      </c>
      <c r="E53" s="4" t="inlineStr">
        <is>
          <t>却下・延期されたCRの記録と再提出手続きがあるか</t>
        </is>
      </c>
      <c r="F53" s="4" t="inlineStr">
        <is>
          <t>却下理由の記録と、再提出時の扱いが定義されている</t>
        </is>
      </c>
      <c r="G53" s="4" t="inlineStr">
        <is>
          <t>却下・延期CRの記録がないと、同じ提案が繰り返し議論されて工数を浪費し、延期案件が忘れ去られて要求の取りこぼしになる。CRの判断は accept/modify/defer/reject の全結果を記録対象とする。</t>
        </is>
      </c>
      <c r="H53" s="4" t="inlineStr">
        <is>
          <t>swebok-v4a.pdf ch08 Software Configuration Management &gt; 3.1 Requesting, Evaluating, and Approving Software Changes(deferやrejectの記録)</t>
        </is>
      </c>
      <c r="I53" s="4" t="inlineStr">
        <is>
          <t>CORE</t>
        </is>
      </c>
      <c r="J53" s="4" t="inlineStr">
        <is>
          <t>原則適用。案件スコープ・成果物・規制・リスク上非該当の場合はN/A根拠を記録。</t>
        </is>
      </c>
      <c r="K53" s="4" t="inlineStr">
        <is>
          <t>SRC-SWEBOK-V4A</t>
        </is>
      </c>
      <c r="L53" s="4" t="inlineStr"/>
      <c r="M53" s="4" t="n"/>
      <c r="N53" s="4" t="n"/>
      <c r="O53" s="4" t="n"/>
      <c r="P53" s="4" t="n"/>
      <c r="Q53" s="4" t="n"/>
      <c r="R53" s="4" t="n"/>
      <c r="S53" s="4" t="n"/>
      <c r="T53" s="4" t="n"/>
      <c r="U53" s="4" t="n"/>
      <c r="V53" s="4" t="n"/>
      <c r="W53" s="4" t="n"/>
    </row>
    <row r="54">
      <c r="A54" s="5" t="inlineStr">
        <is>
          <t>SCM-090</t>
        </is>
      </c>
      <c r="B54" s="5" t="inlineStr">
        <is>
          <t>SWEBOK</t>
        </is>
      </c>
      <c r="C54" s="4" t="inlineStr">
        <is>
          <t>5. 変更管理(SWEBOK 8-3)</t>
        </is>
      </c>
      <c r="D54" s="9" t="inlineStr">
        <is>
          <t>High</t>
        </is>
      </c>
      <c r="E54" s="4" t="inlineStr">
        <is>
          <t>本番環境への変更がすべてバージョン管理・変更プロセスを経由することが定められているか</t>
        </is>
      </c>
      <c r="F54" s="4" t="inlineStr">
        <is>
          <t>本番直接変更の禁止が明記され、緊急時の例外もリポジトリ反映と事後承認を必須としている</t>
        </is>
      </c>
      <c r="G54" s="4" t="inlineStr">
        <is>
          <t>本番への直接変更を許すと、リポジトリと本番実態が乖離し、次回デプロイで手動修正が上書きされる事故や、変更の完全な追跡不能を招く。CIの完全性保証というSCMの目的が根本から崩れる。</t>
        </is>
      </c>
      <c r="H54" s="4" t="inlineStr">
        <is>
          <t>swebok-v4a.pdf ch08 Software Configuration Management &gt; 3. Software Configuration Change Control(全変更の統制)。運用形態は実務補完(GitOps)</t>
        </is>
      </c>
      <c r="I54" s="4" t="inlineStr">
        <is>
          <t>CORE</t>
        </is>
      </c>
      <c r="J54" s="4" t="inlineStr">
        <is>
          <t>原則適用。案件スコープ・成果物・規制・リスク上非該当の場合はN/A根拠を記録。</t>
        </is>
      </c>
      <c r="K54" s="4" t="inlineStr">
        <is>
          <t>SRC-SWEBOK-V4A;SRC-PRACTICE</t>
        </is>
      </c>
      <c r="L54" s="4" t="inlineStr"/>
      <c r="M54" s="4" t="n"/>
      <c r="N54" s="4" t="n"/>
      <c r="O54" s="4" t="n"/>
      <c r="P54" s="4" t="n"/>
      <c r="Q54" s="4" t="n"/>
      <c r="R54" s="4" t="n"/>
      <c r="S54" s="4" t="n"/>
      <c r="T54" s="4" t="n"/>
      <c r="U54" s="4" t="n"/>
      <c r="V54" s="4" t="n"/>
      <c r="W54" s="4" t="n"/>
    </row>
    <row r="55">
      <c r="A55" s="5" t="inlineStr">
        <is>
          <t>SCM-100</t>
        </is>
      </c>
      <c r="B55" s="5" t="inlineStr">
        <is>
          <t>SWEBOK</t>
        </is>
      </c>
      <c r="C55" s="4" t="inlineStr">
        <is>
          <t>6. 状況記録・SCSA(SWEBOK 8-4)</t>
        </is>
      </c>
      <c r="D55" s="9" t="inlineStr">
        <is>
          <t>High</t>
        </is>
      </c>
      <c r="E55" s="4" t="inlineStr">
        <is>
          <t>記録すべき構成状況情報が定義されているか</t>
        </is>
      </c>
      <c r="F55" s="4" t="inlineStr">
        <is>
          <t>CRの状態、ベースライン/リリースの状況、実装済み変更の一覧のうちすべてについて記録場所が特定されている</t>
        </is>
      </c>
      <c r="G55" s="4" t="inlineStr">
        <is>
          <t>CR状態・ベースライン状況・実装済み変更はSWEBOKが列挙するSCSAの基本情報であり、これらの記録場所が決まっていないと管理判断(リリース可否等)が担当者の記憶頼みになる。</t>
        </is>
      </c>
      <c r="H55" s="4" t="inlineStr">
        <is>
          <t>swebok-v4a.pdf ch08 Software Configuration Management &gt; 4.1 Software Configuration Status Information</t>
        </is>
      </c>
      <c r="I55" s="4" t="inlineStr">
        <is>
          <t>CORE</t>
        </is>
      </c>
      <c r="J55" s="4" t="inlineStr">
        <is>
          <t>原則適用。案件スコープ・成果物・規制・リスク上非該当の場合はN/A根拠を記録。</t>
        </is>
      </c>
      <c r="K55" s="4" t="inlineStr">
        <is>
          <t>SRC-SWEBOK-V4A</t>
        </is>
      </c>
      <c r="L55" s="4" t="inlineStr"/>
      <c r="M55" s="4" t="n"/>
      <c r="N55" s="4" t="n"/>
      <c r="O55" s="4" t="n"/>
      <c r="P55" s="4" t="n"/>
      <c r="Q55" s="4" t="n"/>
      <c r="R55" s="4" t="n"/>
      <c r="S55" s="4" t="n"/>
      <c r="T55" s="4" t="n"/>
      <c r="U55" s="4" t="n"/>
      <c r="V55" s="4" t="n"/>
      <c r="W55" s="4" t="n"/>
    </row>
    <row r="56">
      <c r="A56" s="5" t="inlineStr">
        <is>
          <t>SCM-101</t>
        </is>
      </c>
      <c r="B56" s="5" t="inlineStr">
        <is>
          <t>SWEBOK</t>
        </is>
      </c>
      <c r="C56" s="4" t="inlineStr">
        <is>
          <t>6. 状況記録・SCSA(SWEBOK 8-4)</t>
        </is>
      </c>
      <c r="D56" s="10" t="inlineStr">
        <is>
          <t>Medium</t>
        </is>
      </c>
      <c r="E56" s="4" t="inlineStr">
        <is>
          <t>関係者別の報告方法が定義されているか</t>
        </is>
      </c>
      <c r="F56" s="4" t="inlineStr">
        <is>
          <t>開発・運用・管理・品質等の関係者ごとに、参照するレポート/ダッシュボード/クエリが対応付いている</t>
        </is>
      </c>
      <c r="G56" s="4" t="inlineStr">
        <is>
          <t>SWEBOKは開発・運用・保守・管理・品質・セキュリティ等の多様な受け手への報告を想定している。宛先ごとの参照手段が決まっていないと、必要な人に構成情報が届かず判断が遅れる。</t>
        </is>
      </c>
      <c r="H56" s="4" t="inlineStr">
        <is>
          <t>swebok-v4a.pdf ch08 Software Configuration Management &gt; 4.2 Software Configuration Status Reporting</t>
        </is>
      </c>
      <c r="I56" s="4" t="inlineStr">
        <is>
          <t>CORE</t>
        </is>
      </c>
      <c r="J56" s="4" t="inlineStr">
        <is>
          <t>原則適用。案件スコープ・成果物・規制・リスク上非該当の場合はN/A根拠を記録。</t>
        </is>
      </c>
      <c r="K56" s="4" t="inlineStr">
        <is>
          <t>SRC-SWEBOK-V4A</t>
        </is>
      </c>
      <c r="L56" s="4" t="inlineStr"/>
      <c r="M56" s="4" t="n"/>
      <c r="N56" s="4" t="n"/>
      <c r="O56" s="4" t="n"/>
      <c r="P56" s="4" t="n"/>
      <c r="Q56" s="4" t="n"/>
      <c r="R56" s="4" t="n"/>
      <c r="S56" s="4" t="n"/>
      <c r="T56" s="4" t="n"/>
      <c r="U56" s="4" t="n"/>
      <c r="V56" s="4" t="n"/>
      <c r="W56" s="4" t="n"/>
    </row>
    <row r="57">
      <c r="A57" s="5" t="inlineStr">
        <is>
          <t>SCM-102</t>
        </is>
      </c>
      <c r="B57" s="5" t="inlineStr">
        <is>
          <t>SWEBOK</t>
        </is>
      </c>
      <c r="C57" s="4" t="inlineStr">
        <is>
          <t>6. 状況記録・SCSA(SWEBOK 8-4)</t>
        </is>
      </c>
      <c r="D57" s="10" t="inlineStr">
        <is>
          <t>Medium</t>
        </is>
      </c>
      <c r="E57" s="4" t="inlineStr">
        <is>
          <t>状況記録が可能な限り自動化されているか</t>
        </is>
      </c>
      <c r="F57" s="4" t="inlineStr">
        <is>
          <t>課題管理・CI/CDツールからの自動集計が主で、手作業台帳への二重転記が常態化していない</t>
        </is>
      </c>
      <c r="G57" s="4" t="inlineStr">
        <is>
          <t>手作業の二重転記は転記漏れ・陳腐化で必ず実態と乖離し、信頼されない台帳の保守に工数だけが浪費される。SWEBOKもツールによる自動的なSCSA支援と使いやすい形式の報告を前提とする。</t>
        </is>
      </c>
      <c r="H57" s="4" t="inlineStr">
        <is>
          <t>swebok-v4a.pdf ch08 Software Configuration Management &gt; 4.1 Software Configuration Status Information(自動化ツールによる支援)</t>
        </is>
      </c>
      <c r="I57" s="4" t="inlineStr">
        <is>
          <t>CORE</t>
        </is>
      </c>
      <c r="J57" s="4" t="inlineStr">
        <is>
          <t>原則適用。案件スコープ・成果物・規制・リスク上非該当の場合はN/A根拠を記録。</t>
        </is>
      </c>
      <c r="K57" s="4" t="inlineStr">
        <is>
          <t>SRC-SWEBOK-V4A</t>
        </is>
      </c>
      <c r="L57" s="4" t="inlineStr"/>
      <c r="M57" s="4" t="n"/>
      <c r="N57" s="4" t="n"/>
      <c r="O57" s="4" t="n"/>
      <c r="P57" s="4" t="n"/>
      <c r="Q57" s="4" t="n"/>
      <c r="R57" s="4" t="n"/>
      <c r="S57" s="4" t="n"/>
      <c r="T57" s="4" t="n"/>
      <c r="U57" s="4" t="n"/>
      <c r="V57" s="4" t="n"/>
      <c r="W57" s="4" t="n"/>
    </row>
    <row r="58">
      <c r="A58" s="5" t="inlineStr">
        <is>
          <t>SCM-103</t>
        </is>
      </c>
      <c r="B58" s="5" t="inlineStr">
        <is>
          <t>SWEBOK</t>
        </is>
      </c>
      <c r="C58" s="4" t="inlineStr">
        <is>
          <t>6. 状況記録・SCSA(SWEBOK 8-4)</t>
        </is>
      </c>
      <c r="D58" s="9" t="inlineStr">
        <is>
          <t>High</t>
        </is>
      </c>
      <c r="E58" s="4" t="inlineStr">
        <is>
          <t>成果物の完全性検証手段(チェックサム/ハッシュ/署名)が定義されているか</t>
        </is>
      </c>
      <c r="F58" s="4" t="inlineStr">
        <is>
          <t>リリース成果物にハッシュ値または署名が付与され、検証手順が記載されている</t>
        </is>
      </c>
      <c r="G58" s="4" t="inlineStr">
        <is>
          <t>ハッシュ・署名がないと、配布経路での改竄や成果物の取り違えを検出できず、PCA(物理構成監査)で「保管物=出荷物」を証明する手段も失う。SWEBOKは完全性指標(SHA等)をSCSA情報に含める。</t>
        </is>
      </c>
      <c r="H58" s="4" t="inlineStr">
        <is>
          <t>swebok-v4a.pdf ch08 Software Configuration Management &gt; 4.2 SCSA Reporting(Indicators of integrity) / 2.6 Software Libraries(暗号学的ハッシュ)</t>
        </is>
      </c>
      <c r="I58" s="4" t="inlineStr">
        <is>
          <t>CORE</t>
        </is>
      </c>
      <c r="J58" s="4" t="inlineStr">
        <is>
          <t>原則適用。案件スコープ・成果物・規制・リスク上非該当の場合はN/A根拠を記録。</t>
        </is>
      </c>
      <c r="K58" s="4" t="inlineStr">
        <is>
          <t>SRC-SWEBOK-V4A</t>
        </is>
      </c>
      <c r="L58" s="4" t="inlineStr"/>
      <c r="M58" s="4" t="n"/>
      <c r="N58" s="4" t="n"/>
      <c r="O58" s="4" t="n"/>
      <c r="P58" s="4" t="n"/>
      <c r="Q58" s="4" t="n"/>
      <c r="R58" s="4" t="n"/>
      <c r="S58" s="4" t="n"/>
      <c r="T58" s="4" t="n"/>
      <c r="U58" s="4" t="n"/>
      <c r="V58" s="4" t="n"/>
      <c r="W58" s="4" t="n"/>
    </row>
    <row r="59">
      <c r="A59" s="5" t="inlineStr">
        <is>
          <t>SCM-104</t>
        </is>
      </c>
      <c r="B59" s="5" t="inlineStr">
        <is>
          <t>SWEBOK</t>
        </is>
      </c>
      <c r="C59" s="4" t="inlineStr">
        <is>
          <t>6. 状況記録・SCSA(SWEBOK 8-4)</t>
        </is>
      </c>
      <c r="D59" s="10" t="inlineStr">
        <is>
          <t>Medium</t>
        </is>
      </c>
      <c r="E59" s="4" t="inlineStr">
        <is>
          <t>構成状況情報へのアクセス制御・保護が考慮されているか</t>
        </is>
      </c>
      <c r="F59" s="4" t="inlineStr">
        <is>
          <t>参照/変更権限の設定方針が記載されている(セキュリティ要件がある場合)</t>
        </is>
      </c>
      <c r="G59" s="4" t="inlineStr">
        <is>
          <t>構成状況情報には脆弱性・未修正欠陥等の攻撃者に有用な情報が含まれ得るため、SWEBOKは情報自体の保護を求めている。無防備だと情報漏えいや記録の改竄リスクが生じる。</t>
        </is>
      </c>
      <c r="H59" s="4" t="inlineStr">
        <is>
          <t>swebok-v4a.pdf ch08 Software Configuration Management &gt; 4.1 Software Configuration Status Information(情報のセキュリティ確保)</t>
        </is>
      </c>
      <c r="I59" s="4" t="inlineStr">
        <is>
          <t>CORE</t>
        </is>
      </c>
      <c r="J59" s="4" t="inlineStr">
        <is>
          <t>原則適用。案件スコープ・成果物・規制・リスク上非該当の場合はN/A根拠を記録。</t>
        </is>
      </c>
      <c r="K59" s="4" t="inlineStr">
        <is>
          <t>SRC-SWEBOK-V4A</t>
        </is>
      </c>
      <c r="L59" s="4" t="inlineStr"/>
      <c r="M59" s="4" t="n"/>
      <c r="N59" s="4" t="n"/>
      <c r="O59" s="4" t="n"/>
      <c r="P59" s="4" t="n"/>
      <c r="Q59" s="4" t="n"/>
      <c r="R59" s="4" t="n"/>
      <c r="S59" s="4" t="n"/>
      <c r="T59" s="4" t="n"/>
      <c r="U59" s="4" t="n"/>
      <c r="V59" s="4" t="n"/>
      <c r="W59" s="4" t="n"/>
    </row>
    <row r="60">
      <c r="A60" s="5" t="inlineStr">
        <is>
          <t>SCM-105</t>
        </is>
      </c>
      <c r="B60" s="5" t="inlineStr">
        <is>
          <t>SWEBOK</t>
        </is>
      </c>
      <c r="C60" s="4" t="inlineStr">
        <is>
          <t>6. 状況記録・SCSA(SWEBOK 8-4)</t>
        </is>
      </c>
      <c r="D60" s="11" t="inlineStr">
        <is>
          <t>Low</t>
        </is>
      </c>
      <c r="E60" s="4" t="inlineStr">
        <is>
          <t>逸脱・ウェーバー・未解決欠陥の状況が報告に含まれるか(該当する場合)</t>
        </is>
      </c>
      <c r="F60" s="4" t="inlineStr">
        <is>
          <t>リリース判定時にこれらの一覧が参照できる仕組みがある。該当がなければN/A</t>
        </is>
      </c>
      <c r="G60" s="4" t="inlineStr">
        <is>
          <t>逸脱・ウェーバー・未解決欠陥はリリース判定の重要な入力であり、SWEBOKもSCSA情報の一部として明示する。判定時に参照できないと、要求未達を知らないままの出荷承認が起きる。</t>
        </is>
      </c>
      <c r="H60" s="4" t="inlineStr">
        <is>
          <t>swebok-v4a.pdf ch08 Software Configuration Management &gt; 4.1 Software Configuration Status Information(Deviations and waivers)</t>
        </is>
      </c>
      <c r="I60" s="4" t="inlineStr">
        <is>
          <t>CORE</t>
        </is>
      </c>
      <c r="J60" s="4" t="inlineStr">
        <is>
          <t>原則適用。案件スコープ・成果物・規制・リスク上非該当の場合はN/A根拠を記録。</t>
        </is>
      </c>
      <c r="K60" s="4" t="inlineStr">
        <is>
          <t>SRC-SWEBOK-V4A</t>
        </is>
      </c>
      <c r="L60" s="4" t="inlineStr"/>
      <c r="M60" s="4" t="n"/>
      <c r="N60" s="4" t="n"/>
      <c r="O60" s="4" t="n"/>
      <c r="P60" s="4" t="n"/>
      <c r="Q60" s="4" t="n"/>
      <c r="R60" s="4" t="n"/>
      <c r="S60" s="4" t="n"/>
      <c r="T60" s="4" t="n"/>
      <c r="U60" s="4" t="n"/>
      <c r="V60" s="4" t="n"/>
      <c r="W60" s="4" t="n"/>
    </row>
    <row r="61">
      <c r="A61" s="5" t="inlineStr">
        <is>
          <t>SCM-110</t>
        </is>
      </c>
      <c r="B61" s="5" t="inlineStr">
        <is>
          <t>SWEBOK</t>
        </is>
      </c>
      <c r="C61" s="4" t="inlineStr">
        <is>
          <t>7. 構成監査(SWEBOK 8-5)</t>
        </is>
      </c>
      <c r="D61" s="9" t="inlineStr">
        <is>
          <t>High</t>
        </is>
      </c>
      <c r="E61" s="4" t="inlineStr">
        <is>
          <t>構成監査の要否と種類が判断・記録されているか</t>
        </is>
      </c>
      <c r="F61" s="4" t="inlineStr">
        <is>
          <t>契約・規制に基づきFCA/PCAの要否が判断され、根拠とともに記録されている(不要の場合もその根拠が明記されていればPass)</t>
        </is>
      </c>
      <c r="G61" s="4" t="inlineStr">
        <is>
          <t>FCA/PCAは契約(特にクリティカルソフトウェア)で要求され得る正式監査であり、要否判断を怠ると納品段階で監査未実施が発覚し受入が止まる。不要な場合も根拠の記録が説明責任を支える。</t>
        </is>
      </c>
      <c r="H61" s="4" t="inlineStr">
        <is>
          <t>swebok-v4a.pdf ch08 Software Configuration Management &gt; 5. Software Configuration Auditing</t>
        </is>
      </c>
      <c r="I61" s="4" t="inlineStr">
        <is>
          <t>CORE</t>
        </is>
      </c>
      <c r="J61" s="4" t="inlineStr">
        <is>
          <t>原則適用。案件スコープ・成果物・規制・リスク上非該当の場合はN/A根拠を記録。</t>
        </is>
      </c>
      <c r="K61" s="4" t="inlineStr">
        <is>
          <t>SRC-SWEBOK-V4A</t>
        </is>
      </c>
      <c r="L61" s="4" t="inlineStr"/>
      <c r="M61" s="4" t="n"/>
      <c r="N61" s="4" t="n"/>
      <c r="O61" s="4" t="n"/>
      <c r="P61" s="4" t="n"/>
      <c r="Q61" s="4" t="n"/>
      <c r="R61" s="4" t="n"/>
      <c r="S61" s="4" t="n"/>
      <c r="T61" s="4" t="n"/>
      <c r="U61" s="4" t="n"/>
      <c r="V61" s="4" t="n"/>
      <c r="W61" s="4" t="n"/>
    </row>
    <row r="62">
      <c r="A62" s="5" t="inlineStr">
        <is>
          <t>SCM-111</t>
        </is>
      </c>
      <c r="B62" s="5" t="inlineStr">
        <is>
          <t>SWEBOK</t>
        </is>
      </c>
      <c r="C62" s="4" t="inlineStr">
        <is>
          <t>7. 構成監査(SWEBOK 8-5)</t>
        </is>
      </c>
      <c r="D62" s="9" t="inlineStr">
        <is>
          <t>High</t>
        </is>
      </c>
      <c r="E62" s="4" t="inlineStr">
        <is>
          <t>FCA(機能構成監査)の実施方法が定義されているか(要求される場合)</t>
        </is>
      </c>
      <c r="F62" s="4" t="inlineStr">
        <is>
          <t>監査対象、仕様との整合確認方法、V&amp;V結果の利用、実施時期・実施者が定義されている。要求されない場合はN/A</t>
        </is>
      </c>
      <c r="G62" s="4" t="inlineStr">
        <is>
          <t>FCAは成果物が仕様と一致することの独立確認であり、V&amp;V結果を入力とする。実施方法が未定義だと監査が形式だけになり、仕様不適合品がベースライン化・出荷される。</t>
        </is>
      </c>
      <c r="H62" s="4" t="inlineStr">
        <is>
          <t>swebok-v4a.pdf ch08 Software Configuration Management &gt; 5.1 Software Functional Configuration Audit</t>
        </is>
      </c>
      <c r="I62" s="4" t="inlineStr">
        <is>
          <t>CORE</t>
        </is>
      </c>
      <c r="J62" s="4" t="inlineStr">
        <is>
          <t>原則適用。案件スコープ・成果物・規制・リスク上非該当の場合はN/A根拠を記録。</t>
        </is>
      </c>
      <c r="K62" s="4" t="inlineStr">
        <is>
          <t>SRC-SWEBOK-V4A</t>
        </is>
      </c>
      <c r="L62" s="4" t="inlineStr"/>
      <c r="M62" s="4" t="n"/>
      <c r="N62" s="4" t="n"/>
      <c r="O62" s="4" t="n"/>
      <c r="P62" s="4" t="n"/>
      <c r="Q62" s="4" t="n"/>
      <c r="R62" s="4" t="n"/>
      <c r="S62" s="4" t="n"/>
      <c r="T62" s="4" t="n"/>
      <c r="U62" s="4" t="n"/>
      <c r="V62" s="4" t="n"/>
      <c r="W62" s="4" t="n"/>
    </row>
    <row r="63">
      <c r="A63" s="5" t="inlineStr">
        <is>
          <t>SCM-112</t>
        </is>
      </c>
      <c r="B63" s="5" t="inlineStr">
        <is>
          <t>SWEBOK</t>
        </is>
      </c>
      <c r="C63" s="4" t="inlineStr">
        <is>
          <t>7. 構成監査(SWEBOK 8-5)</t>
        </is>
      </c>
      <c r="D63" s="9" t="inlineStr">
        <is>
          <t>High</t>
        </is>
      </c>
      <c r="E63" s="4" t="inlineStr">
        <is>
          <t>PCA(物理構成監査)の実施方法が定義されているか(要求される場合)</t>
        </is>
      </c>
      <c r="F63" s="4" t="inlineStr">
        <is>
          <t>設計・参照文書と実際の成果物の整合確認方法、実施時期・実施者が定義されている。要求されない場合はN/A</t>
        </is>
      </c>
      <c r="G63" s="4" t="inlineStr">
        <is>
          <t>PCAは設計・参照文書と実際に作られた(as-built)成果物の一致確認。これを怠ると、文書と実物が食い違ったまま納品され、保守フェーズで文書が信用できなくなる。</t>
        </is>
      </c>
      <c r="H63" s="4" t="inlineStr">
        <is>
          <t>swebok-v4a.pdf ch08 Software Configuration Management &gt; 5.2 Software Physical Configuration Audit</t>
        </is>
      </c>
      <c r="I63" s="4" t="inlineStr">
        <is>
          <t>CORE</t>
        </is>
      </c>
      <c r="J63" s="4" t="inlineStr">
        <is>
          <t>原則適用。案件スコープ・成果物・規制・リスク上非該当の場合はN/A根拠を記録。</t>
        </is>
      </c>
      <c r="K63" s="4" t="inlineStr">
        <is>
          <t>SRC-SWEBOK-V4A</t>
        </is>
      </c>
      <c r="L63" s="4" t="inlineStr"/>
      <c r="M63" s="4" t="n"/>
      <c r="N63" s="4" t="n"/>
      <c r="O63" s="4" t="n"/>
      <c r="P63" s="4" t="n"/>
      <c r="Q63" s="4" t="n"/>
      <c r="R63" s="4" t="n"/>
      <c r="S63" s="4" t="n"/>
      <c r="T63" s="4" t="n"/>
      <c r="U63" s="4" t="n"/>
      <c r="V63" s="4" t="n"/>
      <c r="W63" s="4" t="n"/>
    </row>
    <row r="64">
      <c r="A64" s="5" t="inlineStr">
        <is>
          <t>SCM-113</t>
        </is>
      </c>
      <c r="B64" s="5" t="inlineStr">
        <is>
          <t>SWEBOK</t>
        </is>
      </c>
      <c r="C64" s="4" t="inlineStr">
        <is>
          <t>7. 構成監査(SWEBOK 8-5)</t>
        </is>
      </c>
      <c r="D64" s="10" t="inlineStr">
        <is>
          <t>Medium</t>
        </is>
      </c>
      <c r="E64" s="4" t="inlineStr">
        <is>
          <t>プロセス内監査(文書と運用実態の照合)が計画されているか</t>
        </is>
      </c>
      <c r="F64" s="4" t="inlineStr">
        <is>
          <t>ブランチ保護設定・変更記録・SCMP遵守を定期確認する時期と担当が定義されている</t>
        </is>
      </c>
      <c r="G64" s="4" t="inlineStr">
        <is>
          <t>開発途中のプロセス内監査がないと、ベースライン項目と進化する文書の乖離や運用の逸脱が最終監査まで発見されず、是正コストが膨らむ。SWEBOKは開発中の随時監査を推奨する。</t>
        </is>
      </c>
      <c r="H64" s="4" t="inlineStr">
        <is>
          <t>swebok-v4a.pdf ch08 Software Configuration Management &gt; 5.3 In-Process Audits of a Software Baseline / 1.5.2 In-Process Audits of SCM</t>
        </is>
      </c>
      <c r="I64" s="4" t="inlineStr">
        <is>
          <t>CORE</t>
        </is>
      </c>
      <c r="J64" s="4" t="inlineStr">
        <is>
          <t>原則適用。案件スコープ・成果物・規制・リスク上非該当の場合はN/A根拠を記録。</t>
        </is>
      </c>
      <c r="K64" s="4" t="inlineStr">
        <is>
          <t>SRC-SWEBOK-V4A</t>
        </is>
      </c>
      <c r="L64" s="4" t="inlineStr"/>
      <c r="M64" s="4" t="n"/>
      <c r="N64" s="4" t="n"/>
      <c r="O64" s="4" t="n"/>
      <c r="P64" s="4" t="n"/>
      <c r="Q64" s="4" t="n"/>
      <c r="R64" s="4" t="n"/>
      <c r="S64" s="4" t="n"/>
      <c r="T64" s="4" t="n"/>
      <c r="U64" s="4" t="n"/>
      <c r="V64" s="4" t="n"/>
      <c r="W64" s="4" t="n"/>
    </row>
    <row r="65">
      <c r="A65" s="5" t="inlineStr">
        <is>
          <t>SCM-114</t>
        </is>
      </c>
      <c r="B65" s="5" t="inlineStr">
        <is>
          <t>SWEBOK</t>
        </is>
      </c>
      <c r="C65" s="4" t="inlineStr">
        <is>
          <t>7. 構成監査(SWEBOK 8-5)</t>
        </is>
      </c>
      <c r="D65" s="10" t="inlineStr">
        <is>
          <t>Medium</t>
        </is>
      </c>
      <c r="E65" s="4" t="inlineStr">
        <is>
          <t>監査の指摘事項の記録・是正フォローの手続きがあるか</t>
        </is>
      </c>
      <c r="F65" s="4" t="inlineStr">
        <is>
          <t>指摘の記録場所、是正期限、確認者が定義されている</t>
        </is>
      </c>
      <c r="G65" s="4" t="inlineStr">
        <is>
          <t>指摘の記録・是正期限・確認者がないと、監査が「指摘して終わり」になり同じ不備が再発する。監査は明確に定義されたプロセスに従って実施・計画されるべきとSWEBOKは要求する。</t>
        </is>
      </c>
      <c r="H65" s="4" t="inlineStr">
        <is>
          <t>swebok-v4a.pdf ch08 Software Configuration Management &gt; 5. Software Configuration Auditing(監査の計画的実施)。是正フォローは実務補完(ISO 19011等)</t>
        </is>
      </c>
      <c r="I65" s="4" t="inlineStr">
        <is>
          <t>CORE</t>
        </is>
      </c>
      <c r="J65" s="4" t="inlineStr">
        <is>
          <t>原則適用。案件スコープ・成果物・規制・リスク上非該当の場合はN/A根拠を記録。</t>
        </is>
      </c>
      <c r="K65" s="4" t="inlineStr">
        <is>
          <t>SRC-SWEBOK-V4A;SRC-ISO-GENERAL;SRC-PRACTICE</t>
        </is>
      </c>
      <c r="L65" s="4" t="inlineStr"/>
      <c r="M65" s="4" t="n"/>
      <c r="N65" s="4" t="n"/>
      <c r="O65" s="4" t="n"/>
      <c r="P65" s="4" t="n"/>
      <c r="Q65" s="4" t="n"/>
      <c r="R65" s="4" t="n"/>
      <c r="S65" s="4" t="n"/>
      <c r="T65" s="4" t="n"/>
      <c r="U65" s="4" t="n"/>
      <c r="V65" s="4" t="n"/>
      <c r="W65" s="4" t="n"/>
    </row>
    <row r="66">
      <c r="A66" s="5" t="inlineStr">
        <is>
          <t>SCM-115</t>
        </is>
      </c>
      <c r="B66" s="5" t="inlineStr">
        <is>
          <t>SWEBOK</t>
        </is>
      </c>
      <c r="C66" s="4" t="inlineStr">
        <is>
          <t>7. 構成監査(SWEBOK 8-5)</t>
        </is>
      </c>
      <c r="D66" s="11" t="inlineStr">
        <is>
          <t>Low</t>
        </is>
      </c>
      <c r="E66" s="4" t="inlineStr">
        <is>
          <t>監査の実施方法が品質計画と整合しているか</t>
        </is>
      </c>
      <c r="F66" s="4" t="inlineStr">
        <is>
          <t>品質計画(またはQA文書)側の監査・レビュー規定と矛盾がない</t>
        </is>
      </c>
      <c r="G66" s="4" t="inlineStr">
        <is>
          <t>SWEBOKはCIレビューの実施方法と期待結果を品質計画に記述すべきとする。品質計画側と矛盾すると、同じ成果物に二重基準のレビューが課され、どちらの合格をもって承認とするか混乱する。</t>
        </is>
      </c>
      <c r="H66" s="4" t="inlineStr">
        <is>
          <t>swebok-v4a.pdf ch08 Software Configuration Management &gt; 5.3 In-Process Audits(品質計画への記述) / SCMとSQAの関係(Introduction)</t>
        </is>
      </c>
      <c r="I66" s="4" t="inlineStr">
        <is>
          <t>CORE</t>
        </is>
      </c>
      <c r="J66" s="4" t="inlineStr">
        <is>
          <t>原則適用。案件スコープ・成果物・規制・リスク上非該当の場合はN/A根拠を記録。</t>
        </is>
      </c>
      <c r="K66" s="4" t="inlineStr">
        <is>
          <t>SRC-SWEBOK-V4A</t>
        </is>
      </c>
      <c r="L66" s="4" t="inlineStr"/>
      <c r="M66" s="4" t="n"/>
      <c r="N66" s="4" t="n"/>
      <c r="O66" s="4" t="n"/>
      <c r="P66" s="4" t="n"/>
      <c r="Q66" s="4" t="n"/>
      <c r="R66" s="4" t="n"/>
      <c r="S66" s="4" t="n"/>
      <c r="T66" s="4" t="n"/>
      <c r="U66" s="4" t="n"/>
      <c r="V66" s="4" t="n"/>
      <c r="W66" s="4" t="n"/>
    </row>
    <row r="67">
      <c r="A67" s="5" t="inlineStr">
        <is>
          <t>SCM-120</t>
        </is>
      </c>
      <c r="B67" s="5" t="inlineStr">
        <is>
          <t>SWEBOK</t>
        </is>
      </c>
      <c r="C67" s="4" t="inlineStr">
        <is>
          <t>8. ビルド・CI/CDパイプライン(SWEBOK 8-6.1)</t>
        </is>
      </c>
      <c r="D67" s="8" t="inlineStr">
        <is>
          <t>Critical</t>
        </is>
      </c>
      <c r="E67" s="4" t="inlineStr">
        <is>
          <t>パイプライン定義がコードとしてバージョン管理されているか</t>
        </is>
      </c>
      <c r="F67" s="4" t="inlineStr">
        <is>
          <t>パイプライン定義ファイルがリポジトリ内にあり、変更がレビューを経る</t>
        </is>
      </c>
      <c r="G67" s="4" t="inlineStr">
        <is>
          <t>ビルド手順(build instructions)自体がSCM管理下にないと、パイプラインの変更が無審査で本番デプロイ経路を書き換え可能になり、過去リリースの再現に必要な手順も失われる。</t>
        </is>
      </c>
      <c r="H67" s="4" t="inlineStr">
        <is>
          <t>swebok-v4a.pdf ch08 Software Configuration Management &gt; 6.1 Software Building(build instructionsのSCM管理)</t>
        </is>
      </c>
      <c r="I67" s="4" t="inlineStr">
        <is>
          <t>CORE</t>
        </is>
      </c>
      <c r="J67" s="4" t="inlineStr">
        <is>
          <t>原則適用。案件スコープ・成果物・規制・リスク上非該当の場合はN/A根拠を記録。</t>
        </is>
      </c>
      <c r="K67" s="4" t="inlineStr">
        <is>
          <t>SRC-SWEBOK-V4A</t>
        </is>
      </c>
      <c r="L67" s="4" t="inlineStr"/>
      <c r="M67" s="4" t="n"/>
      <c r="N67" s="4" t="n"/>
      <c r="O67" s="4" t="n"/>
      <c r="P67" s="4" t="n"/>
      <c r="Q67" s="4" t="n"/>
      <c r="R67" s="4" t="n"/>
      <c r="S67" s="4" t="n"/>
      <c r="T67" s="4" t="n"/>
      <c r="U67" s="4" t="n"/>
      <c r="V67" s="4" t="n"/>
      <c r="W67" s="4" t="n"/>
    </row>
    <row r="68">
      <c r="A68" s="5" t="inlineStr">
        <is>
          <t>SCM-121</t>
        </is>
      </c>
      <c r="B68" s="5" t="inlineStr">
        <is>
          <t>SWEBOK</t>
        </is>
      </c>
      <c r="C68" s="4" t="inlineStr">
        <is>
          <t>8. ビルド・CI/CDパイプライン(SWEBOK 8-6.1)</t>
        </is>
      </c>
      <c r="D68" s="8" t="inlineStr">
        <is>
          <t>Critical</t>
        </is>
      </c>
      <c r="E68" s="4" t="inlineStr">
        <is>
          <t>コミット契機で自動ビルド・テストが実行されるか</t>
        </is>
      </c>
      <c r="F68" s="4" t="inlineStr">
        <is>
          <t>統合対象ブランチへのプッシュ/PRでビルドとテストが自動実行されるトリガー定義がある</t>
        </is>
      </c>
      <c r="G68" s="4" t="inlineStr">
        <is>
          <t>SWEBOKは継続的インテグレーションを「コミット契機でビルド・静的解析・テストのパイプラインが自動起動する」形態として記述する。自動化がないと統合の検証が遅れ、壊れた状態が長期化する。</t>
        </is>
      </c>
      <c r="H68" s="4" t="inlineStr">
        <is>
          <t>swebok-v4a.pdf ch08 Software Configuration Management &gt; 6.1 Software Building(continuous integration)</t>
        </is>
      </c>
      <c r="I68" s="4" t="inlineStr">
        <is>
          <t>CORE</t>
        </is>
      </c>
      <c r="J68" s="4" t="inlineStr">
        <is>
          <t>原則適用。案件スコープ・成果物・規制・リスク上非該当の場合はN/A根拠を記録。</t>
        </is>
      </c>
      <c r="K68" s="4" t="inlineStr">
        <is>
          <t>SRC-SWEBOK-V4A</t>
        </is>
      </c>
      <c r="L68" s="4" t="inlineStr"/>
      <c r="M68" s="4" t="n"/>
      <c r="N68" s="4" t="n"/>
      <c r="O68" s="4" t="n"/>
      <c r="P68" s="4" t="n"/>
      <c r="Q68" s="4" t="n"/>
      <c r="R68" s="4" t="n"/>
      <c r="S68" s="4" t="n"/>
      <c r="T68" s="4" t="n"/>
      <c r="U68" s="4" t="n"/>
      <c r="V68" s="4" t="n"/>
      <c r="W68" s="4" t="n"/>
    </row>
    <row r="69">
      <c r="A69" s="5" t="inlineStr">
        <is>
          <t>SCM-122</t>
        </is>
      </c>
      <c r="B69" s="5" t="inlineStr">
        <is>
          <t>SWEBOK</t>
        </is>
      </c>
      <c r="C69" s="4" t="inlineStr">
        <is>
          <t>8. ビルド・CI/CDパイプライン(SWEBOK 8-6.1)</t>
        </is>
      </c>
      <c r="D69" s="8" t="inlineStr">
        <is>
          <t>Critical</t>
        </is>
      </c>
      <c r="E69" s="4" t="inlineStr">
        <is>
          <t>ビルドが再現可能か</t>
        </is>
      </c>
      <c r="F69" s="4" t="inlineStr">
        <is>
          <t>依存関係のロックとビルド環境(イメージ/ツールチェーン)のバージョン固定により、同一コミットから同一成果物を再現できる手順が確認できる</t>
        </is>
      </c>
      <c r="G69" s="4" t="inlineStr">
        <is>
          <t>SWEBOKは過去リリースの正確な再ビルドのため、ビルドツールと手順の版もSCM管理下に置くことを要求する。再現不能だと障害調査時に「当時のバイナリ」を作れず、修正の検証も不可能になる。</t>
        </is>
      </c>
      <c r="H69" s="4" t="inlineStr">
        <is>
          <t>swebok-v4a.pdf ch08 Software Configuration Management &gt; 6.1 Software Building(正確な再ビルドとツール版管理)</t>
        </is>
      </c>
      <c r="I69" s="4" t="inlineStr">
        <is>
          <t>CORE</t>
        </is>
      </c>
      <c r="J69" s="4" t="inlineStr">
        <is>
          <t>原則適用。案件スコープ・成果物・規制・リスク上非該当の場合はN/A根拠を記録。</t>
        </is>
      </c>
      <c r="K69" s="4" t="inlineStr">
        <is>
          <t>SRC-SWEBOK-V4A</t>
        </is>
      </c>
      <c r="L69" s="4" t="inlineStr"/>
      <c r="M69" s="4" t="n"/>
      <c r="N69" s="4" t="n"/>
      <c r="O69" s="4" t="n"/>
      <c r="P69" s="4" t="n"/>
      <c r="Q69" s="4" t="n"/>
      <c r="R69" s="4" t="n"/>
      <c r="S69" s="4" t="n"/>
      <c r="T69" s="4" t="n"/>
      <c r="U69" s="4" t="n"/>
      <c r="V69" s="4" t="n"/>
      <c r="W69" s="4" t="n"/>
    </row>
    <row r="70">
      <c r="A70" s="5" t="inlineStr">
        <is>
          <t>SCM-123</t>
        </is>
      </c>
      <c r="B70" s="5" t="inlineStr">
        <is>
          <t>SWEBOK</t>
        </is>
      </c>
      <c r="C70" s="4" t="inlineStr">
        <is>
          <t>8. ビルド・CI/CDパイプライン(SWEBOK 8-6.1)</t>
        </is>
      </c>
      <c r="D70" s="9" t="inlineStr">
        <is>
          <t>High</t>
        </is>
      </c>
      <c r="E70" s="4" t="inlineStr">
        <is>
          <t>品質ゲートが定義され、不通過の変更を統合できないか</t>
        </is>
      </c>
      <c r="F70" s="4" t="inlineStr">
        <is>
          <t>静的解析・テストの失敗がマージ/デプロイをブロックする設定が文書化・実装されている</t>
        </is>
      </c>
      <c r="G70" s="4" t="inlineStr">
        <is>
          <t>品質ゲートが強制されていないと、テスト失敗中の変更が「後で直す」と統合され、ベースラインに承認外の欠陥が混入する。CIは静的解析・単体テスト・カバレッジ検証と組み合わせるのが標準形。</t>
        </is>
      </c>
      <c r="H70" s="4" t="inlineStr">
        <is>
          <t>swebok-v4a.pdf ch08 Software Configuration Management &gt; 6.1 Software Building(静的解析・テストの組込み) / 3.2(承認済み変更のみの保証)</t>
        </is>
      </c>
      <c r="I70" s="4" t="inlineStr">
        <is>
          <t>CORE</t>
        </is>
      </c>
      <c r="J70" s="4" t="inlineStr">
        <is>
          <t>原則適用。案件スコープ・成果物・規制・リスク上非該当の場合はN/A根拠を記録。</t>
        </is>
      </c>
      <c r="K70" s="4" t="inlineStr">
        <is>
          <t>SRC-SWEBOK-V4A</t>
        </is>
      </c>
      <c r="L70" s="4" t="inlineStr"/>
      <c r="M70" s="4" t="n"/>
      <c r="N70" s="4" t="n"/>
      <c r="O70" s="4" t="n"/>
      <c r="P70" s="4" t="n"/>
      <c r="Q70" s="4" t="n"/>
      <c r="R70" s="4" t="n"/>
      <c r="S70" s="4" t="n"/>
      <c r="T70" s="4" t="n"/>
      <c r="U70" s="4" t="n"/>
      <c r="V70" s="4" t="n"/>
      <c r="W70" s="4" t="n"/>
    </row>
    <row r="71">
      <c r="A71" s="5" t="inlineStr">
        <is>
          <t>SCM-124</t>
        </is>
      </c>
      <c r="B71" s="5" t="inlineStr">
        <is>
          <t>SWEBOK</t>
        </is>
      </c>
      <c r="C71" s="4" t="inlineStr">
        <is>
          <t>8. ビルド・CI/CDパイプライン(SWEBOK 8-6.1)</t>
        </is>
      </c>
      <c r="D71" s="9" t="inlineStr">
        <is>
          <t>High</t>
        </is>
      </c>
      <c r="E71" s="4" t="inlineStr">
        <is>
          <t>ビルド成果物が識別子付きでアーティファクトリポジトリに保管されるか</t>
        </is>
      </c>
      <c r="F71" s="4" t="inlineStr">
        <is>
          <t>成果物の命名規則(バージョン/コミットID埋込)、保管先、保管期間が定義されている</t>
        </is>
      </c>
      <c r="G71" s="4" t="inlineStr">
        <is>
          <t>ビルド成果物(バイナリ)が識別子なしで散在すると、デプロイ物とソースの対応が切れ、リリース検証やPCAができない。バイナリはビルド由来のリポジトリに保管し再取得可能とすべきである。</t>
        </is>
      </c>
      <c r="H71" s="4" t="inlineStr">
        <is>
          <t>swebok-v4a.pdf ch08 Software Configuration Management &gt; 2.6 Software Libraries(バイナリリポジトリ) / 7. SCM Tools(repository)</t>
        </is>
      </c>
      <c r="I71" s="4" t="inlineStr">
        <is>
          <t>CORE</t>
        </is>
      </c>
      <c r="J71" s="4" t="inlineStr">
        <is>
          <t>原則適用。案件スコープ・成果物・規制・リスク上非該当の場合はN/A根拠を記録。</t>
        </is>
      </c>
      <c r="K71" s="4" t="inlineStr">
        <is>
          <t>SRC-SWEBOK-V4A</t>
        </is>
      </c>
      <c r="L71" s="4" t="inlineStr"/>
      <c r="M71" s="4" t="n"/>
      <c r="N71" s="4" t="n"/>
      <c r="O71" s="4" t="n"/>
      <c r="P71" s="4" t="n"/>
      <c r="Q71" s="4" t="n"/>
      <c r="R71" s="4" t="n"/>
      <c r="S71" s="4" t="n"/>
      <c r="T71" s="4" t="n"/>
      <c r="U71" s="4" t="n"/>
      <c r="V71" s="4" t="n"/>
      <c r="W71" s="4" t="n"/>
    </row>
    <row r="72">
      <c r="A72" s="5" t="inlineStr">
        <is>
          <t>SCM-125</t>
        </is>
      </c>
      <c r="B72" s="5" t="inlineStr">
        <is>
          <t>SWEBOK</t>
        </is>
      </c>
      <c r="C72" s="4" t="inlineStr">
        <is>
          <t>8. ビルド・CI/CDパイプライン(SWEBOK 8-6.1)</t>
        </is>
      </c>
      <c r="D72" s="9" t="inlineStr">
        <is>
          <t>High</t>
        </is>
      </c>
      <c r="E72" s="4" t="inlineStr">
        <is>
          <t>シークレット(認証情報)がパイプライン定義に平文で含まれていないか</t>
        </is>
      </c>
      <c r="F72" s="4" t="inlineStr">
        <is>
          <t>シークレット管理機構(環境のシークレットストア等)の利用が確認でき、リポジトリ内に認証情報のハードコードがない</t>
        </is>
      </c>
      <c r="G72" s="4" t="inlineStr">
        <is>
          <t>パイプライン定義は全員が閲覧するリポジトリに置かれるため、平文シークレットは即座に漏えいし、本番環境への不正アクセスに直結する。ライブラリ管理のセキュリティはSCMの重要側面である。</t>
        </is>
      </c>
      <c r="H72" s="4" t="inlineStr">
        <is>
          <t>実務補完(CI/CDセキュリティ)。SWEBOK 2.6(ライブラリのアクセス制御・セキュリティ)の延長</t>
        </is>
      </c>
      <c r="I72" s="4" t="inlineStr">
        <is>
          <t>CORE</t>
        </is>
      </c>
      <c r="J72" s="4" t="inlineStr">
        <is>
          <t>原則適用。案件スコープ・成果物・規制・リスク上非該当の場合はN/A根拠を記録。</t>
        </is>
      </c>
      <c r="K72" s="4" t="inlineStr">
        <is>
          <t>SRC-PRACTICE</t>
        </is>
      </c>
      <c r="L72" s="4" t="inlineStr">
        <is>
          <t>SEC-IAM</t>
        </is>
      </c>
      <c r="M72" s="4" t="n"/>
      <c r="N72" s="4" t="n"/>
      <c r="O72" s="4" t="n"/>
      <c r="P72" s="4" t="n"/>
      <c r="Q72" s="4" t="n"/>
      <c r="R72" s="4" t="n"/>
      <c r="S72" s="4" t="n"/>
      <c r="T72" s="4" t="n"/>
      <c r="U72" s="4" t="n"/>
      <c r="V72" s="4" t="n"/>
      <c r="W72" s="4" t="n"/>
    </row>
    <row r="73">
      <c r="A73" s="5" t="inlineStr">
        <is>
          <t>SCM-126</t>
        </is>
      </c>
      <c r="B73" s="5" t="inlineStr">
        <is>
          <t>SWEBOK</t>
        </is>
      </c>
      <c r="C73" s="4" t="inlineStr">
        <is>
          <t>8. ビルド・CI/CDパイプライン(SWEBOK 8-6.1)</t>
        </is>
      </c>
      <c r="D73" s="9" t="inlineStr">
        <is>
          <t>High</t>
        </is>
      </c>
      <c r="E73" s="4" t="inlineStr">
        <is>
          <t>環境昇格(テスト→ステージング→本番)の順序と承認ゲートが定義されているか</t>
        </is>
      </c>
      <c r="F73" s="4" t="inlineStr">
        <is>
          <t>各環境へのデプロイ条件と、本番デプロイの承認手続きが定義されている</t>
        </is>
      </c>
      <c r="G73" s="4" t="inlineStr">
        <is>
          <t>環境昇格の順序と承認ゲートがないと、検証環境を経ない成果物が本番に到達し得る。ビルド成果物はテスト・ステージ・本番へ段階的にデプロイされるというのがSWEBOKの想定である。</t>
        </is>
      </c>
      <c r="H73" s="4" t="inlineStr">
        <is>
          <t>swebok-v4a.pdf ch08 Software Configuration Management &gt; 6.2 Software Release Management(continuous delivery) / 2.6(test/stage/productionへの展開)</t>
        </is>
      </c>
      <c r="I73" s="4" t="inlineStr">
        <is>
          <t>CORE</t>
        </is>
      </c>
      <c r="J73" s="4" t="inlineStr">
        <is>
          <t>原則適用。案件スコープ・成果物・規制・リスク上非該当の場合はN/A根拠を記録。</t>
        </is>
      </c>
      <c r="K73" s="4" t="inlineStr">
        <is>
          <t>SRC-SWEBOK-V4A</t>
        </is>
      </c>
      <c r="L73" s="4" t="inlineStr"/>
      <c r="M73" s="4" t="n"/>
      <c r="N73" s="4" t="n"/>
      <c r="O73" s="4" t="n"/>
      <c r="P73" s="4" t="n"/>
      <c r="Q73" s="4" t="n"/>
      <c r="R73" s="4" t="n"/>
      <c r="S73" s="4" t="n"/>
      <c r="T73" s="4" t="n"/>
      <c r="U73" s="4" t="n"/>
      <c r="V73" s="4" t="n"/>
      <c r="W73" s="4" t="n"/>
    </row>
    <row r="74">
      <c r="A74" s="5" t="inlineStr">
        <is>
          <t>SCM-127</t>
        </is>
      </c>
      <c r="B74" s="5" t="inlineStr">
        <is>
          <t>SWEBOK</t>
        </is>
      </c>
      <c r="C74" s="4" t="inlineStr">
        <is>
          <t>8. ビルド・CI/CDパイプライン(SWEBOK 8-6.1)</t>
        </is>
      </c>
      <c r="D74" s="10" t="inlineStr">
        <is>
          <t>Medium</t>
        </is>
      </c>
      <c r="E74" s="4" t="inlineStr">
        <is>
          <t>SBOMまたは依存関係一覧がビルド時に生成されるか(要求される場合)</t>
        </is>
      </c>
      <c r="F74" s="4" t="inlineStr">
        <is>
          <t>生成ステップと出力保管が確認できる。要求がない場合はN/A(根拠を記載)</t>
        </is>
      </c>
      <c r="G74" s="4" t="inlineStr">
        <is>
          <t>SWEBOKはビルドに含めた成果物を列挙するSBOMを重要なCM出力と位置づける。ビルド時に自動生成しないと、後から人手で作る羽目になり正確性が保証できない。</t>
        </is>
      </c>
      <c r="H74" s="4" t="inlineStr">
        <is>
          <t>swebok-v4a.pdf ch08 Software Configuration Management &gt; 6.1 Software Building(SBOMはCMの重要な出力)</t>
        </is>
      </c>
      <c r="I74" s="4" t="inlineStr">
        <is>
          <t>CORE</t>
        </is>
      </c>
      <c r="J74" s="4" t="inlineStr">
        <is>
          <t>原則適用。案件スコープ・成果物・規制・リスク上非該当の場合はN/A根拠を記録。</t>
        </is>
      </c>
      <c r="K74" s="4" t="inlineStr">
        <is>
          <t>SRC-SWEBOK-V4A</t>
        </is>
      </c>
      <c r="L74" s="4" t="inlineStr">
        <is>
          <t>SEC-SUPPLY-CHAIN</t>
        </is>
      </c>
      <c r="M74" s="4" t="n"/>
      <c r="N74" s="4" t="n"/>
      <c r="O74" s="4" t="n"/>
      <c r="P74" s="4" t="n"/>
      <c r="Q74" s="4" t="n"/>
      <c r="R74" s="4" t="n"/>
      <c r="S74" s="4" t="n"/>
      <c r="T74" s="4" t="n"/>
      <c r="U74" s="4" t="n"/>
      <c r="V74" s="4" t="n"/>
      <c r="W74" s="4" t="n"/>
    </row>
    <row r="75">
      <c r="A75" s="5" t="inlineStr">
        <is>
          <t>SCM-128</t>
        </is>
      </c>
      <c r="B75" s="5" t="inlineStr">
        <is>
          <t>SWEBOK</t>
        </is>
      </c>
      <c r="C75" s="4" t="inlineStr">
        <is>
          <t>8. ビルド・CI/CDパイプライン(SWEBOK 8-6.1)</t>
        </is>
      </c>
      <c r="D75" s="10" t="inlineStr">
        <is>
          <t>Medium</t>
        </is>
      </c>
      <c r="E75" s="4" t="inlineStr">
        <is>
          <t>依存関係の脆弱性スキャンがパイプラインに組み込まれているか</t>
        </is>
      </c>
      <c r="F75" s="4" t="inlineStr">
        <is>
          <t>スキャンステップと検出時の扱い(ブロック/警告)が定義されている</t>
        </is>
      </c>
      <c r="G75" s="4" t="inlineStr">
        <is>
          <t>依存ライブラリの既知脆弱性を検出せずに出荷すると、公表済み脆弱性を含む製品を顧客環境に配ることになる。SBOM/依存関係管理と対になる継続的検証である。</t>
        </is>
      </c>
      <c r="H75" s="4" t="inlineStr">
        <is>
          <t>実務補完(OWASP/SCA)。SWEBOK 2.5(SBOM)・4.2(セキュリティ状況指標)の実装手段</t>
        </is>
      </c>
      <c r="I75" s="4" t="inlineStr">
        <is>
          <t>CORE</t>
        </is>
      </c>
      <c r="J75" s="4" t="inlineStr">
        <is>
          <t>原則適用。案件スコープ・成果物・規制・リスク上非該当の場合はN/A根拠を記録。</t>
        </is>
      </c>
      <c r="K75" s="4" t="inlineStr">
        <is>
          <t>SRC-OWASP;SRC-PRACTICE</t>
        </is>
      </c>
      <c r="L75" s="4" t="inlineStr">
        <is>
          <t>SEC-SUPPLY-CHAIN</t>
        </is>
      </c>
      <c r="M75" s="4" t="n"/>
      <c r="N75" s="4" t="n"/>
      <c r="O75" s="4" t="n"/>
      <c r="P75" s="4" t="n"/>
      <c r="Q75" s="4" t="n"/>
      <c r="R75" s="4" t="n"/>
      <c r="S75" s="4" t="n"/>
      <c r="T75" s="4" t="n"/>
      <c r="U75" s="4" t="n"/>
      <c r="V75" s="4" t="n"/>
      <c r="W75" s="4" t="n"/>
    </row>
    <row r="76">
      <c r="A76" s="5" t="inlineStr">
        <is>
          <t>SCM-129</t>
        </is>
      </c>
      <c r="B76" s="5" t="inlineStr">
        <is>
          <t>SWEBOK</t>
        </is>
      </c>
      <c r="C76" s="4" t="inlineStr">
        <is>
          <t>8. ビルド・CI/CDパイプライン(SWEBOK 8-6.1)</t>
        </is>
      </c>
      <c r="D76" s="10" t="inlineStr">
        <is>
          <t>Medium</t>
        </is>
      </c>
      <c r="E76" s="4" t="inlineStr">
        <is>
          <t>パイプライン失敗時の通知・対応ルールが定義されているか</t>
        </is>
      </c>
      <c r="F76" s="4" t="inlineStr">
        <is>
          <t>失敗の通知先と、統合ブランチのビルド破損を最優先で修復する等の運用ルールが記載されている</t>
        </is>
      </c>
      <c r="G76" s="4" t="inlineStr">
        <is>
          <t>統合ブランチのビルド破損が放置されると、全員の統合・検証が止まり、破損の上に変更が積み重なって原因特定が困難になる。失敗の通知先と修復優先ルールが被害を局所化する。</t>
        </is>
      </c>
      <c r="H76" s="4" t="inlineStr">
        <is>
          <t>実務補完(CI運用プラクティス)。SWEBOK 6.1(continuous integration)の運用面の具体化</t>
        </is>
      </c>
      <c r="I76" s="4" t="inlineStr">
        <is>
          <t>CORE</t>
        </is>
      </c>
      <c r="J76" s="4" t="inlineStr">
        <is>
          <t>原則適用。案件スコープ・成果物・規制・リスク上非該当の場合はN/A根拠を記録。</t>
        </is>
      </c>
      <c r="K76" s="4" t="inlineStr">
        <is>
          <t>SRC-PRACTICE</t>
        </is>
      </c>
      <c r="L76" s="4" t="inlineStr"/>
      <c r="M76" s="4" t="n"/>
      <c r="N76" s="4" t="n"/>
      <c r="O76" s="4" t="n"/>
      <c r="P76" s="4" t="n"/>
      <c r="Q76" s="4" t="n"/>
      <c r="R76" s="4" t="n"/>
      <c r="S76" s="4" t="n"/>
      <c r="T76" s="4" t="n"/>
      <c r="U76" s="4" t="n"/>
      <c r="V76" s="4" t="n"/>
      <c r="W76" s="4" t="n"/>
    </row>
    <row r="77">
      <c r="A77" s="5" t="inlineStr">
        <is>
          <t>SCM-130</t>
        </is>
      </c>
      <c r="B77" s="5" t="inlineStr">
        <is>
          <t>SWEBOK</t>
        </is>
      </c>
      <c r="C77" s="4" t="inlineStr">
        <is>
          <t>8. ビルド・CI/CDパイプライン(SWEBOK 8-6.1)</t>
        </is>
      </c>
      <c r="D77" s="11" t="inlineStr">
        <is>
          <t>Low</t>
        </is>
      </c>
      <c r="E77" s="4" t="inlineStr">
        <is>
          <t>パイプラインの実行時間・成功率が把握できるか</t>
        </is>
      </c>
      <c r="F77" s="4" t="inlineStr">
        <is>
          <t>計測手段(CIツールの統計等)が特定されている</t>
        </is>
      </c>
      <c r="G77" s="4" t="inlineStr">
        <is>
          <t>パイプラインの実行時間・成功率はSCMプロセスの健全性を示す代表的な測定値であり、把握できないとビルドの遅延・不安定化という改善機会に気づけない。</t>
        </is>
      </c>
      <c r="H77" s="4" t="inlineStr">
        <is>
          <t>swebok-v4a.pdf ch08 Software Configuration Management &gt; 1.5.1 SCM Measures and Measurement</t>
        </is>
      </c>
      <c r="I77" s="4" t="inlineStr">
        <is>
          <t>CORE</t>
        </is>
      </c>
      <c r="J77" s="4" t="inlineStr">
        <is>
          <t>原則適用。案件スコープ・成果物・規制・リスク上非該当の場合はN/A根拠を記録。</t>
        </is>
      </c>
      <c r="K77" s="4" t="inlineStr">
        <is>
          <t>SRC-SWEBOK-V4A</t>
        </is>
      </c>
      <c r="L77" s="4" t="inlineStr"/>
      <c r="M77" s="4" t="n"/>
      <c r="N77" s="4" t="n"/>
      <c r="O77" s="4" t="n"/>
      <c r="P77" s="4" t="n"/>
      <c r="Q77" s="4" t="n"/>
      <c r="R77" s="4" t="n"/>
      <c r="S77" s="4" t="n"/>
      <c r="T77" s="4" t="n"/>
      <c r="U77" s="4" t="n"/>
      <c r="V77" s="4" t="n"/>
      <c r="W77" s="4" t="n"/>
    </row>
    <row r="78">
      <c r="A78" s="5" t="inlineStr">
        <is>
          <t>SCM-140</t>
        </is>
      </c>
      <c r="B78" s="5" t="inlineStr">
        <is>
          <t>SWEBOK</t>
        </is>
      </c>
      <c r="C78" s="4" t="inlineStr">
        <is>
          <t>9. リリース管理・配布(SWEBOK 8-6.2)</t>
        </is>
      </c>
      <c r="D78" s="8" t="inlineStr">
        <is>
          <t>Critical</t>
        </is>
      </c>
      <c r="E78" s="4" t="inlineStr">
        <is>
          <t>リリース手順が文書化または自動化されているか</t>
        </is>
      </c>
      <c r="F78" s="4" t="inlineStr">
        <is>
          <t>リリース種別ごとの手順(またはパイプライン)が存在し、特定個人の暗黙知に依存していない</t>
        </is>
      </c>
      <c r="G78" s="4" t="inlineStr">
        <is>
          <t>リリース手順が特定個人の暗黙知だと、その人の不在時にリリース・緊急修正が実施できず、手順の抜けによる配布事故も防げない。再現可能な手順化はリリース管理の基本要求である。</t>
        </is>
      </c>
      <c r="H78" s="4" t="inlineStr">
        <is>
          <t>swebok-v4a.pdf ch08 Software Configuration Management &gt; 6.2 Software Release Management / 6.1 Software Building</t>
        </is>
      </c>
      <c r="I78" s="4" t="inlineStr">
        <is>
          <t>CORE</t>
        </is>
      </c>
      <c r="J78" s="4" t="inlineStr">
        <is>
          <t>原則適用。案件スコープ・成果物・規制・リスク上非該当の場合はN/A根拠を記録。</t>
        </is>
      </c>
      <c r="K78" s="4" t="inlineStr">
        <is>
          <t>SRC-SWEBOK-V4A</t>
        </is>
      </c>
      <c r="L78" s="4" t="inlineStr"/>
      <c r="M78" s="4" t="n"/>
      <c r="N78" s="4" t="n"/>
      <c r="O78" s="4" t="n"/>
      <c r="P78" s="4" t="n"/>
      <c r="Q78" s="4" t="n"/>
      <c r="R78" s="4" t="n"/>
      <c r="S78" s="4" t="n"/>
      <c r="T78" s="4" t="n"/>
      <c r="U78" s="4" t="n"/>
      <c r="V78" s="4" t="n"/>
      <c r="W78" s="4" t="n"/>
    </row>
    <row r="79">
      <c r="A79" s="5" t="inlineStr">
        <is>
          <t>SCM-141</t>
        </is>
      </c>
      <c r="B79" s="5" t="inlineStr">
        <is>
          <t>SWEBOK</t>
        </is>
      </c>
      <c r="C79" s="4" t="inlineStr">
        <is>
          <t>9. リリース管理・配布(SWEBOK 8-6.2)</t>
        </is>
      </c>
      <c r="D79" s="8" t="inlineStr">
        <is>
          <t>Critical</t>
        </is>
      </c>
      <c r="E79" s="4" t="inlineStr">
        <is>
          <t>リリース判定基準が定義されているか</t>
        </is>
      </c>
      <c r="F79" s="4" t="inlineStr">
        <is>
          <t>必須テスト完了、未解決Critical欠陥の扱い、承認者を含む判定基準が明記されている</t>
        </is>
      </c>
      <c r="G79" s="4" t="inlineStr">
        <is>
          <t>SWEBOKは「いつリリースを出すか」の判断(対処する問題の重大度、過去リリースの欠陥密度等)をリリース管理の関心事とする。判定基準がないと出荷可否が声の大きさで決まる。</t>
        </is>
      </c>
      <c r="H79" s="4" t="inlineStr">
        <is>
          <t>swebok-v4a.pdf ch08 Software Configuration Management &gt; 6.2 Software Release Management(リリース発行判断)</t>
        </is>
      </c>
      <c r="I79" s="4" t="inlineStr">
        <is>
          <t>CORE</t>
        </is>
      </c>
      <c r="J79" s="4" t="inlineStr">
        <is>
          <t>原則適用。案件スコープ・成果物・規制・リスク上非該当の場合はN/A根拠を記録。</t>
        </is>
      </c>
      <c r="K79" s="4" t="inlineStr">
        <is>
          <t>SRC-SWEBOK-V4A</t>
        </is>
      </c>
      <c r="L79" s="4" t="inlineStr"/>
      <c r="M79" s="4" t="n"/>
      <c r="N79" s="4" t="n"/>
      <c r="O79" s="4" t="n"/>
      <c r="P79" s="4" t="n"/>
      <c r="Q79" s="4" t="n"/>
      <c r="R79" s="4" t="n"/>
      <c r="S79" s="4" t="n"/>
      <c r="T79" s="4" t="n"/>
      <c r="U79" s="4" t="n"/>
      <c r="V79" s="4" t="n"/>
      <c r="W79" s="4" t="n"/>
    </row>
    <row r="80">
      <c r="A80" s="5" t="inlineStr">
        <is>
          <t>SCM-142</t>
        </is>
      </c>
      <c r="B80" s="5" t="inlineStr">
        <is>
          <t>SWEBOK</t>
        </is>
      </c>
      <c r="C80" s="4" t="inlineStr">
        <is>
          <t>9. リリース管理・配布(SWEBOK 8-6.2)</t>
        </is>
      </c>
      <c r="D80" s="9" t="inlineStr">
        <is>
          <t>High</t>
        </is>
      </c>
      <c r="E80" s="4" t="inlineStr">
        <is>
          <t>リリースパッケージの内容一覧が定義されているか</t>
        </is>
      </c>
      <c r="F80" s="4" t="inlineStr">
        <is>
          <t>実行物、文書、リリースノート、構成データ等、含めるべき要素が列挙されている</t>
        </is>
      </c>
      <c r="G80" s="4" t="inlineStr">
        <is>
          <t>パッケージング(何を配布物に含めるか、正しいバリアントの選択)が定義されていないと、必要な構成データや文書が欠けた不完全なパッケージが届き、導入現場で障害になる。</t>
        </is>
      </c>
      <c r="H80" s="4" t="inlineStr">
        <is>
          <t>swebok-v4a.pdf ch08 Software Configuration Management &gt; 6.2 Software Release Management(packaging)</t>
        </is>
      </c>
      <c r="I80" s="4" t="inlineStr">
        <is>
          <t>CORE</t>
        </is>
      </c>
      <c r="J80" s="4" t="inlineStr">
        <is>
          <t>原則適用。案件スコープ・成果物・規制・リスク上非該当の場合はN/A根拠を記録。</t>
        </is>
      </c>
      <c r="K80" s="4" t="inlineStr">
        <is>
          <t>SRC-SWEBOK-V4A</t>
        </is>
      </c>
      <c r="L80" s="4" t="inlineStr"/>
      <c r="M80" s="4" t="n"/>
      <c r="N80" s="4" t="n"/>
      <c r="O80" s="4" t="n"/>
      <c r="P80" s="4" t="n"/>
      <c r="Q80" s="4" t="n"/>
      <c r="R80" s="4" t="n"/>
      <c r="S80" s="4" t="n"/>
      <c r="T80" s="4" t="n"/>
      <c r="U80" s="4" t="n"/>
      <c r="V80" s="4" t="n"/>
      <c r="W80" s="4" t="n"/>
    </row>
    <row r="81">
      <c r="A81" s="5" t="inlineStr">
        <is>
          <t>SCM-143</t>
        </is>
      </c>
      <c r="B81" s="5" t="inlineStr">
        <is>
          <t>SWEBOK</t>
        </is>
      </c>
      <c r="C81" s="4" t="inlineStr">
        <is>
          <t>9. リリース管理・配布(SWEBOK 8-6.2)</t>
        </is>
      </c>
      <c r="D81" s="9" t="inlineStr">
        <is>
          <t>High</t>
        </is>
      </c>
      <c r="E81" s="4" t="inlineStr">
        <is>
          <t>リリースノート(VDD相当)の記載項目が定義されているか</t>
        </is>
      </c>
      <c r="F81" s="4" t="inlineStr">
        <is>
          <t>バージョン、変更一覧(CR/課題ID参照)、既知の問題、適用手順を含むテンプレートまたは実例がある</t>
        </is>
      </c>
      <c r="G81" s="4" t="inlineStr">
        <is>
          <t>VDD(版内容記述書)とリリースノートは、配布物の物理的内容・新機能・既知の問題・導入手順を利用者に伝える正式文書。項目が未定義だと版ごとに品質がばらつき、利用者が変更内容を把握できない。</t>
        </is>
      </c>
      <c r="H81" s="4" t="inlineStr">
        <is>
          <t>swebok-v4a.pdf ch08 Software Configuration Management &gt; 6.2 Software Release Management(VDD・release notes)</t>
        </is>
      </c>
      <c r="I81" s="4" t="inlineStr">
        <is>
          <t>CORE</t>
        </is>
      </c>
      <c r="J81" s="4" t="inlineStr">
        <is>
          <t>原則適用。案件スコープ・成果物・規制・リスク上非該当の場合はN/A根拠を記録。</t>
        </is>
      </c>
      <c r="K81" s="4" t="inlineStr">
        <is>
          <t>SRC-SWEBOK-V4A</t>
        </is>
      </c>
      <c r="L81" s="4" t="inlineStr"/>
      <c r="M81" s="4" t="n"/>
      <c r="N81" s="4" t="n"/>
      <c r="O81" s="4" t="n"/>
      <c r="P81" s="4" t="n"/>
      <c r="Q81" s="4" t="n"/>
      <c r="R81" s="4" t="n"/>
      <c r="S81" s="4" t="n"/>
      <c r="T81" s="4" t="n"/>
      <c r="U81" s="4" t="n"/>
      <c r="V81" s="4" t="n"/>
      <c r="W81" s="4" t="n"/>
    </row>
    <row r="82">
      <c r="A82" s="5" t="inlineStr">
        <is>
          <t>SCM-144</t>
        </is>
      </c>
      <c r="B82" s="5" t="inlineStr">
        <is>
          <t>SWEBOK</t>
        </is>
      </c>
      <c r="C82" s="4" t="inlineStr">
        <is>
          <t>9. リリース管理・配布(SWEBOK 8-6.2)</t>
        </is>
      </c>
      <c r="D82" s="8" t="inlineStr">
        <is>
          <t>Critical</t>
        </is>
      </c>
      <c r="E82" s="4" t="inlineStr">
        <is>
          <t>ロールバック手順と判断基準が定義されているか</t>
        </is>
      </c>
      <c r="F82" s="4" t="inlineStr">
        <is>
          <t>切り戻しの具体的手順(成果物・DBマイグレーション・構成データの扱い)と発動判断基準が記載されている</t>
        </is>
      </c>
      <c r="G82" s="4" t="inlineStr">
        <is>
          <t>ロールバック手順(特にDBマイグレーションや構成データの扱い)が未定義だと、リリース障害時に即応できず被害が拡大する。以前のベースラインへの復元はSCMツールが支える基本操作である。</t>
        </is>
      </c>
      <c r="H82" s="4" t="inlineStr">
        <is>
          <t>swebok-v4a.pdf ch08 Software Configuration Management &gt; 3.2 Implementing Software Changes(以前のベースラインへの復元) / 6.2 Release Management</t>
        </is>
      </c>
      <c r="I82" s="4" t="inlineStr">
        <is>
          <t>CORE</t>
        </is>
      </c>
      <c r="J82" s="4" t="inlineStr">
        <is>
          <t>原則適用。案件スコープ・成果物・規制・リスク上非該当の場合はN/A根拠を記録。</t>
        </is>
      </c>
      <c r="K82" s="4" t="inlineStr">
        <is>
          <t>SRC-SWEBOK-V4A</t>
        </is>
      </c>
      <c r="L82" s="4" t="inlineStr"/>
      <c r="M82" s="4" t="n"/>
      <c r="N82" s="4" t="n"/>
      <c r="O82" s="4" t="n"/>
      <c r="P82" s="4" t="n"/>
      <c r="Q82" s="4" t="n"/>
      <c r="R82" s="4" t="n"/>
      <c r="S82" s="4" t="n"/>
      <c r="T82" s="4" t="n"/>
      <c r="U82" s="4" t="n"/>
      <c r="V82" s="4" t="n"/>
      <c r="W82" s="4" t="n"/>
    </row>
    <row r="83">
      <c r="A83" s="5" t="inlineStr">
        <is>
          <t>SCM-145</t>
        </is>
      </c>
      <c r="B83" s="5" t="inlineStr">
        <is>
          <t>SWEBOK</t>
        </is>
      </c>
      <c r="C83" s="4" t="inlineStr">
        <is>
          <t>9. リリース管理・配布(SWEBOK 8-6.2)</t>
        </is>
      </c>
      <c r="D83" s="9" t="inlineStr">
        <is>
          <t>High</t>
        </is>
      </c>
      <c r="E83" s="4" t="inlineStr">
        <is>
          <t>過去リリースの再現(再ビルドまたは成果物取得)が可能か</t>
        </is>
      </c>
      <c r="F83" s="4" t="inlineStr">
        <is>
          <t>任意の過去バージョンについてタグと保管成果物から復元する手順が確認できる</t>
        </is>
      </c>
      <c r="G83" s="4" t="inlineStr">
        <is>
          <t>SWEBOKは復旧・テスト・保守のために過去リリースの再現を通常必要とする、と明記する。再現できないと旧版利用顧客の障害に対する調査・パッチ提供が不可能になる。</t>
        </is>
      </c>
      <c r="H83" s="4" t="inlineStr">
        <is>
          <t>swebok-v4a.pdf ch08 Software Configuration Management &gt; 6.1 Software Building(previous releasesの再現)</t>
        </is>
      </c>
      <c r="I83" s="4" t="inlineStr">
        <is>
          <t>CORE</t>
        </is>
      </c>
      <c r="J83" s="4" t="inlineStr">
        <is>
          <t>原則適用。案件スコープ・成果物・規制・リスク上非該当の場合はN/A根拠を記録。</t>
        </is>
      </c>
      <c r="K83" s="4" t="inlineStr">
        <is>
          <t>SRC-SWEBOK-V4A</t>
        </is>
      </c>
      <c r="L83" s="4" t="inlineStr"/>
      <c r="M83" s="4" t="n"/>
      <c r="N83" s="4" t="n"/>
      <c r="O83" s="4" t="n"/>
      <c r="P83" s="4" t="n"/>
      <c r="Q83" s="4" t="n"/>
      <c r="R83" s="4" t="n"/>
      <c r="S83" s="4" t="n"/>
      <c r="T83" s="4" t="n"/>
      <c r="U83" s="4" t="n"/>
      <c r="V83" s="4" t="n"/>
      <c r="W83" s="4" t="n"/>
    </row>
    <row r="84">
      <c r="A84" s="5" t="inlineStr">
        <is>
          <t>SCM-146</t>
        </is>
      </c>
      <c r="B84" s="5" t="inlineStr">
        <is>
          <t>SWEBOK</t>
        </is>
      </c>
      <c r="C84" s="4" t="inlineStr">
        <is>
          <t>9. リリース管理・配布(SWEBOK 8-6.2)</t>
        </is>
      </c>
      <c r="D84" s="10" t="inlineStr">
        <is>
          <t>Medium</t>
        </is>
      </c>
      <c r="E84" s="4" t="inlineStr">
        <is>
          <t>リリース後の検証項目(スモークテスト等)が定義されているか</t>
        </is>
      </c>
      <c r="F84" s="4" t="inlineStr">
        <is>
          <t>本番デプロイ直後に確認する項目一覧と担当が定義されている</t>
        </is>
      </c>
      <c r="G84" s="4" t="inlineStr">
        <is>
          <t>デプロイ直後の検証項目がないと、リリース起因の障害を利用者からの申告で知ることになり、対応が後手に回る。リリース検証はバイナリリポジトリからの成果物再取得を含むプロセスとして想定される。</t>
        </is>
      </c>
      <c r="H84" s="4" t="inlineStr">
        <is>
          <t>swebok-v4a.pdf ch08 Software Configuration Management &gt; 7. SCM Tools(release verification process)。スモークテストの具体化は実務補完</t>
        </is>
      </c>
      <c r="I84" s="4" t="inlineStr">
        <is>
          <t>CORE</t>
        </is>
      </c>
      <c r="J84" s="4" t="inlineStr">
        <is>
          <t>原則適用。案件スコープ・成果物・規制・リスク上非該当の場合はN/A根拠を記録。</t>
        </is>
      </c>
      <c r="K84" s="4" t="inlineStr">
        <is>
          <t>SRC-SWEBOK-V4A;SRC-PRACTICE</t>
        </is>
      </c>
      <c r="L84" s="4" t="inlineStr"/>
      <c r="M84" s="4" t="n"/>
      <c r="N84" s="4" t="n"/>
      <c r="O84" s="4" t="n"/>
      <c r="P84" s="4" t="n"/>
      <c r="Q84" s="4" t="n"/>
      <c r="R84" s="4" t="n"/>
      <c r="S84" s="4" t="n"/>
      <c r="T84" s="4" t="n"/>
      <c r="U84" s="4" t="n"/>
      <c r="V84" s="4" t="n"/>
      <c r="W84" s="4" t="n"/>
    </row>
    <row r="85">
      <c r="A85" s="5" t="inlineStr">
        <is>
          <t>SCM-147</t>
        </is>
      </c>
      <c r="B85" s="5" t="inlineStr">
        <is>
          <t>SWEBOK</t>
        </is>
      </c>
      <c r="C85" s="4" t="inlineStr">
        <is>
          <t>9. リリース管理・配布(SWEBOK 8-6.2)</t>
        </is>
      </c>
      <c r="D85" s="10" t="inlineStr">
        <is>
          <t>Medium</t>
        </is>
      </c>
      <c r="E85" s="4" t="inlineStr">
        <is>
          <t>マルチプラットフォーム/マルチ環境向けバリアントの管理方法が定義されているか(該当する場合)</t>
        </is>
      </c>
      <c r="F85" s="4" t="inlineStr">
        <is>
          <t>バリアントごとの成果物識別と対応表が定義されている。単一プラットフォームならN/A</t>
        </is>
      </c>
      <c r="G85" s="4" t="inlineStr">
        <is>
          <t>SWEBOKはプラットフォーム別・機能別バリアントの存在を前提に、正しいバリアントの選択と特定版の再作成を必要としている。バリアント管理を怠ると別プラットフォーム向け成果物の取り違えが起きる。</t>
        </is>
      </c>
      <c r="H85" s="4" t="inlineStr">
        <is>
          <t>swebok-v4a.pdf ch08 Software Configuration Management &gt; 6. Software Release Management and Delivery(バリアント) / 2.5(Variants関係)</t>
        </is>
      </c>
      <c r="I85" s="4" t="inlineStr">
        <is>
          <t>CORE</t>
        </is>
      </c>
      <c r="J85" s="4" t="inlineStr">
        <is>
          <t>原則適用。案件スコープ・成果物・規制・リスク上非該当の場合はN/A根拠を記録。</t>
        </is>
      </c>
      <c r="K85" s="4" t="inlineStr">
        <is>
          <t>SRC-SWEBOK-V4A</t>
        </is>
      </c>
      <c r="L85" s="4" t="inlineStr"/>
      <c r="M85" s="4" t="n"/>
      <c r="N85" s="4" t="n"/>
      <c r="O85" s="4" t="n"/>
      <c r="P85" s="4" t="n"/>
      <c r="Q85" s="4" t="n"/>
      <c r="R85" s="4" t="n"/>
      <c r="S85" s="4" t="n"/>
      <c r="T85" s="4" t="n"/>
      <c r="U85" s="4" t="n"/>
      <c r="V85" s="4" t="n"/>
      <c r="W85" s="4" t="n"/>
    </row>
    <row r="86">
      <c r="A86" s="5" t="inlineStr">
        <is>
          <t>SCM-148</t>
        </is>
      </c>
      <c r="B86" s="5" t="inlineStr">
        <is>
          <t>SWEBOK</t>
        </is>
      </c>
      <c r="C86" s="4" t="inlineStr">
        <is>
          <t>9. リリース管理・配布(SWEBOK 8-6.2)</t>
        </is>
      </c>
      <c r="D86" s="10" t="inlineStr">
        <is>
          <t>Medium</t>
        </is>
      </c>
      <c r="E86" s="4" t="inlineStr">
        <is>
          <t>リリースのスケジュール・周期・凍結期間の方針が定義されているか</t>
        </is>
      </c>
      <c r="F86" s="4" t="inlineStr">
        <is>
          <t>リリースサイクルと、凍結(コードフリーズ)を設ける場合の条件が記載されている</t>
        </is>
      </c>
      <c r="G86" s="4" t="inlineStr">
        <is>
          <t>リリース周期・凍結方針が共有されていないと、リリース直前の駆け込み変更で検証済み構成が壊れ、リリース日程も安定しない。「いつ出すか」の方針はリリース管理の中心的関心である。</t>
        </is>
      </c>
      <c r="H86" s="4" t="inlineStr">
        <is>
          <t>swebok-v4a.pdf ch08 Software Configuration Management &gt; 6.2 Software Release Management(when to issue a release)。凍結運用は実務補完</t>
        </is>
      </c>
      <c r="I86" s="4" t="inlineStr">
        <is>
          <t>CORE</t>
        </is>
      </c>
      <c r="J86" s="4" t="inlineStr">
        <is>
          <t>原則適用。案件スコープ・成果物・規制・リスク上非該当の場合はN/A根拠を記録。</t>
        </is>
      </c>
      <c r="K86" s="4" t="inlineStr">
        <is>
          <t>SRC-SWEBOK-V4A;SRC-PRACTICE</t>
        </is>
      </c>
      <c r="L86" s="4" t="inlineStr"/>
      <c r="M86" s="4" t="n"/>
      <c r="N86" s="4" t="n"/>
      <c r="O86" s="4" t="n"/>
      <c r="P86" s="4" t="n"/>
      <c r="Q86" s="4" t="n"/>
      <c r="R86" s="4" t="n"/>
      <c r="S86" s="4" t="n"/>
      <c r="T86" s="4" t="n"/>
      <c r="U86" s="4" t="n"/>
      <c r="V86" s="4" t="n"/>
      <c r="W86" s="4" t="n"/>
    </row>
    <row r="87">
      <c r="A87" s="5" t="inlineStr">
        <is>
          <t>SCM-149</t>
        </is>
      </c>
      <c r="B87" s="5" t="inlineStr">
        <is>
          <t>SWEBOK</t>
        </is>
      </c>
      <c r="C87" s="4" t="inlineStr">
        <is>
          <t>9. リリース管理・配布(SWEBOK 8-6.2)</t>
        </is>
      </c>
      <c r="D87" s="11" t="inlineStr">
        <is>
          <t>Low</t>
        </is>
      </c>
      <c r="E87" s="4" t="inlineStr">
        <is>
          <t>配布物の受領者(顧客・内部)への通知方法が定義されているか</t>
        </is>
      </c>
      <c r="F87" s="4" t="inlineStr">
        <is>
          <t>リリース通知の宛先とチャネルが定義されている</t>
        </is>
      </c>
      <c r="G87" s="4" t="inlineStr">
        <is>
          <t>SWEBOKは配布先(顧客・対象システム)への追跡と、新規発見問題の顧客通知義務のケースに言及する。通知方法が未定義だと、重要な既知問題やセキュリティ修正が利用者に届かない。</t>
        </is>
      </c>
      <c r="H87" s="4" t="inlineStr">
        <is>
          <t>swebok-v4a.pdf ch08 Software Configuration Management &gt; 6.2 Software Release Management(顧客への問題通知)</t>
        </is>
      </c>
      <c r="I87" s="4" t="inlineStr">
        <is>
          <t>CORE</t>
        </is>
      </c>
      <c r="J87" s="4" t="inlineStr">
        <is>
          <t>原則適用。案件スコープ・成果物・規制・リスク上非該当の場合はN/A根拠を記録。</t>
        </is>
      </c>
      <c r="K87" s="4" t="inlineStr">
        <is>
          <t>SRC-SWEBOK-V4A</t>
        </is>
      </c>
      <c r="L87" s="4" t="inlineStr"/>
      <c r="M87" s="4" t="n"/>
      <c r="N87" s="4" t="n"/>
      <c r="O87" s="4" t="n"/>
      <c r="P87" s="4" t="n"/>
      <c r="Q87" s="4" t="n"/>
      <c r="R87" s="4" t="n"/>
      <c r="S87" s="4" t="n"/>
      <c r="T87" s="4" t="n"/>
      <c r="U87" s="4" t="n"/>
      <c r="V87" s="4" t="n"/>
      <c r="W87" s="4" t="n"/>
    </row>
    <row r="88">
      <c r="A88" s="5" t="inlineStr">
        <is>
          <t>SCM-902</t>
        </is>
      </c>
      <c r="B88" s="5" t="inlineStr">
        <is>
          <t>追加承認</t>
        </is>
      </c>
      <c r="C88" s="4" t="inlineStr">
        <is>
          <t>9. リリース管理・配布(SWEBOK 8-6.2)</t>
        </is>
      </c>
      <c r="D88" s="10" t="inlineStr">
        <is>
          <t>Medium</t>
        </is>
      </c>
      <c r="E88" s="4" t="inlineStr">
        <is>
          <t>配布先ごとの導入バージョンが追跡できるか(複数の顧客・環境に配布する場合)</t>
        </is>
      </c>
      <c r="F88" s="4" t="inlineStr">
        <is>
          <t>顧客/環境とデプロイ済みバージョンの対応が記録される仕組み(配布台帳、デプロイ履歴、テレメトリ等)が定義されている。単一環境への自社デプロイのみならN/A</t>
        </is>
      </c>
      <c r="G88" s="4" t="inlineStr">
        <is>
          <t>重大欠陥や脆弱性が発覚した際、影響を受ける配布先を特定できないと、通知・パッチ適用の対象が絞れず全顧客対応か対応漏れかの二択に陥る。</t>
        </is>
      </c>
      <c r="H88" s="4" t="inlineStr">
        <is>
          <t>swebok-v4a.pdf ch08 Software Configuration Management &gt; 6.2 Software Release Management — 配布状況の追跡(distribution tracking)</t>
        </is>
      </c>
      <c r="I88" s="4" t="inlineStr">
        <is>
          <t>CORE</t>
        </is>
      </c>
      <c r="J88" s="4" t="inlineStr">
        <is>
          <t>原則適用。案件スコープ・成果物・規制・リスク上非該当の場合はN/A根拠を記録。</t>
        </is>
      </c>
      <c r="K88" s="4" t="inlineStr">
        <is>
          <t>SRC-SWEBOK-V4A</t>
        </is>
      </c>
      <c r="L88" s="4" t="inlineStr"/>
      <c r="M88" s="4" t="n"/>
      <c r="N88" s="4" t="n"/>
      <c r="O88" s="4" t="n"/>
      <c r="P88" s="4" t="n"/>
      <c r="Q88" s="4" t="n"/>
      <c r="R88" s="4" t="n"/>
      <c r="S88" s="4" t="n"/>
      <c r="T88" s="4" t="n"/>
      <c r="U88" s="4" t="n"/>
      <c r="V88" s="4" t="n"/>
      <c r="W88" s="4" t="n"/>
    </row>
    <row r="89">
      <c r="A89" s="12" t="inlineStr">
        <is>
          <t>SCM-CZ01</t>
        </is>
      </c>
      <c r="B89" s="12" t="inlineStr">
        <is>
          <t>クラウド補完</t>
        </is>
      </c>
      <c r="C89" s="13" t="inlineStr">
        <is>
          <t>9. リリース管理・配布(SWEBOK 8-6.2)</t>
        </is>
      </c>
      <c r="D89" s="9" t="inlineStr">
        <is>
          <t>High</t>
        </is>
      </c>
      <c r="E89" s="13" t="inlineStr">
        <is>
          <t>リリースプロセスに段階的公開(カナリア/ブルーグリーン等)とベイクタイム、健全性シグナルに基づく自動停止・ロールバック基準が定義されている</t>
        </is>
      </c>
      <c r="F89" s="13" t="inlineStr">
        <is>
          <t>リリース手順書に段階公開の単位・ベイクタイム・中断/ロールバック判断基準が明記されている</t>
        </is>
      </c>
      <c r="G89" s="13" t="inlineStr">
        <is>
          <t>一斉リリースは不具合の影響を全ユーザーへ即時拡大させ、切り戻し判断も属人化する。</t>
        </is>
      </c>
      <c r="H89" s="13" t="inlineStr">
        <is>
          <t>Azure Well-Architected Framework &gt; オペレーショナルエクセレンスの柱 &gt; OE:11 (Safe deployment practices &gt; Adopt a progressive exposure model / Implement failure-detection mechanisms)</t>
        </is>
      </c>
      <c r="I89" s="13" t="inlineStr">
        <is>
          <t>CORE</t>
        </is>
      </c>
      <c r="J89" s="13" t="inlineStr">
        <is>
          <t>原則適用。案件スコープ・成果物・規制・リスク上非該当の場合はN/A根拠を記録。</t>
        </is>
      </c>
      <c r="K89" s="13" t="inlineStr">
        <is>
          <t>SRC-AZR-WAF</t>
        </is>
      </c>
      <c r="L89" s="13" t="inlineStr"/>
      <c r="M89" s="13" t="n"/>
      <c r="N89" s="13" t="n"/>
      <c r="O89" s="13" t="n"/>
      <c r="P89" s="13" t="n"/>
      <c r="Q89" s="13" t="n"/>
      <c r="R89" s="13" t="n"/>
      <c r="S89" s="13" t="n"/>
      <c r="T89" s="13" t="n"/>
      <c r="U89" s="13" t="n"/>
      <c r="V89" s="13" t="n"/>
      <c r="W89" s="13" t="n"/>
    </row>
    <row r="90">
      <c r="A90" s="5" t="inlineStr">
        <is>
          <t>SCM-160</t>
        </is>
      </c>
      <c r="B90" s="5" t="inlineStr">
        <is>
          <t>SWEBOK</t>
        </is>
      </c>
      <c r="C90" s="4" t="inlineStr">
        <is>
          <t>10. SCMツール・文書品質(SWEBOK 8-7)</t>
        </is>
      </c>
      <c r="D90" s="9" t="inlineStr">
        <is>
          <t>High</t>
        </is>
      </c>
      <c r="E90" s="4" t="inlineStr">
        <is>
          <t>ツール間の連携(課題管理⇔リポジトリ⇔CI/CD)が構成されているか</t>
        </is>
      </c>
      <c r="F90" s="4" t="inlineStr">
        <is>
          <t>課題IDとコミット/PR/ビルドの相互参照が実際にたどれる設定・規約がある</t>
        </is>
      </c>
      <c r="G90" s="4" t="inlineStr">
        <is>
          <t>SWEBOKはCR支援ツールと問題報告システムの連携、リリース内容とSCRの対応付けを求める。連携が切れていると、課題→コミット→ビルド→リリースのトレースが手作業になり、追跡性が事実上失われる。</t>
        </is>
      </c>
      <c r="H90" s="4" t="inlineStr">
        <is>
          <t>swebok-v4a.pdf ch08 Software Configuration Management &gt; 3.1.2 Software Change Request Process / 7. SCM Tools(統合)</t>
        </is>
      </c>
      <c r="I90" s="4" t="inlineStr">
        <is>
          <t>CORE</t>
        </is>
      </c>
      <c r="J90" s="4" t="inlineStr">
        <is>
          <t>原則適用。案件スコープ・成果物・規制・リスク上非該当の場合はN/A根拠を記録。</t>
        </is>
      </c>
      <c r="K90" s="4" t="inlineStr">
        <is>
          <t>SRC-SWEBOK-V4A</t>
        </is>
      </c>
      <c r="L90" s="4" t="inlineStr"/>
      <c r="M90" s="4" t="n"/>
      <c r="N90" s="4" t="n"/>
      <c r="O90" s="4" t="n"/>
      <c r="P90" s="4" t="n"/>
      <c r="Q90" s="4" t="n"/>
      <c r="R90" s="4" t="n"/>
      <c r="S90" s="4" t="n"/>
      <c r="T90" s="4" t="n"/>
      <c r="U90" s="4" t="n"/>
      <c r="V90" s="4" t="n"/>
      <c r="W90" s="4" t="n"/>
    </row>
    <row r="91">
      <c r="A91" s="5" t="inlineStr">
        <is>
          <t>SCM-161</t>
        </is>
      </c>
      <c r="B91" s="5" t="inlineStr">
        <is>
          <t>SWEBOK</t>
        </is>
      </c>
      <c r="C91" s="4" t="inlineStr">
        <is>
          <t>10. SCMツール・文書品質(SWEBOK 8-7)</t>
        </is>
      </c>
      <c r="D91" s="10" t="inlineStr">
        <is>
          <t>Medium</t>
        </is>
      </c>
      <c r="E91" s="4" t="inlineStr">
        <is>
          <t>ツールのアクセス権限方針が定義されているか</t>
        </is>
      </c>
      <c r="F91" s="4" t="inlineStr">
        <is>
          <t>リポジトリ・パイプライン・アーティファクトリポジトリの権限(読取/書込/管理)の付与基準が記載されている</t>
        </is>
      </c>
      <c r="G91" s="4" t="inlineStr">
        <is>
          <t>リポジトリ・パイプライン・成果物庫の権限が無方針だと、退職者アカウントの残存や過剰権限による誤操作・改竄のリスクが放置される。アクセス制御はライブラリ管理のセキュリティの要である。</t>
        </is>
      </c>
      <c r="H91" s="4" t="inlineStr">
        <is>
          <t>swebok-v4a.pdf ch08 Software Configuration Management &gt; 2.6 Software Libraries(アクセス制御) / 4.1(情報の保護)</t>
        </is>
      </c>
      <c r="I91" s="4" t="inlineStr">
        <is>
          <t>CORE</t>
        </is>
      </c>
      <c r="J91" s="4" t="inlineStr">
        <is>
          <t>原則適用。案件スコープ・成果物・規制・リスク上非該当の場合はN/A根拠を記録。</t>
        </is>
      </c>
      <c r="K91" s="4" t="inlineStr">
        <is>
          <t>SRC-SWEBOK-V4A</t>
        </is>
      </c>
      <c r="L91" s="4" t="inlineStr"/>
      <c r="M91" s="4" t="n"/>
      <c r="N91" s="4" t="n"/>
      <c r="O91" s="4" t="n"/>
      <c r="P91" s="4" t="n"/>
      <c r="Q91" s="4" t="n"/>
      <c r="R91" s="4" t="n"/>
      <c r="S91" s="4" t="n"/>
      <c r="T91" s="4" t="n"/>
      <c r="U91" s="4" t="n"/>
      <c r="V91" s="4" t="n"/>
      <c r="W91" s="4" t="n"/>
    </row>
    <row r="92">
      <c r="A92" s="5" t="inlineStr">
        <is>
          <t>SCM-162</t>
        </is>
      </c>
      <c r="B92" s="5" t="inlineStr">
        <is>
          <t>SWEBOK</t>
        </is>
      </c>
      <c r="C92" s="4" t="inlineStr">
        <is>
          <t>10. SCMツール・文書品質(SWEBOK 8-7)</t>
        </is>
      </c>
      <c r="D92" s="10" t="inlineStr">
        <is>
          <t>Medium</t>
        </is>
      </c>
      <c r="E92" s="4" t="inlineStr">
        <is>
          <t>ツール選定理由と利用範囲(個人/プロジェクト/全社)が記録されているか</t>
        </is>
      </c>
      <c r="F92" s="4" t="inlineStr">
        <is>
          <t>主要ツールについて選定観点(組織要件・統合性・コスト等)への言及がある</t>
        </is>
      </c>
      <c r="G92" s="4" t="inlineStr">
        <is>
          <t>SWEBOKは組織動機・環境制約・財源・適用範囲・統合性・移行性等の観点によるツール選定の計画を求める。選定理由が残っていないと、更改・契約更新時に同じ検討をゼロからやり直すことになる。</t>
        </is>
      </c>
      <c r="H92" s="4" t="inlineStr">
        <is>
          <t>swebok-v4a.pdf ch08 Software Configuration Management &gt; 1.3.3 Tool Selection and Implementation</t>
        </is>
      </c>
      <c r="I92" s="4" t="inlineStr">
        <is>
          <t>CORE</t>
        </is>
      </c>
      <c r="J92" s="4" t="inlineStr">
        <is>
          <t>原則適用。案件スコープ・成果物・規制・リスク上非該当の場合はN/A根拠を記録。</t>
        </is>
      </c>
      <c r="K92" s="4" t="inlineStr">
        <is>
          <t>SRC-SWEBOK-V4A</t>
        </is>
      </c>
      <c r="L92" s="4" t="inlineStr"/>
      <c r="M92" s="4" t="n"/>
      <c r="N92" s="4" t="n"/>
      <c r="O92" s="4" t="n"/>
      <c r="P92" s="4" t="n"/>
      <c r="Q92" s="4" t="n"/>
      <c r="R92" s="4" t="n"/>
      <c r="S92" s="4" t="n"/>
      <c r="T92" s="4" t="n"/>
      <c r="U92" s="4" t="n"/>
      <c r="V92" s="4" t="n"/>
      <c r="W92" s="4" t="n"/>
    </row>
    <row r="93">
      <c r="A93" s="5" t="inlineStr">
        <is>
          <t>SCM-163</t>
        </is>
      </c>
      <c r="B93" s="5" t="inlineStr">
        <is>
          <t>SWEBOK</t>
        </is>
      </c>
      <c r="C93" s="4" t="inlineStr">
        <is>
          <t>10. SCMツール・文書品質(SWEBOK 8-7)</t>
        </is>
      </c>
      <c r="D93" s="10" t="inlineStr">
        <is>
          <t>Medium</t>
        </is>
      </c>
      <c r="E93" s="4" t="inlineStr">
        <is>
          <t>文書内の用語がSWEBOK/JISの定訳と一致し、一貫しているか</t>
        </is>
      </c>
      <c r="F93" s="4" t="inlineStr">
        <is>
          <t>CI/SCI、ベースライン、変更要求等の用語が文書間で統一され、独自造語に定義がある</t>
        </is>
      </c>
      <c r="G93" s="4" t="inlineStr">
        <is>
          <t>CI/SCI・ベースライン・CR等の用語が文書間でぶれると、レビューアや監査人が別概念と誤読し、独自造語は新規参画者の学習コストと誤解を生む。</t>
        </is>
      </c>
      <c r="H93" s="4" t="inlineStr">
        <is>
          <t>swebok-v4a.pdf ch08 Software Configuration Management &gt; 1.4 SCM Plan(Introductionに用語定義を含める)</t>
        </is>
      </c>
      <c r="I93" s="4" t="inlineStr">
        <is>
          <t>CORE</t>
        </is>
      </c>
      <c r="J93" s="4" t="inlineStr">
        <is>
          <t>原則適用。案件スコープ・成果物・規制・リスク上非該当の場合はN/A根拠を記録。</t>
        </is>
      </c>
      <c r="K93" s="4" t="inlineStr">
        <is>
          <t>SRC-SWEBOK-V4A</t>
        </is>
      </c>
      <c r="L93" s="4" t="inlineStr"/>
      <c r="M93" s="4" t="n"/>
      <c r="N93" s="4" t="n"/>
      <c r="O93" s="4" t="n"/>
      <c r="P93" s="4" t="n"/>
      <c r="Q93" s="4" t="n"/>
      <c r="R93" s="4" t="n"/>
      <c r="S93" s="4" t="n"/>
      <c r="T93" s="4" t="n"/>
      <c r="U93" s="4" t="n"/>
      <c r="V93" s="4" t="n"/>
      <c r="W93" s="4" t="n"/>
    </row>
    <row r="94">
      <c r="A94" s="5" t="inlineStr">
        <is>
          <t>SCM-164</t>
        </is>
      </c>
      <c r="B94" s="5" t="inlineStr">
        <is>
          <t>SWEBOK</t>
        </is>
      </c>
      <c r="C94" s="4" t="inlineStr">
        <is>
          <t>10. SCMツール・文書品質(SWEBOK 8-7)</t>
        </is>
      </c>
      <c r="D94" s="10" t="inlineStr">
        <is>
          <t>Medium</t>
        </is>
      </c>
      <c r="E94" s="4" t="inlineStr">
        <is>
          <t>文書間の相互参照が正しいか</t>
        </is>
      </c>
      <c r="F94" s="4" t="inlineStr">
        <is>
          <t>SCMP・ブランチ戦略・リリース手順間の参照先が実在し、矛盾(例: SCMPとブランチ文書でフロー名が異なる)がない</t>
        </is>
      </c>
      <c r="G94" s="4" t="inlineStr">
        <is>
          <t>SCMPは下位の詳細手順(ブランチ戦略・ビルド頻度等)を従える文書体系であり、文書間で参照切れや矛盾(フロー名の不一致等)があると、読者がどちらに従うべきか判断できず運用が割れる。</t>
        </is>
      </c>
      <c r="H94" s="4" t="inlineStr">
        <is>
          <t>swebok-v4a.pdf ch08 Software Configuration Management &gt; 1.4 SCM Plan(下位手順の展開)</t>
        </is>
      </c>
      <c r="I94" s="4" t="inlineStr">
        <is>
          <t>CORE</t>
        </is>
      </c>
      <c r="J94" s="4" t="inlineStr">
        <is>
          <t>原則適用。案件スコープ・成果物・規制・リスク上非該当の場合はN/A根拠を記録。</t>
        </is>
      </c>
      <c r="K94" s="4" t="inlineStr">
        <is>
          <t>SRC-SWEBOK-V4A</t>
        </is>
      </c>
      <c r="L94" s="4" t="inlineStr"/>
      <c r="M94" s="4" t="n"/>
      <c r="N94" s="4" t="n"/>
      <c r="O94" s="4" t="n"/>
      <c r="P94" s="4" t="n"/>
      <c r="Q94" s="4" t="n"/>
      <c r="R94" s="4" t="n"/>
      <c r="S94" s="4" t="n"/>
      <c r="T94" s="4" t="n"/>
      <c r="U94" s="4" t="n"/>
      <c r="V94" s="4" t="n"/>
      <c r="W94" s="4" t="n"/>
    </row>
    <row r="95">
      <c r="A95" s="5" t="inlineStr">
        <is>
          <t>SCM-165</t>
        </is>
      </c>
      <c r="B95" s="5" t="inlineStr">
        <is>
          <t>SWEBOK</t>
        </is>
      </c>
      <c r="C95" s="4" t="inlineStr">
        <is>
          <t>10. SCMツール・文書品質(SWEBOK 8-7)</t>
        </is>
      </c>
      <c r="D95" s="11" t="inlineStr">
        <is>
          <t>Low</t>
        </is>
      </c>
      <c r="E95" s="4" t="inlineStr">
        <is>
          <t>文書が読者(新規参画者)にとって自己完結的か</t>
        </is>
      </c>
      <c r="F95" s="4" t="inlineStr">
        <is>
          <t>前提ツール・環境・略語が冒頭または用語集で説明されている</t>
        </is>
      </c>
      <c r="G95" s="4" t="inlineStr">
        <is>
          <t>前提ツール・略語の説明がないと、新規参画者が文書を読んでも運用に入れず、口頭補足に依存した属人的オンボーディングが続く。SCMPには目的・範囲・用語のIntroductionが求められる。</t>
        </is>
      </c>
      <c r="H95" s="4" t="inlineStr">
        <is>
          <t>swebok-v4a.pdf ch08 Software Configuration Management &gt; 1.4 SCM Plan(Introduction: purpose, scope, terms used)</t>
        </is>
      </c>
      <c r="I95" s="4" t="inlineStr">
        <is>
          <t>CORE</t>
        </is>
      </c>
      <c r="J95" s="4" t="inlineStr">
        <is>
          <t>原則適用。案件スコープ・成果物・規制・リスク上非該当の場合はN/A根拠を記録。</t>
        </is>
      </c>
      <c r="K95" s="4" t="inlineStr">
        <is>
          <t>SRC-SWEBOK-V4A</t>
        </is>
      </c>
      <c r="L95" s="4" t="inlineStr"/>
      <c r="M95" s="4" t="n"/>
      <c r="N95" s="4" t="n"/>
      <c r="O95" s="4" t="n"/>
      <c r="P95" s="4" t="n"/>
      <c r="Q95" s="4" t="n"/>
      <c r="R95" s="4" t="n"/>
      <c r="S95" s="4" t="n"/>
      <c r="T95" s="4" t="n"/>
      <c r="U95" s="4" t="n"/>
      <c r="V95" s="4" t="n"/>
      <c r="W95" s="4" t="n"/>
    </row>
    <row r="96">
      <c r="A96" s="5" t="inlineStr">
        <is>
          <t>SCM-166</t>
        </is>
      </c>
      <c r="B96" s="5" t="inlineStr">
        <is>
          <t>SWEBOK</t>
        </is>
      </c>
      <c r="C96" s="4" t="inlineStr">
        <is>
          <t>10. SCMツール・文書品質(SWEBOK 8-7)</t>
        </is>
      </c>
      <c r="D96" s="11" t="inlineStr">
        <is>
          <t>Low</t>
        </is>
      </c>
      <c r="E96" s="4" t="inlineStr">
        <is>
          <t>マークダウン/図表が正しく整形されているか</t>
        </is>
      </c>
      <c r="F96" s="4" t="inlineStr">
        <is>
          <t>表の列崩れ、リンク切れ、番号飛びがない</t>
        </is>
      </c>
      <c r="G96" s="4" t="inlineStr">
        <is>
          <t>表崩れやリンク切れは読者の誤読・参照不能を招き、文書自体の信頼を損なう。SCMPはSQAレビュー・監査の対象であり、体裁不備は指摘事項として跳ね返る。</t>
        </is>
      </c>
      <c r="H96" s="4" t="inlineStr">
        <is>
          <t>実務補完(文書品質)。SWEBOK 1.3(SCMPはSQAレビュー・監査対象)の周辺</t>
        </is>
      </c>
      <c r="I96" s="4" t="inlineStr">
        <is>
          <t>CORE</t>
        </is>
      </c>
      <c r="J96" s="4" t="inlineStr">
        <is>
          <t>原則適用。案件スコープ・成果物・規制・リスク上非該当の場合はN/A根拠を記録。</t>
        </is>
      </c>
      <c r="K96" s="4" t="inlineStr">
        <is>
          <t>SRC-PRACTICE</t>
        </is>
      </c>
      <c r="L96" s="4" t="inlineStr"/>
      <c r="M96" s="4" t="n"/>
      <c r="N96" s="4" t="n"/>
      <c r="O96" s="4" t="n"/>
      <c r="P96" s="4" t="n"/>
      <c r="Q96" s="4" t="n"/>
      <c r="R96" s="4" t="n"/>
      <c r="S96" s="4" t="n"/>
      <c r="T96" s="4" t="n"/>
      <c r="U96" s="4" t="n"/>
      <c r="V96" s="4" t="n"/>
      <c r="W96" s="4" t="n"/>
    </row>
    <row r="97">
      <c r="A97" s="5" t="inlineStr">
        <is>
          <t>SCM-903</t>
        </is>
      </c>
      <c r="B97" s="5" t="inlineStr">
        <is>
          <t>追加承認</t>
        </is>
      </c>
      <c r="C97" s="4" t="inlineStr">
        <is>
          <t>10. SCMツール・文書品質(SWEBOK 8-7)</t>
        </is>
      </c>
      <c r="D97" s="11" t="inlineStr">
        <is>
          <t>Low</t>
        </is>
      </c>
      <c r="E97" s="4" t="inlineStr">
        <is>
          <t>主要SCMツールからのデータ移行性(履歴・課題・成果物のエクスポート可否)が確認されているか</t>
        </is>
      </c>
      <c r="F97" s="4" t="inlineStr">
        <is>
          <t>バージョン管理履歴・課題管理データ・成果物について、標準形式でのエクスポートまたは移行手段の有無が選定記録に言及されている</t>
        </is>
      </c>
      <c r="G97" s="4" t="inlineStr">
        <is>
          <t>ツール更改・ベンダー撤退時に履歴やCR記録を移行できないと、過去の変更経緯と監査証跡が断絶し、長期保守や規制対応で説明不能な空白期間が生じる。</t>
        </is>
      </c>
      <c r="H97" s="4" t="inlineStr">
        <is>
          <t>swebok-v4a.pdf ch08 Software Configuration Management &gt; 1.3.3 Tool Selection and Implementation — ツール移行性(リポジトリの履歴を保った移行)</t>
        </is>
      </c>
      <c r="I97" s="4" t="inlineStr">
        <is>
          <t>CORE</t>
        </is>
      </c>
      <c r="J97" s="4" t="inlineStr">
        <is>
          <t>原則適用。案件スコープ・成果物・規制・リスク上非該当の場合はN/A根拠を記録。</t>
        </is>
      </c>
      <c r="K97" s="4" t="inlineStr">
        <is>
          <t>SRC-SWEBOK-V4A</t>
        </is>
      </c>
      <c r="L97" s="4" t="inlineStr"/>
      <c r="M97" s="4" t="n"/>
      <c r="N97" s="4" t="n"/>
      <c r="O97" s="4" t="n"/>
      <c r="P97" s="4" t="n"/>
      <c r="Q97" s="4" t="n"/>
      <c r="R97" s="4" t="n"/>
      <c r="S97" s="4" t="n"/>
      <c r="T97" s="4" t="n"/>
      <c r="U97" s="4" t="n"/>
      <c r="V97" s="4" t="n"/>
      <c r="W97" s="4" t="n"/>
    </row>
  </sheetData>
  <autoFilter ref="A1:W97"/>
  <conditionalFormatting sqref="O2:O2000">
    <cfRule type="cellIs" priority="1" operator="equal" dxfId="0">
      <formula>"Fail"</formula>
    </cfRule>
    <cfRule type="cellIs" priority="2" operator="equal" dxfId="1">
      <formula>"Pass"</formula>
    </cfRule>
    <cfRule type="cellIs" priority="4" operator="equal" dxfId="0">
      <formula>"Fail"</formula>
    </cfRule>
    <cfRule type="cellIs" priority="5" operator="equal" dxfId="1">
      <formula>"Pass"</formula>
    </cfRule>
    <cfRule type="cellIs" priority="7" operator="equal" dxfId="0">
      <formula>"Fail"</formula>
    </cfRule>
    <cfRule type="cellIs" priority="8" operator="equal" dxfId="1">
      <formula>"Pass"</formula>
    </cfRule>
    <cfRule type="cellIs" priority="10" operator="equal" dxfId="0">
      <formula>"Fail"</formula>
    </cfRule>
    <cfRule type="cellIs" priority="11" operator="equal" dxfId="1">
      <formula>"Pass"</formula>
    </cfRule>
    <cfRule type="cellIs" priority="13" operator="equal" dxfId="0">
      <formula>"Fail"</formula>
    </cfRule>
    <cfRule type="cellIs" priority="14" operator="equal" dxfId="1">
      <formula>"Pass"</formula>
    </cfRule>
  </conditionalFormatting>
  <conditionalFormatting sqref="N2:N2000">
    <cfRule type="cellIs" priority="3" operator="equal" dxfId="2">
      <formula>"N/A"</formula>
    </cfRule>
    <cfRule type="cellIs" priority="6" operator="equal" dxfId="2">
      <formula>"N/A"</formula>
    </cfRule>
    <cfRule type="cellIs" priority="9" operator="equal" dxfId="2">
      <formula>"N/A"</formula>
    </cfRule>
    <cfRule type="cellIs" priority="12" operator="equal" dxfId="2">
      <formula>"N/A"</formula>
    </cfRule>
    <cfRule type="cellIs" priority="15" operator="equal" dxfId="2">
      <formula>"N/A"</formula>
    </cfRule>
  </conditionalFormatting>
  <dataValidations count="20">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s>
  <pageMargins left="0.75" right="0.75" top="1" bottom="1" header="0.5" footer="0.5"/>
  <pageSetup orientation="landscape"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W94"/>
  <sheetViews>
    <sheetView workbookViewId="0">
      <pane xSplit="4" ySplit="1" topLeftCell="E2"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4" customWidth="1" min="1" max="1"/>
    <col width="14" customWidth="1" min="2" max="2"/>
    <col width="28" customWidth="1" min="3" max="3"/>
    <col width="12" customWidth="1" min="4" max="4"/>
    <col width="46" customWidth="1" min="5" max="5"/>
    <col width="52" customWidth="1" min="6" max="6"/>
    <col width="48" customWidth="1" min="7" max="7"/>
    <col width="46" customWidth="1" min="8" max="8"/>
    <col width="18" customWidth="1" min="9" max="9"/>
    <col width="38" customWidth="1" min="10" max="10"/>
    <col width="28" customWidth="1" min="11" max="11"/>
    <col width="25" customWidth="1" min="12" max="12"/>
    <col width="13" customWidth="1" min="13" max="13"/>
    <col width="12" customWidth="1" min="14" max="14"/>
    <col width="12" customWidth="1" min="15" max="15"/>
    <col width="38" customWidth="1" min="16" max="16"/>
    <col width="24" customWidth="1" min="17" max="17"/>
    <col width="30" customWidth="1" min="18" max="18"/>
    <col width="23" customWidth="1" min="19" max="19"/>
    <col width="15" customWidth="1" min="20" max="20"/>
    <col width="18" customWidth="1" min="21" max="21"/>
    <col width="15" customWidth="1" min="22" max="22"/>
    <col width="15" customWidth="1" min="23" max="23"/>
  </cols>
  <sheetData>
    <row r="1">
      <c r="A1" s="3" t="inlineStr">
        <is>
          <t>ID</t>
        </is>
      </c>
      <c r="B1" s="3" t="inlineStr">
        <is>
          <t>区分</t>
        </is>
      </c>
      <c r="C1" s="3" t="inlineStr">
        <is>
          <t>カテゴリ</t>
        </is>
      </c>
      <c r="D1" s="3" t="inlineStr">
        <is>
          <t>基準重要度</t>
        </is>
      </c>
      <c r="E1" s="3" t="inlineStr">
        <is>
          <t>チェック項目</t>
        </is>
      </c>
      <c r="F1" s="3" t="inlineStr">
        <is>
          <t>合格基準</t>
        </is>
      </c>
      <c r="G1" s="3" t="inlineStr">
        <is>
          <t>意図(なぜ確認するか)</t>
        </is>
      </c>
      <c r="H1" s="3" t="inlineStr">
        <is>
          <t>対象ドキュメント(参照箇所)</t>
        </is>
      </c>
      <c r="I1" s="21" t="inlineStr">
        <is>
          <t>適用プロファイル</t>
        </is>
      </c>
      <c r="J1" s="21" t="inlineStr">
        <is>
          <t>適用条件</t>
        </is>
      </c>
      <c r="K1" s="21" t="inlineStr">
        <is>
          <t>出典ID</t>
        </is>
      </c>
      <c r="L1" s="21" t="inlineStr">
        <is>
          <t>重複統制グループ</t>
        </is>
      </c>
      <c r="M1" s="21" t="inlineStr">
        <is>
          <t>案件重要度</t>
        </is>
      </c>
      <c r="N1" s="21" t="inlineStr">
        <is>
          <t>適用判定</t>
        </is>
      </c>
      <c r="O1" s="21" t="inlineStr">
        <is>
          <t>判定</t>
        </is>
      </c>
      <c r="P1" s="21" t="inlineStr">
        <is>
          <t>証跡・参照箇所</t>
        </is>
      </c>
      <c r="Q1" s="21" t="inlineStr">
        <is>
          <t>指摘・Issue ID</t>
        </is>
      </c>
      <c r="R1" s="21" t="inlineStr">
        <is>
          <t>対応方針</t>
        </is>
      </c>
      <c r="S1" s="21" t="inlineStr">
        <is>
          <t>例外・リスク受容承認者</t>
        </is>
      </c>
      <c r="T1" s="21" t="inlineStr">
        <is>
          <t>是正期限</t>
        </is>
      </c>
      <c r="U1" s="21" t="inlineStr">
        <is>
          <t>レビュアー</t>
        </is>
      </c>
      <c r="V1" s="21" t="inlineStr">
        <is>
          <t>レビュー日</t>
        </is>
      </c>
      <c r="W1" s="21" t="inlineStr">
        <is>
          <t>再確認結果</t>
        </is>
      </c>
    </row>
    <row r="2">
      <c r="A2" s="5" t="inlineStr">
        <is>
          <t>MGT-001</t>
        </is>
      </c>
      <c r="B2" s="5" t="inlineStr">
        <is>
          <t>SWEBOK</t>
        </is>
      </c>
      <c r="C2" s="4" t="inlineStr">
        <is>
          <t>1. 開始と適用範囲の定義(プロジェクト憲章)</t>
        </is>
      </c>
      <c r="D2" s="8" t="inlineStr">
        <is>
          <t>Critical</t>
        </is>
      </c>
      <c r="E2" s="4" t="inlineStr">
        <is>
          <t>プロジェクトの目的とビジネス上の必要性が記述されている</t>
        </is>
      </c>
      <c r="F2" s="4" t="inlineStr">
        <is>
          <t>「何のために行うか」と「実施しない場合に何が起きるか」が読み取れる記述が存在する</t>
        </is>
      </c>
      <c r="G2" s="4" t="inlineStr">
        <is>
          <t>目的とビジネス上の必要性が不明確なまま開始すると、優先順位判断や継続/中止判断の拠り所を失い、価値の低い機能への資源浪費や関係者間の方向性対立を招く。</t>
        </is>
      </c>
      <c r="H2" s="4" t="inlineStr">
        <is>
          <t>swebok-v4a.pdf ch09 SE Management &gt; 1.2 Feasibility Analysis(プロジェクト目標の明確な記述)</t>
        </is>
      </c>
      <c r="I2" s="4" t="inlineStr">
        <is>
          <t>CORE</t>
        </is>
      </c>
      <c r="J2" s="4" t="inlineStr">
        <is>
          <t>原則適用。案件スコープ・成果物・規制・リスク上非該当の場合はN/A根拠を記録。</t>
        </is>
      </c>
      <c r="K2" s="4" t="inlineStr">
        <is>
          <t>SRC-SWEBOK-V4A</t>
        </is>
      </c>
      <c r="L2" s="4" t="inlineStr"/>
      <c r="M2" s="4" t="n"/>
      <c r="N2" s="4" t="n"/>
      <c r="O2" s="4" t="n"/>
      <c r="P2" s="4" t="n"/>
      <c r="Q2" s="4" t="n"/>
      <c r="R2" s="4" t="n"/>
      <c r="S2" s="4" t="n"/>
      <c r="T2" s="4" t="n"/>
      <c r="U2" s="4" t="n"/>
      <c r="V2" s="4" t="n"/>
      <c r="W2" s="4" t="n"/>
    </row>
    <row r="3">
      <c r="A3" s="5" t="inlineStr">
        <is>
          <t>MGT-002</t>
        </is>
      </c>
      <c r="B3" s="5" t="inlineStr">
        <is>
          <t>SWEBOK</t>
        </is>
      </c>
      <c r="C3" s="4" t="inlineStr">
        <is>
          <t>1. 開始と適用範囲の定義(プロジェクト憲章)</t>
        </is>
      </c>
      <c r="D3" s="8" t="inlineStr">
        <is>
          <t>Critical</t>
        </is>
      </c>
      <c r="E3" s="4" t="inlineStr">
        <is>
          <t>スコープが「含むもの」と「含まないもの」の両方で定義されている</t>
        </is>
      </c>
      <c r="F3" s="4" t="inlineStr">
        <is>
          <t>スコープ内の項目一覧に加え、スコープ外(除外事項)が1件以上明示されている</t>
        </is>
      </c>
      <c r="G3" s="4" t="inlineStr">
        <is>
          <t>スコープ外を明示しないと関係者の期待が際限なく膨らみ、スコープクリープによる工数超過・納期遅延・受入時の紛争につながる。</t>
        </is>
      </c>
      <c r="H3" s="4" t="inlineStr">
        <is>
          <t>swebok-v4a.pdf ch09 SE Management &gt; 1.2 Feasibility Analysis(初期スコープステートメント)</t>
        </is>
      </c>
      <c r="I3" s="4" t="inlineStr">
        <is>
          <t>CORE</t>
        </is>
      </c>
      <c r="J3" s="4" t="inlineStr">
        <is>
          <t>原則適用。案件スコープ・成果物・規制・リスク上非該当の場合はN/A根拠を記録。</t>
        </is>
      </c>
      <c r="K3" s="4" t="inlineStr">
        <is>
          <t>SRC-SWEBOK-V4A</t>
        </is>
      </c>
      <c r="L3" s="4" t="inlineStr"/>
      <c r="M3" s="4" t="n"/>
      <c r="N3" s="4" t="n"/>
      <c r="O3" s="4" t="n"/>
      <c r="P3" s="4" t="n"/>
      <c r="Q3" s="4" t="n"/>
      <c r="R3" s="4" t="n"/>
      <c r="S3" s="4" t="n"/>
      <c r="T3" s="4" t="n"/>
      <c r="U3" s="4" t="n"/>
      <c r="V3" s="4" t="n"/>
      <c r="W3" s="4" t="n"/>
    </row>
    <row r="4">
      <c r="A4" s="5" t="inlineStr">
        <is>
          <t>MGT-003</t>
        </is>
      </c>
      <c r="B4" s="5" t="inlineStr">
        <is>
          <t>SWEBOK</t>
        </is>
      </c>
      <c r="C4" s="4" t="inlineStr">
        <is>
          <t>1. 開始と適用範囲の定義(プロジェクト憲章)</t>
        </is>
      </c>
      <c r="D4" s="8" t="inlineStr">
        <is>
          <t>Critical</t>
        </is>
      </c>
      <c r="E4" s="4" t="inlineStr">
        <is>
          <t>成功基準・完了基準が検証可能な形で定義されている</t>
        </is>
      </c>
      <c r="F4" s="4" t="inlineStr">
        <is>
          <t>各基準が達成/未達成を第三者が判定できる形式(数値、成果物の存在、承認の有無等)で書かれている</t>
        </is>
      </c>
      <c r="G4" s="4" t="inlineStr">
        <is>
          <t>達成/未達成を第三者が判定できない成功基準では終結判定(5.1)が主観論争になり、「終わらないプロジェクト」や検収係争が発生する。</t>
        </is>
      </c>
      <c r="H4" s="4" t="inlineStr">
        <is>
          <t>swebok-v4a.pdf ch09 SE Management &gt; 1. Initiation and Scope Definition / 5.1 Determining Closure(完了基準の達成確認)</t>
        </is>
      </c>
      <c r="I4" s="4" t="inlineStr">
        <is>
          <t>CORE</t>
        </is>
      </c>
      <c r="J4" s="4" t="inlineStr">
        <is>
          <t>原則適用。案件スコープ・成果物・規制・リスク上非該当の場合はN/A根拠を記録。</t>
        </is>
      </c>
      <c r="K4" s="4" t="inlineStr">
        <is>
          <t>SRC-SWEBOK-V4A</t>
        </is>
      </c>
      <c r="L4" s="4" t="inlineStr"/>
      <c r="M4" s="4" t="n"/>
      <c r="N4" s="4" t="n"/>
      <c r="O4" s="4" t="n"/>
      <c r="P4" s="4" t="n"/>
      <c r="Q4" s="4" t="n"/>
      <c r="R4" s="4" t="n"/>
      <c r="S4" s="4" t="n"/>
      <c r="T4" s="4" t="n"/>
      <c r="U4" s="4" t="n"/>
      <c r="V4" s="4" t="n"/>
      <c r="W4" s="4" t="n"/>
    </row>
    <row r="5">
      <c r="A5" s="5" t="inlineStr">
        <is>
          <t>MGT-004</t>
        </is>
      </c>
      <c r="B5" s="5" t="inlineStr">
        <is>
          <t>SWEBOK</t>
        </is>
      </c>
      <c r="C5" s="4" t="inlineStr">
        <is>
          <t>1. 開始と適用範囲の定義(プロジェクト憲章)</t>
        </is>
      </c>
      <c r="D5" s="9" t="inlineStr">
        <is>
          <t>High</t>
        </is>
      </c>
      <c r="E5" s="4" t="inlineStr">
        <is>
          <t>プロジェクト責任者(スポンサー/PM)が実名または役職で特定されている</t>
        </is>
      </c>
      <c r="F5" s="4" t="inlineStr">
        <is>
          <t>責任者の氏名または役職が記載され、空欄・TBDでない</t>
        </is>
      </c>
      <c r="G5" s="4" t="inlineStr">
        <is>
          <t>責任者が特定されていないと意思決定・エスカレーションの宛先が不在となり、問題発生時に判断が滞留してプロジェクトが漂流する。</t>
        </is>
      </c>
      <c r="H5" s="4" t="inlineStr">
        <is>
          <t>実務補完(PMBOK プロジェクト憲章。SWEBOK 1章の authorization に対応)</t>
        </is>
      </c>
      <c r="I5" s="4" t="inlineStr">
        <is>
          <t>CORE</t>
        </is>
      </c>
      <c r="J5" s="4" t="inlineStr">
        <is>
          <t>原則適用。案件スコープ・成果物・規制・リスク上非該当の場合はN/A根拠を記録。</t>
        </is>
      </c>
      <c r="K5" s="4" t="inlineStr">
        <is>
          <t>SRC-PRACTICE</t>
        </is>
      </c>
      <c r="L5" s="4" t="inlineStr"/>
      <c r="M5" s="4" t="n"/>
      <c r="N5" s="4" t="n"/>
      <c r="O5" s="4" t="n"/>
      <c r="P5" s="4" t="n"/>
      <c r="Q5" s="4" t="n"/>
      <c r="R5" s="4" t="n"/>
      <c r="S5" s="4" t="n"/>
      <c r="T5" s="4" t="n"/>
      <c r="U5" s="4" t="n"/>
      <c r="V5" s="4" t="n"/>
      <c r="W5" s="4" t="n"/>
    </row>
    <row r="6">
      <c r="A6" s="5" t="inlineStr">
        <is>
          <t>MGT-005</t>
        </is>
      </c>
      <c r="B6" s="5" t="inlineStr">
        <is>
          <t>SWEBOK</t>
        </is>
      </c>
      <c r="C6" s="4" t="inlineStr">
        <is>
          <t>1. 開始と適用範囲の定義(プロジェクト憲章)</t>
        </is>
      </c>
      <c r="D6" s="9" t="inlineStr">
        <is>
          <t>High</t>
        </is>
      </c>
      <c r="E6" s="4" t="inlineStr">
        <is>
          <t>承認記録(承認者・承認日)がある</t>
        </is>
      </c>
      <c r="F6" s="4" t="inlineStr">
        <is>
          <t>承認者と日付の両方が記載されている(ドラフト段階の場合は承認予定の記載でよいが、その旨明記)</t>
        </is>
      </c>
      <c r="G6" s="4" t="inlineStr">
        <is>
          <t>承認記録がないと組織としての着手権限(authorization)が不明確になり、後から予算・体制の正当性を問われたり計画が一方的に覆される。</t>
        </is>
      </c>
      <c r="H6" s="4" t="inlineStr">
        <is>
          <t>swebok-v4a.pdf ch09 SE Management &gt; 1. Initiation and Scope Definition(need, scope, feasibility, and authorization の決定)</t>
        </is>
      </c>
      <c r="I6" s="4" t="inlineStr">
        <is>
          <t>CORE</t>
        </is>
      </c>
      <c r="J6" s="4" t="inlineStr">
        <is>
          <t>原則適用。案件スコープ・成果物・規制・リスク上非該当の場合はN/A根拠を記録。</t>
        </is>
      </c>
      <c r="K6" s="4" t="inlineStr">
        <is>
          <t>SRC-SWEBOK-V4A</t>
        </is>
      </c>
      <c r="L6" s="4" t="inlineStr"/>
      <c r="M6" s="4" t="n"/>
      <c r="N6" s="4" t="n"/>
      <c r="O6" s="4" t="n"/>
      <c r="P6" s="4" t="n"/>
      <c r="Q6" s="4" t="n"/>
      <c r="R6" s="4" t="n"/>
      <c r="S6" s="4" t="n"/>
      <c r="T6" s="4" t="n"/>
      <c r="U6" s="4" t="n"/>
      <c r="V6" s="4" t="n"/>
      <c r="W6" s="4" t="n"/>
    </row>
    <row r="7">
      <c r="A7" s="5" t="inlineStr">
        <is>
          <t>MGT-006</t>
        </is>
      </c>
      <c r="B7" s="5" t="inlineStr">
        <is>
          <t>SWEBOK</t>
        </is>
      </c>
      <c r="C7" s="4" t="inlineStr">
        <is>
          <t>1. 開始と適用範囲の定義(プロジェクト憲章)</t>
        </is>
      </c>
      <c r="D7" s="9" t="inlineStr">
        <is>
          <t>High</t>
        </is>
      </c>
      <c r="E7" s="4" t="inlineStr">
        <is>
          <t>制約条件と前提条件が区別して列挙されている</t>
        </is>
      </c>
      <c r="F7" s="4" t="inlineStr">
        <is>
          <t>「制約条件」「前提条件」がそれぞれ1件以上、別項目として記載されている</t>
        </is>
      </c>
      <c r="G7" s="4" t="inlineStr">
        <is>
          <t>制約(動かせない条件)と前提(崩れうる仮定)を混同すると、前提崩壊時のリスク対応(2.5)が計画されず、崩れた瞬間に計画全体が破綻する。</t>
        </is>
      </c>
      <c r="H7" s="4" t="inlineStr">
        <is>
          <t>swebok-v4a.pdf ch09 SE Management &gt; 1.2 Feasibility Analysis(技術・資源・財務・期間の制約)</t>
        </is>
      </c>
      <c r="I7" s="4" t="inlineStr">
        <is>
          <t>CORE</t>
        </is>
      </c>
      <c r="J7" s="4" t="inlineStr">
        <is>
          <t>原則適用。案件スコープ・成果物・規制・リスク上非該当の場合はN/A根拠を記録。</t>
        </is>
      </c>
      <c r="K7" s="4" t="inlineStr">
        <is>
          <t>SRC-SWEBOK-V4A</t>
        </is>
      </c>
      <c r="L7" s="4" t="inlineStr"/>
      <c r="M7" s="4" t="n"/>
      <c r="N7" s="4" t="n"/>
      <c r="O7" s="4" t="n"/>
      <c r="P7" s="4" t="n"/>
      <c r="Q7" s="4" t="n"/>
      <c r="R7" s="4" t="n"/>
      <c r="S7" s="4" t="n"/>
      <c r="T7" s="4" t="n"/>
      <c r="U7" s="4" t="n"/>
      <c r="V7" s="4" t="n"/>
      <c r="W7" s="4" t="n"/>
    </row>
    <row r="8">
      <c r="A8" s="5" t="inlineStr">
        <is>
          <t>MGT-007</t>
        </is>
      </c>
      <c r="B8" s="5" t="inlineStr">
        <is>
          <t>SWEBOK</t>
        </is>
      </c>
      <c r="C8" s="4" t="inlineStr">
        <is>
          <t>1. 開始と適用範囲の定義(プロジェクト憲章)</t>
        </is>
      </c>
      <c r="D8" s="10" t="inlineStr">
        <is>
          <t>Medium</t>
        </is>
      </c>
      <c r="E8" s="4" t="inlineStr">
        <is>
          <t>概算予算と概算スケジュール(主要マイルストーン)が記載されている</t>
        </is>
      </c>
      <c r="F8" s="4" t="inlineStr">
        <is>
          <t>予算の桁感と、開始・終了の目標時期または主要マイルストーンが記載されている</t>
        </is>
      </c>
      <c r="G8" s="4" t="inlineStr">
        <is>
          <t>桁感の予算と時期の目安がないと実現可能性の判断材料を欠き、後続の詳細見積りとの乖離が説明不能になって関係者の信頼を損なう。</t>
        </is>
      </c>
      <c r="H8" s="4" t="inlineStr">
        <is>
          <t>swebok-v4a.pdf ch09 SE Management &gt; 1.2 Feasibility Analysis(資源見積りと期間制約の準備)</t>
        </is>
      </c>
      <c r="I8" s="4" t="inlineStr">
        <is>
          <t>CORE</t>
        </is>
      </c>
      <c r="J8" s="4" t="inlineStr">
        <is>
          <t>原則適用。案件スコープ・成果物・規制・リスク上非該当の場合はN/A根拠を記録。</t>
        </is>
      </c>
      <c r="K8" s="4" t="inlineStr">
        <is>
          <t>SRC-SWEBOK-V4A</t>
        </is>
      </c>
      <c r="L8" s="4" t="inlineStr">
        <is>
          <t>COST</t>
        </is>
      </c>
      <c r="M8" s="4" t="n"/>
      <c r="N8" s="4" t="n"/>
      <c r="O8" s="4" t="n"/>
      <c r="P8" s="4" t="n"/>
      <c r="Q8" s="4" t="n"/>
      <c r="R8" s="4" t="n"/>
      <c r="S8" s="4" t="n"/>
      <c r="T8" s="4" t="n"/>
      <c r="U8" s="4" t="n"/>
      <c r="V8" s="4" t="n"/>
      <c r="W8" s="4" t="n"/>
    </row>
    <row r="9">
      <c r="A9" s="5" t="inlineStr">
        <is>
          <t>MGT-901</t>
        </is>
      </c>
      <c r="B9" s="5" t="inlineStr">
        <is>
          <t>追加承認</t>
        </is>
      </c>
      <c r="C9" s="4" t="inlineStr">
        <is>
          <t>1. 開始と適用範囲の定義(プロジェクト憲章)</t>
        </is>
      </c>
      <c r="D9" s="9" t="inlineStr">
        <is>
          <t>High</t>
        </is>
      </c>
      <c r="E9" s="4" t="inlineStr">
        <is>
          <t>憲章の基礎となる要求の決定・交渉活動(要求レビューとステークホルダー間の合意)が実施され、結果が憲章等の初期文書に反映されている</t>
        </is>
      </c>
      <c r="F9" s="4" t="inlineStr">
        <is>
          <t>要求の引き出し・分析・合意の実施記録(ヒアリング記録、要求レビュー記録等)が存在し、憲章のスコープ・成功基準がそれを参照している</t>
        </is>
      </c>
      <c r="G9" s="4" t="inlineStr">
        <is>
          <t>関係者と交渉していない要求を前提に憲章を書くと、着手後に前提要求が覆り、スコープ・見積りの土台ごと作り直しになる。</t>
        </is>
      </c>
      <c r="H9" s="4" t="inlineStr">
        <is>
          <t>swebok-v4a.pdf ch09 SE Management &gt; 1.1 Determination and Negotiation of Requirements(開始時の要求の決定と交渉)</t>
        </is>
      </c>
      <c r="I9" s="4" t="inlineStr">
        <is>
          <t>CORE</t>
        </is>
      </c>
      <c r="J9" s="4" t="inlineStr">
        <is>
          <t>原則適用。案件スコープ・成果物・規制・リスク上非該当の場合はN/A根拠を記録。</t>
        </is>
      </c>
      <c r="K9" s="4" t="inlineStr">
        <is>
          <t>SRC-SWEBOK-V4A</t>
        </is>
      </c>
      <c r="L9" s="4" t="inlineStr"/>
      <c r="M9" s="4" t="n"/>
      <c r="N9" s="4" t="n"/>
      <c r="O9" s="4" t="n"/>
      <c r="P9" s="4" t="n"/>
      <c r="Q9" s="4" t="n"/>
      <c r="R9" s="4" t="n"/>
      <c r="S9" s="4" t="n"/>
      <c r="T9" s="4" t="n"/>
      <c r="U9" s="4" t="n"/>
      <c r="V9" s="4" t="n"/>
      <c r="W9" s="4" t="n"/>
    </row>
    <row r="10">
      <c r="A10" s="5" t="inlineStr">
        <is>
          <t>MGT-010</t>
        </is>
      </c>
      <c r="B10" s="5" t="inlineStr">
        <is>
          <t>SWEBOK</t>
        </is>
      </c>
      <c r="C10" s="4" t="inlineStr">
        <is>
          <t>2. 実現可能性分析</t>
        </is>
      </c>
      <c r="D10" s="8" t="inlineStr">
        <is>
          <t>Critical</t>
        </is>
      </c>
      <c r="E10" s="4" t="inlineStr">
        <is>
          <t>複数の代替アプローチが比較評価されている</t>
        </is>
      </c>
      <c r="F10" s="4" t="inlineStr">
        <is>
          <t>2案以上(内製/COTS/OSS/SaaS/委託等)が同一の評価軸で比較され、推奨案の選定理由が記述されている</t>
        </is>
      </c>
      <c r="G10" s="4" t="inlineStr">
        <is>
          <t>代替案を比較せず単一案で進めると、より安価・低リスクな手段(COTS/SaaS等)を見逃したまま固定化し、後からの方式転換は極めて高コストになる。</t>
        </is>
      </c>
      <c r="H10" s="4" t="inlineStr">
        <is>
          <t>swebok-v4a.pdf ch09 SE Management &gt; 1.2 Feasibility Analysis(alternative approaches の評価)</t>
        </is>
      </c>
      <c r="I10" s="4" t="inlineStr">
        <is>
          <t>CORE</t>
        </is>
      </c>
      <c r="J10" s="4" t="inlineStr">
        <is>
          <t>原則適用。案件スコープ・成果物・規制・リスク上非該当の場合はN/A根拠を記録。</t>
        </is>
      </c>
      <c r="K10" s="4" t="inlineStr">
        <is>
          <t>SRC-SWEBOK-V4A</t>
        </is>
      </c>
      <c r="L10" s="4" t="inlineStr"/>
      <c r="M10" s="4" t="n"/>
      <c r="N10" s="4" t="n"/>
      <c r="O10" s="4" t="n"/>
      <c r="P10" s="4" t="n"/>
      <c r="Q10" s="4" t="n"/>
      <c r="R10" s="4" t="n"/>
      <c r="S10" s="4" t="n"/>
      <c r="T10" s="4" t="n"/>
      <c r="U10" s="4" t="n"/>
      <c r="V10" s="4" t="n"/>
      <c r="W10" s="4" t="n"/>
    </row>
    <row r="11">
      <c r="A11" s="5" t="inlineStr">
        <is>
          <t>MGT-011</t>
        </is>
      </c>
      <c r="B11" s="5" t="inlineStr">
        <is>
          <t>SWEBOK</t>
        </is>
      </c>
      <c r="C11" s="4" t="inlineStr">
        <is>
          <t>2. 実現可能性分析</t>
        </is>
      </c>
      <c r="D11" s="9" t="inlineStr">
        <is>
          <t>High</t>
        </is>
      </c>
      <c r="E11" s="4" t="inlineStr">
        <is>
          <t>技術・資源・財務の3側面の実現可能性が評価されている</t>
        </is>
      </c>
      <c r="F11" s="4" t="inlineStr">
        <is>
          <t>3側面それぞれについて評価結果(可/不可/条件付き)と根拠が記載されている</t>
        </is>
      </c>
      <c r="G11" s="4" t="inlineStr">
        <is>
          <t>技術的に可能でも資源や資金が続かなければ頓挫する。3側面を個別に評価しないと、実現不能な計画に投資してから撤退する損失が生じる。</t>
        </is>
      </c>
      <c r="H11" s="4" t="inlineStr">
        <is>
          <t>swebok-v4a.pdf ch09 SE Management &gt; 1.2 Feasibility Analysis(technology, resources, finances の制約下での評価)</t>
        </is>
      </c>
      <c r="I11" s="4" t="inlineStr">
        <is>
          <t>CORE</t>
        </is>
      </c>
      <c r="J11" s="4" t="inlineStr">
        <is>
          <t>原則適用。案件スコープ・成果物・規制・リスク上非該当の場合はN/A根拠を記録。</t>
        </is>
      </c>
      <c r="K11" s="4" t="inlineStr">
        <is>
          <t>SRC-SWEBOK-V4A</t>
        </is>
      </c>
      <c r="L11" s="4" t="inlineStr"/>
      <c r="M11" s="4" t="n"/>
      <c r="N11" s="4" t="n"/>
      <c r="O11" s="4" t="n"/>
      <c r="P11" s="4" t="n"/>
      <c r="Q11" s="4" t="n"/>
      <c r="R11" s="4" t="n"/>
      <c r="S11" s="4" t="n"/>
      <c r="T11" s="4" t="n"/>
      <c r="U11" s="4" t="n"/>
      <c r="V11" s="4" t="n"/>
      <c r="W11" s="4" t="n"/>
    </row>
    <row r="12">
      <c r="A12" s="5" t="inlineStr">
        <is>
          <t>MGT-012</t>
        </is>
      </c>
      <c r="B12" s="5" t="inlineStr">
        <is>
          <t>SWEBOK</t>
        </is>
      </c>
      <c r="C12" s="4" t="inlineStr">
        <is>
          <t>2. 実現可能性分析</t>
        </is>
      </c>
      <c r="D12" s="10" t="inlineStr">
        <is>
          <t>Medium</t>
        </is>
      </c>
      <c r="E12" s="4" t="inlineStr">
        <is>
          <t>倫理・環境・社会技術的制約が検討されている</t>
        </is>
      </c>
      <c r="F12" s="4" t="inlineStr">
        <is>
          <t>該当する制約の有無が明示的に検討され、結果が記録されている(「該当なし」の判断記録も可)</t>
        </is>
      </c>
      <c r="G12" s="4" t="inlineStr">
        <is>
          <t>倫理・環境・社会技術的制約の見落としは、開発後半や運用開始後に法規制・社会的批判という回復困難な形で顕在化する。</t>
        </is>
      </c>
      <c r="H12" s="4" t="inlineStr">
        <is>
          <t>swebok-v4a.pdf ch09 SE Management &gt; 1.2 Feasibility Analysis(ethical, environmental, socio-technical considerations)</t>
        </is>
      </c>
      <c r="I12" s="4" t="inlineStr">
        <is>
          <t>CORE</t>
        </is>
      </c>
      <c r="J12" s="4" t="inlineStr">
        <is>
          <t>原則適用。案件スコープ・成果物・規制・リスク上非該当の場合はN/A根拠を記録。</t>
        </is>
      </c>
      <c r="K12" s="4" t="inlineStr">
        <is>
          <t>SRC-SWEBOK-V4A;SRC-OCI-WAF</t>
        </is>
      </c>
      <c r="L12" s="4" t="inlineStr"/>
      <c r="M12" s="4" t="n"/>
      <c r="N12" s="4" t="n"/>
      <c r="O12" s="4" t="n"/>
      <c r="P12" s="4" t="n"/>
      <c r="Q12" s="4" t="n"/>
      <c r="R12" s="4" t="n"/>
      <c r="S12" s="4" t="n"/>
      <c r="T12" s="4" t="n"/>
      <c r="U12" s="4" t="n"/>
      <c r="V12" s="4" t="n"/>
      <c r="W12" s="4" t="n"/>
    </row>
    <row r="13">
      <c r="A13" s="5" t="inlineStr">
        <is>
          <t>MGT-013</t>
        </is>
      </c>
      <c r="B13" s="5" t="inlineStr">
        <is>
          <t>SWEBOK</t>
        </is>
      </c>
      <c r="C13" s="4" t="inlineStr">
        <is>
          <t>2. 実現可能性分析</t>
        </is>
      </c>
      <c r="D13" s="10" t="inlineStr">
        <is>
          <t>Medium</t>
        </is>
      </c>
      <c r="E13" s="4" t="inlineStr">
        <is>
          <t>コンテキスト図または同等の外部関係の記述がある</t>
        </is>
      </c>
      <c r="F13" s="4" t="inlineStr">
        <is>
          <t>システムと外部要素(ユーザー、外部システム、組織)の関係を示す図または一覧が存在する</t>
        </is>
      </c>
      <c r="G13" s="4" t="inlineStr">
        <is>
          <t>外部システム・組織との境界と接点が不明だと、管理上・技術上のインターフェース調整が漏れ、統合段階で手戻りや責任の押し付け合いが起きる。</t>
        </is>
      </c>
      <c r="H13" s="4" t="inlineStr">
        <is>
          <t>swebok-v4a.pdf ch09 SE Management &gt; 1.2 Feasibility Analysis(engineering context diagram)</t>
        </is>
      </c>
      <c r="I13" s="4" t="inlineStr">
        <is>
          <t>CORE</t>
        </is>
      </c>
      <c r="J13" s="4" t="inlineStr">
        <is>
          <t>原則適用。案件スコープ・成果物・規制・リスク上非該当の場合はN/A根拠を記録。</t>
        </is>
      </c>
      <c r="K13" s="4" t="inlineStr">
        <is>
          <t>SRC-SWEBOK-V4A</t>
        </is>
      </c>
      <c r="L13" s="4" t="inlineStr"/>
      <c r="M13" s="4" t="n"/>
      <c r="N13" s="4" t="n"/>
      <c r="O13" s="4" t="n"/>
      <c r="P13" s="4" t="n"/>
      <c r="Q13" s="4" t="n"/>
      <c r="R13" s="4" t="n"/>
      <c r="S13" s="4" t="n"/>
      <c r="T13" s="4" t="n"/>
      <c r="U13" s="4" t="n"/>
      <c r="V13" s="4" t="n"/>
      <c r="W13" s="4" t="n"/>
    </row>
    <row r="14">
      <c r="A14" s="5" t="inlineStr">
        <is>
          <t>MGT-014</t>
        </is>
      </c>
      <c r="B14" s="5" t="inlineStr">
        <is>
          <t>SWEBOK</t>
        </is>
      </c>
      <c r="C14" s="4" t="inlineStr">
        <is>
          <t>2. 実現可能性分析</t>
        </is>
      </c>
      <c r="D14" s="9" t="inlineStr">
        <is>
          <t>High</t>
        </is>
      </c>
      <c r="E14" s="4" t="inlineStr">
        <is>
          <t>初期WBS(概略レベル)が作成されている</t>
        </is>
      </c>
      <c r="F14" s="4" t="inlineStr">
        <is>
          <t>主要成果物または主要フェーズレベルの分解が存在する</t>
        </is>
      </c>
      <c r="G14" s="4" t="inlineStr">
        <is>
          <t>初期WBSがないと作業全体量の見当がつかず、実現可能性判断や概算見積りが勘頼みになり、大幅な過小見積りを見抜けない。</t>
        </is>
      </c>
      <c r="H14" s="4" t="inlineStr">
        <is>
          <t>swebok-v4a.pdf ch09 SE Management &gt; 1.2 Feasibility Analysis(initial WBS の作成)</t>
        </is>
      </c>
      <c r="I14" s="4" t="inlineStr">
        <is>
          <t>CORE</t>
        </is>
      </c>
      <c r="J14" s="4" t="inlineStr">
        <is>
          <t>原則適用。案件スコープ・成果物・規制・リスク上非該当の場合はN/A根拠を記録。</t>
        </is>
      </c>
      <c r="K14" s="4" t="inlineStr">
        <is>
          <t>SRC-SWEBOK-V4A</t>
        </is>
      </c>
      <c r="L14" s="4" t="inlineStr"/>
      <c r="M14" s="4" t="n"/>
      <c r="N14" s="4" t="n"/>
      <c r="O14" s="4" t="n"/>
      <c r="P14" s="4" t="n"/>
      <c r="Q14" s="4" t="n"/>
      <c r="R14" s="4" t="n"/>
      <c r="S14" s="4" t="n"/>
      <c r="T14" s="4" t="n"/>
      <c r="U14" s="4" t="n"/>
      <c r="V14" s="4" t="n"/>
      <c r="W14" s="4" t="n"/>
    </row>
    <row r="15">
      <c r="A15" s="5" t="inlineStr">
        <is>
          <t>MGT-020</t>
        </is>
      </c>
      <c r="B15" s="5" t="inlineStr">
        <is>
          <t>SWEBOK</t>
        </is>
      </c>
      <c r="C15" s="4" t="inlineStr">
        <is>
          <t>3. プロセス計画(SDLC選定・計画書)</t>
        </is>
      </c>
      <c r="D15" s="8" t="inlineStr">
        <is>
          <t>Critical</t>
        </is>
      </c>
      <c r="E15" s="4" t="inlineStr">
        <is>
          <t>SDLCモデルが明示的に選定され、選定理由が記述されている</t>
        </is>
      </c>
      <c r="F15" s="4" t="inlineStr">
        <is>
          <t>採用モデル(ウォーターフォール/インクリメンタル/スパイラル/アジャイル/ハイブリッド等)と、要求の安定性・制約等に基づく選定理由が記載されている</t>
        </is>
      </c>
      <c r="G15" s="4" t="inlineStr">
        <is>
          <t>SDLCを暗黙のまま進めると要求の安定性や体制と合わない進め方(予測型に適応的要求、等)になり、計画と実態の恒常的乖離や大量の手戻りを招く。</t>
        </is>
      </c>
      <c r="H15" s="4" t="inlineStr">
        <is>
          <t>swebok-v4a.pdf ch09 SE Management &gt; 2. Software Project Planning / 2.1 Process Planning(SDLCモデルの選定とテーラリング)</t>
        </is>
      </c>
      <c r="I15" s="4" t="inlineStr">
        <is>
          <t>CORE</t>
        </is>
      </c>
      <c r="J15" s="4" t="inlineStr">
        <is>
          <t>原則適用。案件スコープ・成果物・規制・リスク上非該当の場合はN/A根拠を記録。</t>
        </is>
      </c>
      <c r="K15" s="4" t="inlineStr">
        <is>
          <t>SRC-SWEBOK-V4A</t>
        </is>
      </c>
      <c r="L15" s="4" t="inlineStr"/>
      <c r="M15" s="4" t="n"/>
      <c r="N15" s="4" t="n"/>
      <c r="O15" s="4" t="n"/>
      <c r="P15" s="4" t="n"/>
      <c r="Q15" s="4" t="n"/>
      <c r="R15" s="4" t="n"/>
      <c r="S15" s="4" t="n"/>
      <c r="T15" s="4" t="n"/>
      <c r="U15" s="4" t="n"/>
      <c r="V15" s="4" t="n"/>
      <c r="W15" s="4" t="n"/>
    </row>
    <row r="16">
      <c r="A16" s="5" t="inlineStr">
        <is>
          <t>MGT-021</t>
        </is>
      </c>
      <c r="B16" s="5" t="inlineStr">
        <is>
          <t>SWEBOK</t>
        </is>
      </c>
      <c r="C16" s="4" t="inlineStr">
        <is>
          <t>3. プロセス計画(SDLC選定・計画書)</t>
        </is>
      </c>
      <c r="D16" s="9" t="inlineStr">
        <is>
          <t>High</t>
        </is>
      </c>
      <c r="E16" s="4" t="inlineStr">
        <is>
          <t>予測型/適応型の別に応じて計画の詳細度が整合している</t>
        </is>
      </c>
      <c r="F16" s="4" t="inlineStr">
        <is>
          <t>予測型なら詳細な事前計画、適応型ならリリース計画+反復計画の2階層および反復ごとの計画更新ルールが定義されている</t>
        </is>
      </c>
      <c r="G16" s="4" t="inlineStr">
        <is>
          <t>適応型なのに全期間の詳細計画を固定する(またはその逆)と、計画が最初の変更で形骸化するか、統制不能な進行になる。ライフサイクル特性と計画詳細度の不整合を防ぐ。</t>
        </is>
      </c>
      <c r="H16" s="4" t="inlineStr">
        <is>
          <t>swebok-v4a.pdf ch09 SE Management &gt; 2.1 Process Planning / 2.7 Plan Management(予測型〜適応型の連続体に応じた計画)</t>
        </is>
      </c>
      <c r="I16" s="4" t="inlineStr">
        <is>
          <t>CORE</t>
        </is>
      </c>
      <c r="J16" s="4" t="inlineStr">
        <is>
          <t>原則適用。案件スコープ・成果物・規制・リスク上非該当の場合はN/A根拠を記録。</t>
        </is>
      </c>
      <c r="K16" s="4" t="inlineStr">
        <is>
          <t>SRC-SWEBOK-V4A</t>
        </is>
      </c>
      <c r="L16" s="4" t="inlineStr"/>
      <c r="M16" s="4" t="n"/>
      <c r="N16" s="4" t="n"/>
      <c r="O16" s="4" t="n"/>
      <c r="P16" s="4" t="n"/>
      <c r="Q16" s="4" t="n"/>
      <c r="R16" s="4" t="n"/>
      <c r="S16" s="4" t="n"/>
      <c r="T16" s="4" t="n"/>
      <c r="U16" s="4" t="n"/>
      <c r="V16" s="4" t="n"/>
      <c r="W16" s="4" t="n"/>
    </row>
    <row r="17">
      <c r="A17" s="5" t="inlineStr">
        <is>
          <t>MGT-022</t>
        </is>
      </c>
      <c r="B17" s="5" t="inlineStr">
        <is>
          <t>SWEBOK</t>
        </is>
      </c>
      <c r="C17" s="4" t="inlineStr">
        <is>
          <t>3. プロセス計画(SDLC選定・計画書)</t>
        </is>
      </c>
      <c r="D17" s="9" t="inlineStr">
        <is>
          <t>High</t>
        </is>
      </c>
      <c r="E17" s="4" t="inlineStr">
        <is>
          <t>作成する作業成果物の一覧と各成果物の完成基準が定義されている</t>
        </is>
      </c>
      <c r="F17" s="4" t="inlineStr">
        <is>
          <t>成果物一覧が存在し、各成果物に完成の判断基準(レビュー済/承認済等)が対応づけられている</t>
        </is>
      </c>
      <c r="G17" s="4" t="inlineStr">
        <is>
          <t>成果物と完成基準が未定義だと「できた」の判断が人により異なり、未完成物の後工程流出や終盤での成果物不足の発覚を招く。</t>
        </is>
      </c>
      <c r="H17" s="4" t="inlineStr">
        <is>
          <t>swebok-v4a.pdf ch09 SE Management &gt; 2.2 Determine Deliverables(各活動の作業成果物の識別と特性づけ)</t>
        </is>
      </c>
      <c r="I17" s="4" t="inlineStr">
        <is>
          <t>CORE</t>
        </is>
      </c>
      <c r="J17" s="4" t="inlineStr">
        <is>
          <t>原則適用。案件スコープ・成果物・規制・リスク上非該当の場合はN/A根拠を記録。</t>
        </is>
      </c>
      <c r="K17" s="4" t="inlineStr">
        <is>
          <t>SRC-SWEBOK-V4A</t>
        </is>
      </c>
      <c r="L17" s="4" t="inlineStr"/>
      <c r="M17" s="4" t="n"/>
      <c r="N17" s="4" t="n"/>
      <c r="O17" s="4" t="n"/>
      <c r="P17" s="4" t="n"/>
      <c r="Q17" s="4" t="n"/>
      <c r="R17" s="4" t="n"/>
      <c r="S17" s="4" t="n"/>
      <c r="T17" s="4" t="n"/>
      <c r="U17" s="4" t="n"/>
      <c r="V17" s="4" t="n"/>
      <c r="W17" s="4" t="n"/>
    </row>
    <row r="18">
      <c r="A18" s="5" t="inlineStr">
        <is>
          <t>MGT-023</t>
        </is>
      </c>
      <c r="B18" s="5" t="inlineStr">
        <is>
          <t>SWEBOK</t>
        </is>
      </c>
      <c r="C18" s="4" t="inlineStr">
        <is>
          <t>3. プロセス計画(SDLC選定・計画書)</t>
        </is>
      </c>
      <c r="D18" s="10" t="inlineStr">
        <is>
          <t>Medium</t>
        </is>
      </c>
      <c r="E18" s="4" t="inlineStr">
        <is>
          <t>再利用・既製ソフトウェア活用の機会が評価されている</t>
        </is>
      </c>
      <c r="F18" s="4" t="inlineStr">
        <is>
          <t>再利用候補または既製品活用の検討結果(採用/不採用と理由)が記録されている</t>
        </is>
      </c>
      <c r="G18" s="4" t="inlineStr">
        <is>
          <t>再利用・既製品の検討を怠ると、既にあるものを作り直す無駄な開発費と、独自実装ゆえの品質リスクを抱え込む。</t>
        </is>
      </c>
      <c r="H18" s="4" t="inlineStr">
        <is>
          <t>swebok-v4a.pdf ch09 SE Management &gt; 2.2 Determine Deliverables(再利用・オフザシェルフ製品活用機会の評価)</t>
        </is>
      </c>
      <c r="I18" s="4" t="inlineStr">
        <is>
          <t>CORE</t>
        </is>
      </c>
      <c r="J18" s="4" t="inlineStr">
        <is>
          <t>原則適用。案件スコープ・成果物・規制・リスク上非該当の場合はN/A根拠を記録。</t>
        </is>
      </c>
      <c r="K18" s="4" t="inlineStr">
        <is>
          <t>SRC-SWEBOK-V4A</t>
        </is>
      </c>
      <c r="L18" s="4" t="inlineStr"/>
      <c r="M18" s="4" t="n"/>
      <c r="N18" s="4" t="n"/>
      <c r="O18" s="4" t="n"/>
      <c r="P18" s="4" t="n"/>
      <c r="Q18" s="4" t="n"/>
      <c r="R18" s="4" t="n"/>
      <c r="S18" s="4" t="n"/>
      <c r="T18" s="4" t="n"/>
      <c r="U18" s="4" t="n"/>
      <c r="V18" s="4" t="n"/>
      <c r="W18" s="4" t="n"/>
    </row>
    <row r="19">
      <c r="A19" s="5" t="inlineStr">
        <is>
          <t>MGT-024</t>
        </is>
      </c>
      <c r="B19" s="5" t="inlineStr">
        <is>
          <t>SWEBOK</t>
        </is>
      </c>
      <c r="C19" s="4" t="inlineStr">
        <is>
          <t>3. プロセス計画(SDLC選定・計画書)</t>
        </is>
      </c>
      <c r="D19" s="9" t="inlineStr">
        <is>
          <t>High</t>
        </is>
      </c>
      <c r="E19" s="4" t="inlineStr">
        <is>
          <t>変更管理手順が定義されている</t>
        </is>
      </c>
      <c r="F19" s="4" t="inlineStr">
        <is>
          <t>変更要求の受付→影響分析→承認→反映の流れと、承認権限者が記載されている</t>
        </is>
      </c>
      <c r="G19" s="4" t="inlineStr">
        <is>
          <t>変更は不可避であり、受付〜承認の手順がないと口頭合意による無統制なスコープ変更が積み重なり、工数超過と構成の不整合を招く。</t>
        </is>
      </c>
      <c r="H19" s="4" t="inlineStr">
        <is>
          <t>swebok-v4a.pdf ch09 SE Management &gt; 1.3 Process for the Review and Revision of Requirements(変更管理手続の合意)</t>
        </is>
      </c>
      <c r="I19" s="4" t="inlineStr">
        <is>
          <t>CORE</t>
        </is>
      </c>
      <c r="J19" s="4" t="inlineStr">
        <is>
          <t>原則適用。案件スコープ・成果物・規制・リスク上非該当の場合はN/A根拠を記録。</t>
        </is>
      </c>
      <c r="K19" s="4" t="inlineStr">
        <is>
          <t>SRC-SWEBOK-V4A</t>
        </is>
      </c>
      <c r="L19" s="4" t="inlineStr"/>
      <c r="M19" s="4" t="n"/>
      <c r="N19" s="4" t="n"/>
      <c r="O19" s="4" t="n"/>
      <c r="P19" s="4" t="n"/>
      <c r="Q19" s="4" t="n"/>
      <c r="R19" s="4" t="n"/>
      <c r="S19" s="4" t="n"/>
      <c r="T19" s="4" t="n"/>
      <c r="U19" s="4" t="n"/>
      <c r="V19" s="4" t="n"/>
      <c r="W19" s="4" t="n"/>
    </row>
    <row r="20">
      <c r="A20" s="5" t="inlineStr">
        <is>
          <t>MGT-025</t>
        </is>
      </c>
      <c r="B20" s="5" t="inlineStr">
        <is>
          <t>SWEBOK</t>
        </is>
      </c>
      <c r="C20" s="4" t="inlineStr">
        <is>
          <t>3. プロセス計画(SDLC選定・計画書)</t>
        </is>
      </c>
      <c r="D20" s="9" t="inlineStr">
        <is>
          <t>High</t>
        </is>
      </c>
      <c r="E20" s="4" t="inlineStr">
        <is>
          <t>変更の影響分析にトレーサビリティ分析とリスク分析が含まれる</t>
        </is>
      </c>
      <c r="F20" s="4" t="inlineStr">
        <is>
          <t>変更管理手順の中で、前方/後方トレーサビリティによる影響範囲特定とリスク評価の実施が明記されている</t>
        </is>
      </c>
      <c r="G20" s="4" t="inlineStr">
        <is>
          <t>影響分析なしの変更承認は、関連する設計・テストへの波及漏れを生み、変更起因の欠陥や再テスト漏れとして品質事故に直結する。</t>
        </is>
      </c>
      <c r="H20" s="4" t="inlineStr">
        <is>
          <t>swebok-v4a.pdf ch09 SE Management &gt; 1.3 Process for the Review and Revision of Requirements(前方/後方トレーサビリティ分析とリスク分析)</t>
        </is>
      </c>
      <c r="I20" s="4" t="inlineStr">
        <is>
          <t>CORE</t>
        </is>
      </c>
      <c r="J20" s="4" t="inlineStr">
        <is>
          <t>原則適用。案件スコープ・成果物・規制・リスク上非該当の場合はN/A根拠を記録。</t>
        </is>
      </c>
      <c r="K20" s="4" t="inlineStr">
        <is>
          <t>SRC-SWEBOK-V4A</t>
        </is>
      </c>
      <c r="L20" s="4" t="inlineStr"/>
      <c r="M20" s="4" t="n"/>
      <c r="N20" s="4" t="n"/>
      <c r="O20" s="4" t="n"/>
      <c r="P20" s="4" t="n"/>
      <c r="Q20" s="4" t="n"/>
      <c r="R20" s="4" t="n"/>
      <c r="S20" s="4" t="n"/>
      <c r="T20" s="4" t="n"/>
      <c r="U20" s="4" t="n"/>
      <c r="V20" s="4" t="n"/>
      <c r="W20" s="4" t="n"/>
    </row>
    <row r="21">
      <c r="A21" s="5" t="inlineStr">
        <is>
          <t>MGT-026</t>
        </is>
      </c>
      <c r="B21" s="5" t="inlineStr">
        <is>
          <t>SWEBOK</t>
        </is>
      </c>
      <c r="C21" s="4" t="inlineStr">
        <is>
          <t>3. プロセス計画(SDLC選定・計画書)</t>
        </is>
      </c>
      <c r="D21" s="10" t="inlineStr">
        <is>
          <t>Medium</t>
        </is>
      </c>
      <c r="E21" s="4" t="inlineStr">
        <is>
          <t>計画自体の改訂ルール(計画マネジメント)が定義されている</t>
        </is>
      </c>
      <c r="F21" s="4" t="inlineStr">
        <is>
          <t>計画を見直す契機(定期/イベント駆動)と改訂の承認手順が記載されている</t>
        </is>
      </c>
      <c r="G21" s="4" t="inlineStr">
        <is>
          <t>計画自体の見直しルールがないと、実態と乖離した計画が放置されて進捗管理の基準として機能しなくなるか、無断のベースライン書き換えが起きる。</t>
        </is>
      </c>
      <c r="H21" s="4" t="inlineStr">
        <is>
          <t>swebok-v4a.pdf ch09 SE Management &gt; 2.7 Plan Management(計画のマネジメント自体を計画し、監視・改訂する)</t>
        </is>
      </c>
      <c r="I21" s="4" t="inlineStr">
        <is>
          <t>CORE</t>
        </is>
      </c>
      <c r="J21" s="4" t="inlineStr">
        <is>
          <t>原則適用。案件スコープ・成果物・規制・リスク上非該当の場合はN/A根拠を記録。</t>
        </is>
      </c>
      <c r="K21" s="4" t="inlineStr">
        <is>
          <t>SRC-SWEBOK-V4A</t>
        </is>
      </c>
      <c r="L21" s="4" t="inlineStr"/>
      <c r="M21" s="4" t="n"/>
      <c r="N21" s="4" t="n"/>
      <c r="O21" s="4" t="n"/>
      <c r="P21" s="4" t="n"/>
      <c r="Q21" s="4" t="n"/>
      <c r="R21" s="4" t="n"/>
      <c r="S21" s="4" t="n"/>
      <c r="T21" s="4" t="n"/>
      <c r="U21" s="4" t="n"/>
      <c r="V21" s="4" t="n"/>
      <c r="W21" s="4" t="n"/>
    </row>
    <row r="22">
      <c r="A22" s="5" t="inlineStr">
        <is>
          <t>MGT-027</t>
        </is>
      </c>
      <c r="B22" s="5" t="inlineStr">
        <is>
          <t>SWEBOK</t>
        </is>
      </c>
      <c r="C22" s="4" t="inlineStr">
        <is>
          <t>3. プロセス計画(SDLC選定・計画書)</t>
        </is>
      </c>
      <c r="D22" s="10" t="inlineStr">
        <is>
          <t>Medium</t>
        </is>
      </c>
      <c r="E22" s="4" t="inlineStr">
        <is>
          <t>使用するマネジメントツール(計画追跡/リスク/コミュニケーション/測定)が特定されている</t>
        </is>
      </c>
      <c r="F22" s="4" t="inlineStr">
        <is>
          <t>プロジェクトで使用するツールが用途とともに列挙されている</t>
        </is>
      </c>
      <c r="G22" s="4" t="inlineStr">
        <is>
          <t>ツールを後付けで場当たり導入すると、データ移行・使い分けの混乱や収集データの分断が起き、監視・測定の基盤が崩れる。</t>
        </is>
      </c>
      <c r="H22" s="4" t="inlineStr">
        <is>
          <t>swebok-v4a.pdf ch09 SE Management &gt; 2.1 Process Planning(ツールの計画的選定・取得)/ 7. Software Engineering Management Tools</t>
        </is>
      </c>
      <c r="I22" s="4" t="inlineStr">
        <is>
          <t>CORE</t>
        </is>
      </c>
      <c r="J22" s="4" t="inlineStr">
        <is>
          <t>原則適用。案件スコープ・成果物・規制・リスク上非該当の場合はN/A根拠を記録。</t>
        </is>
      </c>
      <c r="K22" s="4" t="inlineStr">
        <is>
          <t>SRC-SWEBOK-V4A</t>
        </is>
      </c>
      <c r="L22" s="4" t="inlineStr"/>
      <c r="M22" s="4" t="n"/>
      <c r="N22" s="4" t="n"/>
      <c r="O22" s="4" t="n"/>
      <c r="P22" s="4" t="n"/>
      <c r="Q22" s="4" t="n"/>
      <c r="R22" s="4" t="n"/>
      <c r="S22" s="4" t="n"/>
      <c r="T22" s="4" t="n"/>
      <c r="U22" s="4" t="n"/>
      <c r="V22" s="4" t="n"/>
      <c r="W22" s="4" t="n"/>
    </row>
    <row r="23">
      <c r="A23" s="5" t="inlineStr">
        <is>
          <t>MGT-030</t>
        </is>
      </c>
      <c r="B23" s="5" t="inlineStr">
        <is>
          <t>SWEBOK</t>
        </is>
      </c>
      <c r="C23" s="4" t="inlineStr">
        <is>
          <t>4. WBS・スケジュール</t>
        </is>
      </c>
      <c r="D23" s="8" t="inlineStr">
        <is>
          <t>Critical</t>
        </is>
      </c>
      <c r="E23" s="4" t="inlineStr">
        <is>
          <t>WBSが成果物またはタスクの階層に分解され、リーフ要素が管理可能な粒度である</t>
        </is>
      </c>
      <c r="F23" s="4" t="inlineStr">
        <is>
          <t>全リーフ要素の見積り工数が概ね8〜80時間(または1〜10営業日)の範囲にある。範囲外の要素には理由がある</t>
        </is>
      </c>
      <c r="G23" s="4" t="inlineStr">
        <is>
          <t>粒度が粗すぎるタスクは進捗が長期間見えず遅延の発見が手遅れになり、細かすぎると管理コストが実作業を圧迫する。管理可能な粒度で早期に異常を検知するため。</t>
        </is>
      </c>
      <c r="H23" s="4" t="inlineStr">
        <is>
          <t>swebok-v4a.pdf ch09 SE Management &gt; 1.2 Feasibility Analysis(WBSによる作業分解)+ 実務補完(8/80ルール)</t>
        </is>
      </c>
      <c r="I23" s="4" t="inlineStr">
        <is>
          <t>CORE</t>
        </is>
      </c>
      <c r="J23" s="4" t="inlineStr">
        <is>
          <t>原則適用。案件スコープ・成果物・規制・リスク上非該当の場合はN/A根拠を記録。</t>
        </is>
      </c>
      <c r="K23" s="4" t="inlineStr">
        <is>
          <t>SRC-SWEBOK-V4A;SRC-PRACTICE</t>
        </is>
      </c>
      <c r="L23" s="4" t="inlineStr"/>
      <c r="M23" s="4" t="n"/>
      <c r="N23" s="4" t="n"/>
      <c r="O23" s="4" t="n"/>
      <c r="P23" s="4" t="n"/>
      <c r="Q23" s="4" t="n"/>
      <c r="R23" s="4" t="n"/>
      <c r="S23" s="4" t="n"/>
      <c r="T23" s="4" t="n"/>
      <c r="U23" s="4" t="n"/>
      <c r="V23" s="4" t="n"/>
      <c r="W23" s="4" t="n"/>
    </row>
    <row r="24">
      <c r="A24" s="5" t="inlineStr">
        <is>
          <t>MGT-031</t>
        </is>
      </c>
      <c r="B24" s="5" t="inlineStr">
        <is>
          <t>SWEBOK</t>
        </is>
      </c>
      <c r="C24" s="4" t="inlineStr">
        <is>
          <t>4. WBS・スケジュール</t>
        </is>
      </c>
      <c r="D24" s="8" t="inlineStr">
        <is>
          <t>Critical</t>
        </is>
      </c>
      <c r="E24" s="4" t="inlineStr">
        <is>
          <t>全リーフ要素に担当者(または担当ロール)が割り当てられている</t>
        </is>
      </c>
      <c r="F24" s="4" t="inlineStr">
        <is>
          <t>担当の空欄・TBDのリーフ要素が0件である</t>
        </is>
      </c>
      <c r="G24" s="4" t="inlineStr">
        <is>
          <t>担当未定のタスクは誰も着手せず、開始予定日を過ぎてから宙に浮いていたことが発覚する。責任の空白による静かな遅延を防ぐ。</t>
        </is>
      </c>
      <c r="H24" s="4" t="inlineStr">
        <is>
          <t>swebok-v4a.pdf ch09 SE Management &gt; 2.4 Resource Allocation(タスクへの人員・責任の割り当て)</t>
        </is>
      </c>
      <c r="I24" s="4" t="inlineStr">
        <is>
          <t>CORE</t>
        </is>
      </c>
      <c r="J24" s="4" t="inlineStr">
        <is>
          <t>原則適用。案件スコープ・成果物・規制・リスク上非該当の場合はN/A根拠を記録。</t>
        </is>
      </c>
      <c r="K24" s="4" t="inlineStr">
        <is>
          <t>SRC-SWEBOK-V4A</t>
        </is>
      </c>
      <c r="L24" s="4" t="inlineStr"/>
      <c r="M24" s="4" t="n"/>
      <c r="N24" s="4" t="n"/>
      <c r="O24" s="4" t="n"/>
      <c r="P24" s="4" t="n"/>
      <c r="Q24" s="4" t="n"/>
      <c r="R24" s="4" t="n"/>
      <c r="S24" s="4" t="n"/>
      <c r="T24" s="4" t="n"/>
      <c r="U24" s="4" t="n"/>
      <c r="V24" s="4" t="n"/>
      <c r="W24" s="4" t="n"/>
    </row>
    <row r="25">
      <c r="A25" s="5" t="inlineStr">
        <is>
          <t>MGT-032</t>
        </is>
      </c>
      <c r="B25" s="5" t="inlineStr">
        <is>
          <t>SWEBOK</t>
        </is>
      </c>
      <c r="C25" s="4" t="inlineStr">
        <is>
          <t>4. WBS・スケジュール</t>
        </is>
      </c>
      <c r="D25" s="9" t="inlineStr">
        <is>
          <t>High</t>
        </is>
      </c>
      <c r="E25" s="4" t="inlineStr">
        <is>
          <t>各WBS要素に完了基準が定義されている(WBS辞書)</t>
        </is>
      </c>
      <c r="F25" s="4" t="inlineStr">
        <is>
          <t>リーフ要素の80%以上に完了の判断基準が記述されている</t>
        </is>
      </c>
      <c r="G25" s="4" t="inlineStr">
        <is>
          <t>完了基準がないタスクは「終わったつもり」の状態で完了報告され、後工程で未完成が発覚して手戻りになる。監視時の成果物評価の拠り所を作る。</t>
        </is>
      </c>
      <c r="H25" s="4" t="inlineStr">
        <is>
          <t>swebok-v4a.pdf ch09 SE Management &gt; 3.4 Monitor Process(各タスクのアウトプットと完了基準の評価)+ 実務補完(WBS辞書)</t>
        </is>
      </c>
      <c r="I25" s="4" t="inlineStr">
        <is>
          <t>CORE</t>
        </is>
      </c>
      <c r="J25" s="4" t="inlineStr">
        <is>
          <t>原則適用。案件スコープ・成果物・規制・リスク上非該当の場合はN/A根拠を記録。</t>
        </is>
      </c>
      <c r="K25" s="4" t="inlineStr">
        <is>
          <t>SRC-SWEBOK-V4A;SRC-PRACTICE</t>
        </is>
      </c>
      <c r="L25" s="4" t="inlineStr"/>
      <c r="M25" s="4" t="n"/>
      <c r="N25" s="4" t="n"/>
      <c r="O25" s="4" t="n"/>
      <c r="P25" s="4" t="n"/>
      <c r="Q25" s="4" t="n"/>
      <c r="R25" s="4" t="n"/>
      <c r="S25" s="4" t="n"/>
      <c r="T25" s="4" t="n"/>
      <c r="U25" s="4" t="n"/>
      <c r="V25" s="4" t="n"/>
      <c r="W25" s="4" t="n"/>
    </row>
    <row r="26">
      <c r="A26" s="5" t="inlineStr">
        <is>
          <t>MGT-033</t>
        </is>
      </c>
      <c r="B26" s="5" t="inlineStr">
        <is>
          <t>SWEBOK</t>
        </is>
      </c>
      <c r="C26" s="4" t="inlineStr">
        <is>
          <t>4. WBS・スケジュール</t>
        </is>
      </c>
      <c r="D26" s="8" t="inlineStr">
        <is>
          <t>Critical</t>
        </is>
      </c>
      <c r="E26" s="4" t="inlineStr">
        <is>
          <t>タスク間の依存関係が明示されている</t>
        </is>
      </c>
      <c r="F26" s="4" t="inlineStr">
        <is>
          <t>先行/後続の依存関係がスケジュール上に定義され、依存のない孤立タスクは意図的なものと確認できる</t>
        </is>
      </c>
      <c r="G26" s="4" t="inlineStr">
        <is>
          <t>依存関係が明示されないと先行タスクの遅延が後続へ波及することを予見できず、遅延の連鎖に事後対応するだけになる。並行実施の機会も見逃す。</t>
        </is>
      </c>
      <c r="H26" s="4" t="inlineStr">
        <is>
          <t>swebok-v4a.pdf ch09 SE Management &gt; 2.3 Effort, Schedule, and Cost Estimation(タスク依存関係の確立とガントチャート)</t>
        </is>
      </c>
      <c r="I26" s="4" t="inlineStr">
        <is>
          <t>CORE</t>
        </is>
      </c>
      <c r="J26" s="4" t="inlineStr">
        <is>
          <t>原則適用。案件スコープ・成果物・規制・リスク上非該当の場合はN/A根拠を記録。</t>
        </is>
      </c>
      <c r="K26" s="4" t="inlineStr">
        <is>
          <t>SRC-SWEBOK-V4A</t>
        </is>
      </c>
      <c r="L26" s="4" t="inlineStr"/>
      <c r="M26" s="4" t="n"/>
      <c r="N26" s="4" t="n"/>
      <c r="O26" s="4" t="n"/>
      <c r="P26" s="4" t="n"/>
      <c r="Q26" s="4" t="n"/>
      <c r="R26" s="4" t="n"/>
      <c r="S26" s="4" t="n"/>
      <c r="T26" s="4" t="n"/>
      <c r="U26" s="4" t="n"/>
      <c r="V26" s="4" t="n"/>
      <c r="W26" s="4" t="n"/>
    </row>
    <row r="27">
      <c r="A27" s="5" t="inlineStr">
        <is>
          <t>MGT-034</t>
        </is>
      </c>
      <c r="B27" s="5" t="inlineStr">
        <is>
          <t>SWEBOK</t>
        </is>
      </c>
      <c r="C27" s="4" t="inlineStr">
        <is>
          <t>4. WBS・スケジュール</t>
        </is>
      </c>
      <c r="D27" s="9" t="inlineStr">
        <is>
          <t>High</t>
        </is>
      </c>
      <c r="E27" s="4" t="inlineStr">
        <is>
          <t>クリティカルパスが識別されている</t>
        </is>
      </c>
      <c r="F27" s="4" t="inlineStr">
        <is>
          <t>クリティカルパス上のタスク列が明示されている(適応型の場合は反復のシーケンスと固定期限の関係が示されている)</t>
        </is>
      </c>
      <c r="G27" s="4" t="inlineStr">
        <is>
          <t>クリティカルパスが不明だと、全体納期を左右するタスクとそうでないタスクの区別がつかず、要員追加や督促の投入先を誤って納期を守れない。</t>
        </is>
      </c>
      <c r="H27" s="4" t="inlineStr">
        <is>
          <t>swebok-v4a.pdf ch09 SE Management &gt; 2.3 Effort, Schedule, and Cost Estimation(依存関係・工期の分析)+ 実務補完(PMBOK クリティカルパス法)</t>
        </is>
      </c>
      <c r="I27" s="4" t="inlineStr">
        <is>
          <t>CORE</t>
        </is>
      </c>
      <c r="J27" s="4" t="inlineStr">
        <is>
          <t>原則適用。案件スコープ・成果物・規制・リスク上非該当の場合はN/A根拠を記録。</t>
        </is>
      </c>
      <c r="K27" s="4" t="inlineStr">
        <is>
          <t>SRC-SWEBOK-V4A;SRC-PRACTICE</t>
        </is>
      </c>
      <c r="L27" s="4" t="inlineStr"/>
      <c r="M27" s="4" t="n"/>
      <c r="N27" s="4" t="n"/>
      <c r="O27" s="4" t="n"/>
      <c r="P27" s="4" t="n"/>
      <c r="Q27" s="4" t="n"/>
      <c r="R27" s="4" t="n"/>
      <c r="S27" s="4" t="n"/>
      <c r="T27" s="4" t="n"/>
      <c r="U27" s="4" t="n"/>
      <c r="V27" s="4" t="n"/>
      <c r="W27" s="4" t="n"/>
    </row>
    <row r="28">
      <c r="A28" s="5" t="inlineStr">
        <is>
          <t>MGT-035</t>
        </is>
      </c>
      <c r="B28" s="5" t="inlineStr">
        <is>
          <t>SWEBOK</t>
        </is>
      </c>
      <c r="C28" s="4" t="inlineStr">
        <is>
          <t>4. WBS・スケジュール</t>
        </is>
      </c>
      <c r="D28" s="9" t="inlineStr">
        <is>
          <t>High</t>
        </is>
      </c>
      <c r="E28" s="4" t="inlineStr">
        <is>
          <t>マイルストーンが設定され、判定基準がある</t>
        </is>
      </c>
      <c r="F28" s="4" t="inlineStr">
        <is>
          <t>マイルストーンが1件以上定義され、各々に達成判定基準が対応づけられている</t>
        </is>
      </c>
      <c r="G28" s="4" t="inlineStr">
        <is>
          <t>判定基準のあるマイルストーンがないと途中で計画との乖離を測る節目がなく、問題の発覚が納期直前まで遅れる。</t>
        </is>
      </c>
      <c r="H28" s="4" t="inlineStr">
        <is>
          <t>swebok-v4a.pdf ch09 SE Management &gt; 4.1 Determining Satisfaction of Requirements(主要マイルストーン/反復完了時の評価)</t>
        </is>
      </c>
      <c r="I28" s="4" t="inlineStr">
        <is>
          <t>CORE</t>
        </is>
      </c>
      <c r="J28" s="4" t="inlineStr">
        <is>
          <t>原則適用。案件スコープ・成果物・規制・リスク上非該当の場合はN/A根拠を記録。</t>
        </is>
      </c>
      <c r="K28" s="4" t="inlineStr">
        <is>
          <t>SRC-SWEBOK-V4A</t>
        </is>
      </c>
      <c r="L28" s="4" t="inlineStr"/>
      <c r="M28" s="4" t="n"/>
      <c r="N28" s="4" t="n"/>
      <c r="O28" s="4" t="n"/>
      <c r="P28" s="4" t="n"/>
      <c r="Q28" s="4" t="n"/>
      <c r="R28" s="4" t="n"/>
      <c r="S28" s="4" t="n"/>
      <c r="T28" s="4" t="n"/>
      <c r="U28" s="4" t="n"/>
      <c r="V28" s="4" t="n"/>
      <c r="W28" s="4" t="n"/>
    </row>
    <row r="29">
      <c r="A29" s="5" t="inlineStr">
        <is>
          <t>MGT-036</t>
        </is>
      </c>
      <c r="B29" s="5" t="inlineStr">
        <is>
          <t>SWEBOK</t>
        </is>
      </c>
      <c r="C29" s="4" t="inlineStr">
        <is>
          <t>4. WBS・スケジュール</t>
        </is>
      </c>
      <c r="D29" s="10" t="inlineStr">
        <is>
          <t>Medium</t>
        </is>
      </c>
      <c r="E29" s="4" t="inlineStr">
        <is>
          <t>スケジュールにバッファ(予備)の扱いが明記されている</t>
        </is>
      </c>
      <c r="F29" s="4" t="inlineStr">
        <is>
          <t>バッファの有無と配置方針(全体バッファ/タスク別/なし)が記載されている</t>
        </is>
      </c>
      <c r="G29" s="4" t="inlineStr">
        <is>
          <t>見積りは本質的に誤差を含む(2.3)。バッファの扱いを明示しないと、各担当が暗黙に積んだ余裕が二重三重になるか、逆に余裕ゼロの脆い計画になる。</t>
        </is>
      </c>
      <c r="H29" s="4" t="inlineStr">
        <is>
          <t>実務補完(クリティカルチェーン/バッファ管理。2.3 の見積り不確実性への対応)</t>
        </is>
      </c>
      <c r="I29" s="4" t="inlineStr">
        <is>
          <t>CORE</t>
        </is>
      </c>
      <c r="J29" s="4" t="inlineStr">
        <is>
          <t>原則適用。案件スコープ・成果物・規制・リスク上非該当の場合はN/A根拠を記録。</t>
        </is>
      </c>
      <c r="K29" s="4" t="inlineStr">
        <is>
          <t>SRC-PRACTICE</t>
        </is>
      </c>
      <c r="L29" s="4" t="inlineStr"/>
      <c r="M29" s="4" t="n"/>
      <c r="N29" s="4" t="n"/>
      <c r="O29" s="4" t="n"/>
      <c r="P29" s="4" t="n"/>
      <c r="Q29" s="4" t="n"/>
      <c r="R29" s="4" t="n"/>
      <c r="S29" s="4" t="n"/>
      <c r="T29" s="4" t="n"/>
      <c r="U29" s="4" t="n"/>
      <c r="V29" s="4" t="n"/>
      <c r="W29" s="4" t="n"/>
    </row>
    <row r="30">
      <c r="A30" s="5" t="inlineStr">
        <is>
          <t>MGT-037</t>
        </is>
      </c>
      <c r="B30" s="5" t="inlineStr">
        <is>
          <t>SWEBOK</t>
        </is>
      </c>
      <c r="C30" s="4" t="inlineStr">
        <is>
          <t>4. WBS・スケジュール</t>
        </is>
      </c>
      <c r="D30" s="10" t="inlineStr">
        <is>
          <t>Medium</t>
        </is>
      </c>
      <c r="E30" s="4" t="inlineStr">
        <is>
          <t>要員の稼働率・非稼働期間(休暇・兼務)が反映されている</t>
        </is>
      </c>
      <c r="F30" s="4" t="inlineStr">
        <is>
          <t>100%張り付き前提でない根拠(稼働率設定または非稼働考慮)が確認できる</t>
        </is>
      </c>
      <c r="G30" s="4" t="inlineStr">
        <is>
          <t>100%稼働前提の計画は会議・兼務・休暇で必ず崩れる。資源の実際の可用性を無視した計画は初月から遅延が常態化する。</t>
        </is>
      </c>
      <c r="H30" s="4" t="inlineStr">
        <is>
          <t>swebok-v4a.pdf ch09 SE Management &gt; 2.4 Resource Allocation(資源の可用性と最適利用による制約)</t>
        </is>
      </c>
      <c r="I30" s="4" t="inlineStr">
        <is>
          <t>CORE</t>
        </is>
      </c>
      <c r="J30" s="4" t="inlineStr">
        <is>
          <t>原則適用。案件スコープ・成果物・規制・リスク上非該当の場合はN/A根拠を記録。</t>
        </is>
      </c>
      <c r="K30" s="4" t="inlineStr">
        <is>
          <t>SRC-SWEBOK-V4A</t>
        </is>
      </c>
      <c r="L30" s="4" t="inlineStr"/>
      <c r="M30" s="4" t="n"/>
      <c r="N30" s="4" t="n"/>
      <c r="O30" s="4" t="n"/>
      <c r="P30" s="4" t="n"/>
      <c r="Q30" s="4" t="n"/>
      <c r="R30" s="4" t="n"/>
      <c r="S30" s="4" t="n"/>
      <c r="T30" s="4" t="n"/>
      <c r="U30" s="4" t="n"/>
      <c r="V30" s="4" t="n"/>
      <c r="W30" s="4" t="n"/>
    </row>
    <row r="31">
      <c r="A31" s="5" t="inlineStr">
        <is>
          <t>MGT-038</t>
        </is>
      </c>
      <c r="B31" s="5" t="inlineStr">
        <is>
          <t>SWEBOK</t>
        </is>
      </c>
      <c r="C31" s="4" t="inlineStr">
        <is>
          <t>4. WBS・スケジュール</t>
        </is>
      </c>
      <c r="D31" s="9" t="inlineStr">
        <is>
          <t>High</t>
        </is>
      </c>
      <c r="E31" s="4" t="inlineStr">
        <is>
          <t>WBSがスコープ定義と整合している</t>
        </is>
      </c>
      <c r="F31" s="4" t="inlineStr">
        <is>
          <t>憲章/計画書のスコープ内項目がWBS上に対応要素を持ち、スコープ外項目がWBSに含まれていない</t>
        </is>
      </c>
      <c r="G31" s="4" t="inlineStr">
        <is>
          <t>スコープにあるのにWBSにない作業は見積り・スケジュールから漏れ、終盤に未計画作業として噴出する。逆にスコープ外作業の混入は無駄な工数消費になる。</t>
        </is>
      </c>
      <c r="H31" s="4" t="inlineStr">
        <is>
          <t>swebok-v4a.pdf ch09 SE Management &gt; 1.2 Feasibility Analysis(スコープステートメントとWBS)/ 実務補完(PMBOK スコープ管理)</t>
        </is>
      </c>
      <c r="I31" s="4" t="inlineStr">
        <is>
          <t>CORE</t>
        </is>
      </c>
      <c r="J31" s="4" t="inlineStr">
        <is>
          <t>原則適用。案件スコープ・成果物・規制・リスク上非該当の場合はN/A根拠を記録。</t>
        </is>
      </c>
      <c r="K31" s="4" t="inlineStr">
        <is>
          <t>SRC-SWEBOK-V4A;SRC-PRACTICE</t>
        </is>
      </c>
      <c r="L31" s="4" t="inlineStr"/>
      <c r="M31" s="4" t="n"/>
      <c r="N31" s="4" t="n"/>
      <c r="O31" s="4" t="n"/>
      <c r="P31" s="4" t="n"/>
      <c r="Q31" s="4" t="n"/>
      <c r="R31" s="4" t="n"/>
      <c r="S31" s="4" t="n"/>
      <c r="T31" s="4" t="n"/>
      <c r="U31" s="4" t="n"/>
      <c r="V31" s="4" t="n"/>
      <c r="W31" s="4" t="n"/>
    </row>
    <row r="32">
      <c r="A32" s="5" t="inlineStr">
        <is>
          <t>MGT-040</t>
        </is>
      </c>
      <c r="B32" s="5" t="inlineStr">
        <is>
          <t>SWEBOK</t>
        </is>
      </c>
      <c r="C32" s="4" t="inlineStr">
        <is>
          <t>5. 見積り</t>
        </is>
      </c>
      <c r="D32" s="8" t="inlineStr">
        <is>
          <t>Critical</t>
        </is>
      </c>
      <c r="E32" s="4" t="inlineStr">
        <is>
          <t>2種類以上の見積り手法が併用されている</t>
        </is>
      </c>
      <c r="F32" s="4" t="inlineStr">
        <is>
          <t>使用手法(類推/パラメトリック/三点/相対/ボトムアップ等)が2つ以上明記され、各々の結果が記載されている</t>
        </is>
      </c>
      <c r="G32" s="4" t="inlineStr">
        <is>
          <t>ソフトウェア見積りは誤りやすく、単一手法では系統的な偏りに気づけない。複数手法の併用は大幅な過小見積りを事前に検出する最も有効な手段である。</t>
        </is>
      </c>
      <c r="H32" s="4" t="inlineStr">
        <is>
          <t>swebok-v4a.pdf ch09 SE Management &gt; 2.3 Effort, Schedule, and Cost Estimation(multiple estimation approaches の使用)</t>
        </is>
      </c>
      <c r="I32" s="4" t="inlineStr">
        <is>
          <t>CORE</t>
        </is>
      </c>
      <c r="J32" s="4" t="inlineStr">
        <is>
          <t>原則適用。案件スコープ・成果物・規制・リスク上非該当の場合はN/A根拠を記録。</t>
        </is>
      </c>
      <c r="K32" s="4" t="inlineStr">
        <is>
          <t>SRC-SWEBOK-V4A</t>
        </is>
      </c>
      <c r="L32" s="4" t="inlineStr"/>
      <c r="M32" s="4" t="n"/>
      <c r="N32" s="4" t="n"/>
      <c r="O32" s="4" t="n"/>
      <c r="P32" s="4" t="n"/>
      <c r="Q32" s="4" t="n"/>
      <c r="R32" s="4" t="n"/>
      <c r="S32" s="4" t="n"/>
      <c r="T32" s="4" t="n"/>
      <c r="U32" s="4" t="n"/>
      <c r="V32" s="4" t="n"/>
      <c r="W32" s="4" t="n"/>
    </row>
    <row r="33">
      <c r="A33" s="5" t="inlineStr">
        <is>
          <t>MGT-041</t>
        </is>
      </c>
      <c r="B33" s="5" t="inlineStr">
        <is>
          <t>SWEBOK</t>
        </is>
      </c>
      <c r="C33" s="4" t="inlineStr">
        <is>
          <t>5. 見積り</t>
        </is>
      </c>
      <c r="D33" s="8" t="inlineStr">
        <is>
          <t>Critical</t>
        </is>
      </c>
      <c r="E33" s="4" t="inlineStr">
        <is>
          <t>見積りの前提条件と除外事項が明記されている</t>
        </is>
      </c>
      <c r="F33" s="4" t="inlineStr">
        <is>
          <t>前提条件が1件以上、除外事項が明示的に(「なし」の明記を含め)記載されている</t>
        </is>
      </c>
      <c r="G33" s="4" t="inlineStr">
        <is>
          <t>前提と除外が書かれていない見積りは、前提が崩れた際に「見積りが甘い」と単純化され、再交渉の根拠を失って無償の追加作業を飲まされる。</t>
        </is>
      </c>
      <c r="H33" s="4" t="inlineStr">
        <is>
          <t>swebok-v4a.pdf ch09 SE Management &gt; 2.3 Effort, Schedule, and Cost Estimation(ステークホルダー間での交渉・合意)</t>
        </is>
      </c>
      <c r="I33" s="4" t="inlineStr">
        <is>
          <t>CORE</t>
        </is>
      </c>
      <c r="J33" s="4" t="inlineStr">
        <is>
          <t>原則適用。案件スコープ・成果物・規制・リスク上非該当の場合はN/A根拠を記録。</t>
        </is>
      </c>
      <c r="K33" s="4" t="inlineStr">
        <is>
          <t>SRC-SWEBOK-V4A</t>
        </is>
      </c>
      <c r="L33" s="4" t="inlineStr"/>
      <c r="M33" s="4" t="n"/>
      <c r="N33" s="4" t="n"/>
      <c r="O33" s="4" t="n"/>
      <c r="P33" s="4" t="n"/>
      <c r="Q33" s="4" t="n"/>
      <c r="R33" s="4" t="n"/>
      <c r="S33" s="4" t="n"/>
      <c r="T33" s="4" t="n"/>
      <c r="U33" s="4" t="n"/>
      <c r="V33" s="4" t="n"/>
      <c r="W33" s="4" t="n"/>
    </row>
    <row r="34">
      <c r="A34" s="5" t="inlineStr">
        <is>
          <t>MGT-042</t>
        </is>
      </c>
      <c r="B34" s="5" t="inlineStr">
        <is>
          <t>SWEBOK</t>
        </is>
      </c>
      <c r="C34" s="4" t="inlineStr">
        <is>
          <t>5. 見積り</t>
        </is>
      </c>
      <c r="D34" s="9" t="inlineStr">
        <is>
          <t>High</t>
        </is>
      </c>
      <c r="E34" s="4" t="inlineStr">
        <is>
          <t>見積りに信頼幅(楽観値/最頻値/悲観値または範囲)がある</t>
        </is>
      </c>
      <c r="F34" s="4" t="inlineStr">
        <is>
          <t>一点見積りのみでなく、幅または確率的表現が付されている</t>
        </is>
      </c>
      <c r="G34" s="4" t="inlineStr">
        <is>
          <t>一点見積りは不確実性を隠蔽し、楽観値が既成事実化して予算・納期のコミットになる。幅を示すことで意思決定者にリスクを正しく伝える。</t>
        </is>
      </c>
      <c r="H34" s="4" t="inlineStr">
        <is>
          <t>swebok-v4a.pdf ch09 SE Management &gt; 2.3 Effort, Schedule, and Cost Estimation(estimated range of effort)</t>
        </is>
      </c>
      <c r="I34" s="4" t="inlineStr">
        <is>
          <t>CORE</t>
        </is>
      </c>
      <c r="J34" s="4" t="inlineStr">
        <is>
          <t>原則適用。案件スコープ・成果物・規制・リスク上非該当の場合はN/A根拠を記録。</t>
        </is>
      </c>
      <c r="K34" s="4" t="inlineStr">
        <is>
          <t>SRC-SWEBOK-V4A</t>
        </is>
      </c>
      <c r="L34" s="4" t="inlineStr"/>
      <c r="M34" s="4" t="n"/>
      <c r="N34" s="4" t="n"/>
      <c r="O34" s="4" t="n"/>
      <c r="P34" s="4" t="n"/>
      <c r="Q34" s="4" t="n"/>
      <c r="R34" s="4" t="n"/>
      <c r="S34" s="4" t="n"/>
      <c r="T34" s="4" t="n"/>
      <c r="U34" s="4" t="n"/>
      <c r="V34" s="4" t="n"/>
      <c r="W34" s="4" t="n"/>
    </row>
    <row r="35">
      <c r="A35" s="5" t="inlineStr">
        <is>
          <t>MGT-043</t>
        </is>
      </c>
      <c r="B35" s="5" t="inlineStr">
        <is>
          <t>SWEBOK</t>
        </is>
      </c>
      <c r="C35" s="4" t="inlineStr">
        <is>
          <t>5. 見積り</t>
        </is>
      </c>
      <c r="D35" s="9" t="inlineStr">
        <is>
          <t>High</t>
        </is>
      </c>
      <c r="E35" s="4" t="inlineStr">
        <is>
          <t>手法間の結果乖離が確認され、採用値の根拠が説明されている</t>
        </is>
      </c>
      <c r="F35" s="4" t="inlineStr">
        <is>
          <t>複数手法の結果比較と、最終採用値の決定理由が記述されている</t>
        </is>
      </c>
      <c r="G35" s="4" t="inlineStr">
        <is>
          <t>手法間の乖離は前提の誤りや見落とし作業のシグナルであり、突合せずに都合のよい値を採ると乖離原因ごと過小見積りを引き継ぐ。</t>
        </is>
      </c>
      <c r="H35" s="4" t="inlineStr">
        <is>
          <t>swebok-v4a.pdf ch09 SE Management &gt; 2.3 Effort, Schedule, and Cost Estimation(reconcile the differences among the estimates)</t>
        </is>
      </c>
      <c r="I35" s="4" t="inlineStr">
        <is>
          <t>CORE</t>
        </is>
      </c>
      <c r="J35" s="4" t="inlineStr">
        <is>
          <t>原則適用。案件スコープ・成果物・規制・リスク上非該当の場合はN/A根拠を記録。</t>
        </is>
      </c>
      <c r="K35" s="4" t="inlineStr">
        <is>
          <t>SRC-SWEBOK-V4A</t>
        </is>
      </c>
      <c r="L35" s="4" t="inlineStr"/>
      <c r="M35" s="4" t="n"/>
      <c r="N35" s="4" t="n"/>
      <c r="O35" s="4" t="n"/>
      <c r="P35" s="4" t="n"/>
      <c r="Q35" s="4" t="n"/>
      <c r="R35" s="4" t="n"/>
      <c r="S35" s="4" t="n"/>
      <c r="T35" s="4" t="n"/>
      <c r="U35" s="4" t="n"/>
      <c r="V35" s="4" t="n"/>
      <c r="W35" s="4" t="n"/>
    </row>
    <row r="36">
      <c r="A36" s="5" t="inlineStr">
        <is>
          <t>MGT-044</t>
        </is>
      </c>
      <c r="B36" s="5" t="inlineStr">
        <is>
          <t>SWEBOK</t>
        </is>
      </c>
      <c r="C36" s="4" t="inlineStr">
        <is>
          <t>5. 見積り</t>
        </is>
      </c>
      <c r="D36" s="10" t="inlineStr">
        <is>
          <t>Medium</t>
        </is>
      </c>
      <c r="E36" s="4" t="inlineStr">
        <is>
          <t>再見積りの契機が定義されている</t>
        </is>
      </c>
      <c r="F36" s="4" t="inlineStr">
        <is>
          <t>どの時点・どの条件(スコープ変更、乖離しきい値超過、フェーズ移行等)で見積りを見直すかが記載されている</t>
        </is>
      </c>
      <c r="G36" s="4" t="inlineStr">
        <is>
          <t>見積りは反復的活動であり、更新契機がないと初期見積りが陳腐化したまま予実比較の基準になり続け、乖離報告が意味を失う。</t>
        </is>
      </c>
      <c r="H36" s="4" t="inlineStr">
        <is>
          <t>swebok-v4a.pdf ch09 SE Management &gt; 2.3 Effort, Schedule, and Cost Estimation(見積りは反復的に交渉・改訂される)</t>
        </is>
      </c>
      <c r="I36" s="4" t="inlineStr">
        <is>
          <t>CORE</t>
        </is>
      </c>
      <c r="J36" s="4" t="inlineStr">
        <is>
          <t>原則適用。案件スコープ・成果物・規制・リスク上非該当の場合はN/A根拠を記録。</t>
        </is>
      </c>
      <c r="K36" s="4" t="inlineStr">
        <is>
          <t>SRC-SWEBOK-V4A</t>
        </is>
      </c>
      <c r="L36" s="4" t="inlineStr"/>
      <c r="M36" s="4" t="n"/>
      <c r="N36" s="4" t="n"/>
      <c r="O36" s="4" t="n"/>
      <c r="P36" s="4" t="n"/>
      <c r="Q36" s="4" t="n"/>
      <c r="R36" s="4" t="n"/>
      <c r="S36" s="4" t="n"/>
      <c r="T36" s="4" t="n"/>
      <c r="U36" s="4" t="n"/>
      <c r="V36" s="4" t="n"/>
      <c r="W36" s="4" t="n"/>
    </row>
    <row r="37">
      <c r="A37" s="5" t="inlineStr">
        <is>
          <t>MGT-045</t>
        </is>
      </c>
      <c r="B37" s="5" t="inlineStr">
        <is>
          <t>SWEBOK</t>
        </is>
      </c>
      <c r="C37" s="4" t="inlineStr">
        <is>
          <t>5. 見積り</t>
        </is>
      </c>
      <c r="D37" s="10" t="inlineStr">
        <is>
          <t>Medium</t>
        </is>
      </c>
      <c r="E37" s="4" t="inlineStr">
        <is>
          <t>工数からスケジュール・コストへの換算根拠が示されている</t>
        </is>
      </c>
      <c r="F37" s="4" t="inlineStr">
        <is>
          <t>要員単価・チーム規模・カレンダー換算の前提が記載され、工数と期間・金額の関係が追跡できる</t>
        </is>
      </c>
      <c r="G37" s="4" t="inlineStr">
        <is>
          <t>工数→期間・金額の換算前提(単価・人数・稼働日)が不明だと、体制変更時に再計算できず、また換算誤り(人月と暦月の混同等)を検出できない。</t>
        </is>
      </c>
      <c r="H37" s="4" t="inlineStr">
        <is>
          <t>swebok-v4a.pdf ch09 SE Management &gt; 2.3 Effort, Schedule, and Cost Estimation(資源要求からコスト見積りへの変換)</t>
        </is>
      </c>
      <c r="I37" s="4" t="inlineStr">
        <is>
          <t>CORE</t>
        </is>
      </c>
      <c r="J37" s="4" t="inlineStr">
        <is>
          <t>原則適用。案件スコープ・成果物・規制・リスク上非該当の場合はN/A根拠を記録。</t>
        </is>
      </c>
      <c r="K37" s="4" t="inlineStr">
        <is>
          <t>SRC-SWEBOK-V4A</t>
        </is>
      </c>
      <c r="L37" s="4" t="inlineStr">
        <is>
          <t>COST</t>
        </is>
      </c>
      <c r="M37" s="4" t="n"/>
      <c r="N37" s="4" t="n"/>
      <c r="O37" s="4" t="n"/>
      <c r="P37" s="4" t="n"/>
      <c r="Q37" s="4" t="n"/>
      <c r="R37" s="4" t="n"/>
      <c r="S37" s="4" t="n"/>
      <c r="T37" s="4" t="n"/>
      <c r="U37" s="4" t="n"/>
      <c r="V37" s="4" t="n"/>
      <c r="W37" s="4" t="n"/>
    </row>
    <row r="38">
      <c r="A38" s="5" t="inlineStr">
        <is>
          <t>MGT-046</t>
        </is>
      </c>
      <c r="B38" s="5" t="inlineStr">
        <is>
          <t>SWEBOK</t>
        </is>
      </c>
      <c r="C38" s="4" t="inlineStr">
        <is>
          <t>5. 見積り</t>
        </is>
      </c>
      <c r="D38" s="9" t="inlineStr">
        <is>
          <t>High</t>
        </is>
      </c>
      <c r="E38" s="4" t="inlineStr">
        <is>
          <t>開発以外の工数(管理、レビュー、テスト、環境構築、教育等)が見積りに含まれている</t>
        </is>
      </c>
      <c r="F38" s="4" t="inlineStr">
        <is>
          <t>実装以外の活動が見積り項目として識別されている、または含有率として明示されている</t>
        </is>
      </c>
      <c r="G38" s="4" t="inlineStr">
        <is>
          <t>実装工数のみの見積りは管理・レビュー・環境構築等の実際には必ず発生する作業を漏らし、構造的な2〜4割の過小見積りになる。</t>
        </is>
      </c>
      <c r="H38" s="4" t="inlineStr">
        <is>
          <t>swebok-v4a.pdf ch09 SE Management &gt; 2.3 Effort, Schedule, and Cost Estimation + 実務補完(見積りWBSの網羅性)</t>
        </is>
      </c>
      <c r="I38" s="4" t="inlineStr">
        <is>
          <t>CORE</t>
        </is>
      </c>
      <c r="J38" s="4" t="inlineStr">
        <is>
          <t>原則適用。案件スコープ・成果物・規制・リスク上非該当の場合はN/A根拠を記録。</t>
        </is>
      </c>
      <c r="K38" s="4" t="inlineStr">
        <is>
          <t>SRC-SWEBOK-V4A;SRC-PRACTICE</t>
        </is>
      </c>
      <c r="L38" s="4" t="inlineStr"/>
      <c r="M38" s="4" t="n"/>
      <c r="N38" s="4" t="n"/>
      <c r="O38" s="4" t="n"/>
      <c r="P38" s="4" t="n"/>
      <c r="Q38" s="4" t="n"/>
      <c r="R38" s="4" t="n"/>
      <c r="S38" s="4" t="n"/>
      <c r="T38" s="4" t="n"/>
      <c r="U38" s="4" t="n"/>
      <c r="V38" s="4" t="n"/>
      <c r="W38" s="4" t="n"/>
    </row>
    <row r="39">
      <c r="A39" s="5" t="inlineStr">
        <is>
          <t>MGT-050</t>
        </is>
      </c>
      <c r="B39" s="5" t="inlineStr">
        <is>
          <t>SWEBOK</t>
        </is>
      </c>
      <c r="C39" s="4" t="inlineStr">
        <is>
          <t>6. 資源配分・体制(RACI)</t>
        </is>
      </c>
      <c r="D39" s="8" t="inlineStr">
        <is>
          <t>Critical</t>
        </is>
      </c>
      <c r="E39" s="4" t="inlineStr">
        <is>
          <t>RACI表(または同等の責任分担表)が存在する</t>
        </is>
      </c>
      <c r="F39" s="4" t="inlineStr">
        <is>
          <t>主要タスク/成果物と役割の対応表が存在する</t>
        </is>
      </c>
      <c r="G39" s="4" t="inlineStr">
        <is>
          <t>責任分担表がないと「誰かがやると思っていた」作業の抜けと、複数人が同じ判断権を主張する衝突の両方が起きる。</t>
        </is>
      </c>
      <c r="H39" s="4" t="inlineStr">
        <is>
          <t>swebok-v4a.pdf ch09 SE Management &gt; 2.3/2.4 Resource Allocation(RACI: responsible, accountable, consulted, informed)</t>
        </is>
      </c>
      <c r="I39" s="4" t="inlineStr">
        <is>
          <t>CORE</t>
        </is>
      </c>
      <c r="J39" s="4" t="inlineStr">
        <is>
          <t>原則適用。案件スコープ・成果物・規制・リスク上非該当の場合はN/A根拠を記録。</t>
        </is>
      </c>
      <c r="K39" s="4" t="inlineStr">
        <is>
          <t>SRC-SWEBOK-V4A</t>
        </is>
      </c>
      <c r="L39" s="4" t="inlineStr"/>
      <c r="M39" s="4" t="n"/>
      <c r="N39" s="4" t="n"/>
      <c r="O39" s="4" t="n"/>
      <c r="P39" s="4" t="n"/>
      <c r="Q39" s="4" t="n"/>
      <c r="R39" s="4" t="n"/>
      <c r="S39" s="4" t="n"/>
      <c r="T39" s="4" t="n"/>
      <c r="U39" s="4" t="n"/>
      <c r="V39" s="4" t="n"/>
      <c r="W39" s="4" t="n"/>
    </row>
    <row r="40">
      <c r="A40" s="5" t="inlineStr">
        <is>
          <t>MGT-051</t>
        </is>
      </c>
      <c r="B40" s="5" t="inlineStr">
        <is>
          <t>SWEBOK</t>
        </is>
      </c>
      <c r="C40" s="4" t="inlineStr">
        <is>
          <t>6. 資源配分・体制(RACI)</t>
        </is>
      </c>
      <c r="D40" s="8" t="inlineStr">
        <is>
          <t>Critical</t>
        </is>
      </c>
      <c r="E40" s="4" t="inlineStr">
        <is>
          <t>各タスクの Accountable(説明責任者)が1名に定まっている</t>
        </is>
      </c>
      <c r="F40" s="4" t="inlineStr">
        <is>
          <t>RACI表の全行で A がちょうど1つである</t>
        </is>
      </c>
      <c r="G40" s="4" t="inlineStr">
        <is>
          <t>Accountableが複数いると意見対立時に決定が止まり、ゼロだと品質・完了の最終確認者が不在になる。説明責任の一意性は意思決定速度の生命線である。</t>
        </is>
      </c>
      <c r="H40" s="4" t="inlineStr">
        <is>
          <t>swebok-v4a.pdf ch09 SE Management &gt; 2.4 Resource Allocation(RACIマトリクス)+ 実務補完(A単一の原則)</t>
        </is>
      </c>
      <c r="I40" s="4" t="inlineStr">
        <is>
          <t>CORE</t>
        </is>
      </c>
      <c r="J40" s="4" t="inlineStr">
        <is>
          <t>原則適用。案件スコープ・成果物・規制・リスク上非該当の場合はN/A根拠を記録。</t>
        </is>
      </c>
      <c r="K40" s="4" t="inlineStr">
        <is>
          <t>SRC-SWEBOK-V4A;SRC-PRACTICE</t>
        </is>
      </c>
      <c r="L40" s="4" t="inlineStr"/>
      <c r="M40" s="4" t="n"/>
      <c r="N40" s="4" t="n"/>
      <c r="O40" s="4" t="n"/>
      <c r="P40" s="4" t="n"/>
      <c r="Q40" s="4" t="n"/>
      <c r="R40" s="4" t="n"/>
      <c r="S40" s="4" t="n"/>
      <c r="T40" s="4" t="n"/>
      <c r="U40" s="4" t="n"/>
      <c r="V40" s="4" t="n"/>
      <c r="W40" s="4" t="n"/>
    </row>
    <row r="41">
      <c r="A41" s="5" t="inlineStr">
        <is>
          <t>MGT-052</t>
        </is>
      </c>
      <c r="B41" s="5" t="inlineStr">
        <is>
          <t>SWEBOK</t>
        </is>
      </c>
      <c r="C41" s="4" t="inlineStr">
        <is>
          <t>6. 資源配分・体制(RACI)</t>
        </is>
      </c>
      <c r="D41" s="9" t="inlineStr">
        <is>
          <t>High</t>
        </is>
      </c>
      <c r="E41" s="4" t="inlineStr">
        <is>
          <t>各タスクに Responsible(実行責任者)が1名以上いる</t>
        </is>
      </c>
      <c r="F41" s="4" t="inlineStr">
        <is>
          <t>RACI表の全行で R が1つ以上である</t>
        </is>
      </c>
      <c r="G41" s="4" t="inlineStr">
        <is>
          <t>実行者のいないタスクは計画上存在しても永久に着手されない。全タスクに手を動かす人がいることを機械的に検証する。</t>
        </is>
      </c>
      <c r="H41" s="4" t="inlineStr">
        <is>
          <t>swebok-v4a.pdf ch09 SE Management &gt; 2.4 Resource Allocation(RACIマトリクス)</t>
        </is>
      </c>
      <c r="I41" s="4" t="inlineStr">
        <is>
          <t>CORE</t>
        </is>
      </c>
      <c r="J41" s="4" t="inlineStr">
        <is>
          <t>原則適用。案件スコープ・成果物・規制・リスク上非該当の場合はN/A根拠を記録。</t>
        </is>
      </c>
      <c r="K41" s="4" t="inlineStr">
        <is>
          <t>SRC-SWEBOK-V4A</t>
        </is>
      </c>
      <c r="L41" s="4" t="inlineStr"/>
      <c r="M41" s="4" t="n"/>
      <c r="N41" s="4" t="n"/>
      <c r="O41" s="4" t="n"/>
      <c r="P41" s="4" t="n"/>
      <c r="Q41" s="4" t="n"/>
      <c r="R41" s="4" t="n"/>
      <c r="S41" s="4" t="n"/>
      <c r="T41" s="4" t="n"/>
      <c r="U41" s="4" t="n"/>
      <c r="V41" s="4" t="n"/>
      <c r="W41" s="4" t="n"/>
    </row>
    <row r="42">
      <c r="A42" s="5" t="inlineStr">
        <is>
          <t>MGT-053</t>
        </is>
      </c>
      <c r="B42" s="5" t="inlineStr">
        <is>
          <t>SWEBOK</t>
        </is>
      </c>
      <c r="C42" s="4" t="inlineStr">
        <is>
          <t>6. 資源配分・体制(RACI)</t>
        </is>
      </c>
      <c r="D42" s="10" t="inlineStr">
        <is>
          <t>Medium</t>
        </is>
      </c>
      <c r="E42" s="4" t="inlineStr">
        <is>
          <t>要員のスキル要件と充足状況が確認されている</t>
        </is>
      </c>
      <c r="F42" s="4" t="inlineStr">
        <is>
          <t>必要スキルと現有要員の対応、不足時の対策(採用/教育/外部調達)が記載されている</t>
        </is>
      </c>
      <c r="G42" s="4" t="inlineStr">
        <is>
          <t>必要スキルと現有要員のギャップを放置すると、担当割当は埋まっているのに品質・速度が出ない状態になり、原因特定が遅れる。</t>
        </is>
      </c>
      <c r="H42" s="4" t="inlineStr">
        <is>
          <t>swebok-v4a.pdf ch09 SE Management &gt; 2.4 Resource Allocation(人員の生産性・チーム構造への考慮)+ 序論(digital talent・スキル)</t>
        </is>
      </c>
      <c r="I42" s="4" t="inlineStr">
        <is>
          <t>CORE</t>
        </is>
      </c>
      <c r="J42" s="4" t="inlineStr">
        <is>
          <t>原則適用。案件スコープ・成果物・規制・リスク上非該当の場合はN/A根拠を記録。</t>
        </is>
      </c>
      <c r="K42" s="4" t="inlineStr">
        <is>
          <t>SRC-SWEBOK-V4A</t>
        </is>
      </c>
      <c r="L42" s="4" t="inlineStr"/>
      <c r="M42" s="4" t="n"/>
      <c r="N42" s="4" t="n"/>
      <c r="O42" s="4" t="n"/>
      <c r="P42" s="4" t="n"/>
      <c r="Q42" s="4" t="n"/>
      <c r="R42" s="4" t="n"/>
      <c r="S42" s="4" t="n"/>
      <c r="T42" s="4" t="n"/>
      <c r="U42" s="4" t="n"/>
      <c r="V42" s="4" t="n"/>
      <c r="W42" s="4" t="n"/>
    </row>
    <row r="43">
      <c r="A43" s="5" t="inlineStr">
        <is>
          <t>MGT-054</t>
        </is>
      </c>
      <c r="B43" s="5" t="inlineStr">
        <is>
          <t>SWEBOK</t>
        </is>
      </c>
      <c r="C43" s="4" t="inlineStr">
        <is>
          <t>6. 資源配分・体制(RACI)</t>
        </is>
      </c>
      <c r="D43" s="10" t="inlineStr">
        <is>
          <t>Medium</t>
        </is>
      </c>
      <c r="E43" s="4" t="inlineStr">
        <is>
          <t>設備・環境・ツール等の物的資源の割り当てが記載されている</t>
        </is>
      </c>
      <c r="F43" s="4" t="inlineStr">
        <is>
          <t>開発環境・ライセンス・機材等の必要資源と手配状況が一覧化されている</t>
        </is>
      </c>
      <c r="G43" s="4" t="inlineStr">
        <is>
          <t>環境・ライセンス等の手配漏れは着任した要員を遊ばせる形で顕在化し、人件費を垂れ流す。物的資源は人的資源より前倒しの手配が必要。</t>
        </is>
      </c>
      <c r="H43" s="4" t="inlineStr">
        <is>
          <t>swebok-v4a.pdf ch09 SE Management &gt; 2.4 Resource Allocation(equipment, facilities の割り当て)</t>
        </is>
      </c>
      <c r="I43" s="4" t="inlineStr">
        <is>
          <t>CORE</t>
        </is>
      </c>
      <c r="J43" s="4" t="inlineStr">
        <is>
          <t>原則適用。案件スコープ・成果物・規制・リスク上非該当の場合はN/A根拠を記録。</t>
        </is>
      </c>
      <c r="K43" s="4" t="inlineStr">
        <is>
          <t>SRC-SWEBOK-V4A</t>
        </is>
      </c>
      <c r="L43" s="4" t="inlineStr"/>
      <c r="M43" s="4" t="n"/>
      <c r="N43" s="4" t="n"/>
      <c r="O43" s="4" t="n"/>
      <c r="P43" s="4" t="n"/>
      <c r="Q43" s="4" t="n"/>
      <c r="R43" s="4" t="n"/>
      <c r="S43" s="4" t="n"/>
      <c r="T43" s="4" t="n"/>
      <c r="U43" s="4" t="n"/>
      <c r="V43" s="4" t="n"/>
      <c r="W43" s="4" t="n"/>
    </row>
    <row r="44">
      <c r="A44" s="5" t="inlineStr">
        <is>
          <t>MGT-060</t>
        </is>
      </c>
      <c r="B44" s="5" t="inlineStr">
        <is>
          <t>SWEBOK</t>
        </is>
      </c>
      <c r="C44" s="4" t="inlineStr">
        <is>
          <t>7. リスクマネジメント(リスク登録簿)</t>
        </is>
      </c>
      <c r="D44" s="8" t="inlineStr">
        <is>
          <t>Critical</t>
        </is>
      </c>
      <c r="E44" s="4" t="inlineStr">
        <is>
          <t>リスク登録簿が存在し、リスクが具体的に記述されている</t>
        </is>
      </c>
      <c r="F44" s="4" t="inlineStr">
        <is>
          <t>各リスクが「原因→事象→影響」の因果が読み取れる形式で記述され、「品質リスク」のような抽象語のみの項目がない</t>
        </is>
      </c>
      <c r="G44" s="4" t="inlineStr">
        <is>
          <t>「品質リスク」のような抽象語では対応策が立てられない。原因→事象→影響の因果まで書かせることで、対応可能な単位にリスクを具体化する。</t>
        </is>
      </c>
      <c r="H44" s="4" t="inlineStr">
        <is>
          <t>swebok-v4a.pdf ch09 SE Management &gt; 2.5 Risk Management(risk register によるリスク要因の識別・記録)</t>
        </is>
      </c>
      <c r="I44" s="4" t="inlineStr">
        <is>
          <t>CORE</t>
        </is>
      </c>
      <c r="J44" s="4" t="inlineStr">
        <is>
          <t>原則適用。案件スコープ・成果物・規制・リスク上非該当の場合はN/A根拠を記録。</t>
        </is>
      </c>
      <c r="K44" s="4" t="inlineStr">
        <is>
          <t>SRC-SWEBOK-V4A</t>
        </is>
      </c>
      <c r="L44" s="4" t="inlineStr"/>
      <c r="M44" s="4" t="n"/>
      <c r="N44" s="4" t="n"/>
      <c r="O44" s="4" t="n"/>
      <c r="P44" s="4" t="n"/>
      <c r="Q44" s="4" t="n"/>
      <c r="R44" s="4" t="n"/>
      <c r="S44" s="4" t="n"/>
      <c r="T44" s="4" t="n"/>
      <c r="U44" s="4" t="n"/>
      <c r="V44" s="4" t="n"/>
      <c r="W44" s="4" t="n"/>
    </row>
    <row r="45">
      <c r="A45" s="5" t="inlineStr">
        <is>
          <t>MGT-061</t>
        </is>
      </c>
      <c r="B45" s="5" t="inlineStr">
        <is>
          <t>SWEBOK</t>
        </is>
      </c>
      <c r="C45" s="4" t="inlineStr">
        <is>
          <t>7. リスクマネジメント(リスク登録簿)</t>
        </is>
      </c>
      <c r="D45" s="8" t="inlineStr">
        <is>
          <t>Critical</t>
        </is>
      </c>
      <c r="E45" s="4" t="inlineStr">
        <is>
          <t>全リスクに発生確率と影響度の評価がある</t>
        </is>
      </c>
      <c r="F45" s="4" t="inlineStr">
        <is>
          <t>全リスクに確率・影響の値(定性段階または定量値)とリスクスコア(または優先度)が付されている</t>
        </is>
      </c>
      <c r="G45" s="4" t="inlineStr">
        <is>
          <t>確率・影響の評価がないとリスクの優先順位付けができず、限られた対応資源が声の大きい人のリスクに流れて重大リスクが放置される。</t>
        </is>
      </c>
      <c r="H45" s="4" t="inlineStr">
        <is>
          <t>swebok-v4a.pdf ch09 SE Management &gt; 2.5 Risk Management(確率と影響の分析、優先順位付け)</t>
        </is>
      </c>
      <c r="I45" s="4" t="inlineStr">
        <is>
          <t>CORE</t>
        </is>
      </c>
      <c r="J45" s="4" t="inlineStr">
        <is>
          <t>原則適用。案件スコープ・成果物・規制・リスク上非該当の場合はN/A根拠を記録。</t>
        </is>
      </c>
      <c r="K45" s="4" t="inlineStr">
        <is>
          <t>SRC-SWEBOK-V4A</t>
        </is>
      </c>
      <c r="L45" s="4" t="inlineStr"/>
      <c r="M45" s="4" t="n"/>
      <c r="N45" s="4" t="n"/>
      <c r="O45" s="4" t="n"/>
      <c r="P45" s="4" t="n"/>
      <c r="Q45" s="4" t="n"/>
      <c r="R45" s="4" t="n"/>
      <c r="S45" s="4" t="n"/>
      <c r="T45" s="4" t="n"/>
      <c r="U45" s="4" t="n"/>
      <c r="V45" s="4" t="n"/>
      <c r="W45" s="4" t="n"/>
    </row>
    <row r="46">
      <c r="A46" s="5" t="inlineStr">
        <is>
          <t>MGT-062</t>
        </is>
      </c>
      <c r="B46" s="5" t="inlineStr">
        <is>
          <t>SWEBOK</t>
        </is>
      </c>
      <c r="C46" s="4" t="inlineStr">
        <is>
          <t>7. リスクマネジメント(リスク登録簿)</t>
        </is>
      </c>
      <c r="D46" s="8" t="inlineStr">
        <is>
          <t>Critical</t>
        </is>
      </c>
      <c r="E46" s="4" t="inlineStr">
        <is>
          <t>全リスクに対応戦略と対応計画がある</t>
        </is>
      </c>
      <c r="F46" s="4" t="inlineStr">
        <is>
          <t>各リスクに回避/軽減/転嫁/受容の別と、受容以外は具体的な対応アクションが記載されている</t>
        </is>
      </c>
      <c r="G46" s="4" t="inlineStr">
        <is>
          <t>識別しただけのリスクは「知っていたのに何もしなかった」事故になる。戦略と具体アクションまで決めて初めてリスク管理は機能する。</t>
        </is>
      </c>
      <c r="H46" s="4" t="inlineStr">
        <is>
          <t>swebok-v4a.pdf ch09 SE Management &gt; 2.5 Risk Management(リスク軽減戦略の策定)</t>
        </is>
      </c>
      <c r="I46" s="4" t="inlineStr">
        <is>
          <t>CORE</t>
        </is>
      </c>
      <c r="J46" s="4" t="inlineStr">
        <is>
          <t>原則適用。案件スコープ・成果物・規制・リスク上非該当の場合はN/A根拠を記録。</t>
        </is>
      </c>
      <c r="K46" s="4" t="inlineStr">
        <is>
          <t>SRC-SWEBOK-V4A</t>
        </is>
      </c>
      <c r="L46" s="4" t="inlineStr"/>
      <c r="M46" s="4" t="n"/>
      <c r="N46" s="4" t="n"/>
      <c r="O46" s="4" t="n"/>
      <c r="P46" s="4" t="n"/>
      <c r="Q46" s="4" t="n"/>
      <c r="R46" s="4" t="n"/>
      <c r="S46" s="4" t="n"/>
      <c r="T46" s="4" t="n"/>
      <c r="U46" s="4" t="n"/>
      <c r="V46" s="4" t="n"/>
      <c r="W46" s="4" t="n"/>
    </row>
    <row r="47">
      <c r="A47" s="5" t="inlineStr">
        <is>
          <t>MGT-063</t>
        </is>
      </c>
      <c r="B47" s="5" t="inlineStr">
        <is>
          <t>SWEBOK</t>
        </is>
      </c>
      <c r="C47" s="4" t="inlineStr">
        <is>
          <t>7. リスクマネジメント(リスク登録簿)</t>
        </is>
      </c>
      <c r="D47" s="9" t="inlineStr">
        <is>
          <t>High</t>
        </is>
      </c>
      <c r="E47" s="4" t="inlineStr">
        <is>
          <t>全リスクに対応責任者が割り当てられている</t>
        </is>
      </c>
      <c r="F47" s="4" t="inlineStr">
        <is>
          <t>責任者欄の空欄・TBDが0件である</t>
        </is>
      </c>
      <c r="G47" s="4" t="inlineStr">
        <is>
          <t>責任者不在のリスク対応は誰も監視・実行せず、登録簿が書きっぱなしの儀式と化す。顕在化の兆候に最初に気づく人を決めておく。</t>
        </is>
      </c>
      <c r="H47" s="4" t="inlineStr">
        <is>
          <t>実務補完(PMBOK リスクオーナー)</t>
        </is>
      </c>
      <c r="I47" s="4" t="inlineStr">
        <is>
          <t>CORE</t>
        </is>
      </c>
      <c r="J47" s="4" t="inlineStr">
        <is>
          <t>原則適用。案件スコープ・成果物・規制・リスク上非該当の場合はN/A根拠を記録。</t>
        </is>
      </c>
      <c r="K47" s="4" t="inlineStr">
        <is>
          <t>SRC-PRACTICE</t>
        </is>
      </c>
      <c r="L47" s="4" t="inlineStr"/>
      <c r="M47" s="4" t="n"/>
      <c r="N47" s="4" t="n"/>
      <c r="O47" s="4" t="n"/>
      <c r="P47" s="4" t="n"/>
      <c r="Q47" s="4" t="n"/>
      <c r="R47" s="4" t="n"/>
      <c r="S47" s="4" t="n"/>
      <c r="T47" s="4" t="n"/>
      <c r="U47" s="4" t="n"/>
      <c r="V47" s="4" t="n"/>
      <c r="W47" s="4" t="n"/>
    </row>
    <row r="48">
      <c r="A48" s="5" t="inlineStr">
        <is>
          <t>MGT-064</t>
        </is>
      </c>
      <c r="B48" s="5" t="inlineStr">
        <is>
          <t>SWEBOK</t>
        </is>
      </c>
      <c r="C48" s="4" t="inlineStr">
        <is>
          <t>7. リスクマネジメント(リスク登録簿)</t>
        </is>
      </c>
      <c r="D48" s="9" t="inlineStr">
        <is>
          <t>High</t>
        </is>
      </c>
      <c r="E48" s="4" t="inlineStr">
        <is>
          <t>リスクのトリガー条件(顕在化の兆候)が定義されている</t>
        </is>
      </c>
      <c r="F48" s="4" t="inlineStr">
        <is>
          <t>優先度上位のリスク(スコア上位またはCritical/High相当)すべてにトリガー条件が記載されている</t>
        </is>
      </c>
      <c r="G48" s="4" t="inlineStr">
        <is>
          <t>トリガー条件がないと顕在化に気づくのが被害発生後になる。兆候を事前定義することで、対応計画を発動する客観的なタイミングを得る。</t>
        </is>
      </c>
      <c r="H48" s="4" t="inlineStr">
        <is>
          <t>swebok-v4a.pdf ch09 SE Management &gt; 3.4 Monitor Process(しきい値超過による例外識別)+ 実務補完(PMBOK リスクトリガー)</t>
        </is>
      </c>
      <c r="I48" s="4" t="inlineStr">
        <is>
          <t>CORE</t>
        </is>
      </c>
      <c r="J48" s="4" t="inlineStr">
        <is>
          <t>原則適用。案件スコープ・成果物・規制・リスク上非該当の場合はN/A根拠を記録。</t>
        </is>
      </c>
      <c r="K48" s="4" t="inlineStr">
        <is>
          <t>SRC-SWEBOK-V4A;SRC-PRACTICE</t>
        </is>
      </c>
      <c r="L48" s="4" t="inlineStr"/>
      <c r="M48" s="4" t="n"/>
      <c r="N48" s="4" t="n"/>
      <c r="O48" s="4" t="n"/>
      <c r="P48" s="4" t="n"/>
      <c r="Q48" s="4" t="n"/>
      <c r="R48" s="4" t="n"/>
      <c r="S48" s="4" t="n"/>
      <c r="T48" s="4" t="n"/>
      <c r="U48" s="4" t="n"/>
      <c r="V48" s="4" t="n"/>
      <c r="W48" s="4" t="n"/>
    </row>
    <row r="49">
      <c r="A49" s="5" t="inlineStr">
        <is>
          <t>MGT-065</t>
        </is>
      </c>
      <c r="B49" s="5" t="inlineStr">
        <is>
          <t>SWEBOK</t>
        </is>
      </c>
      <c r="C49" s="4" t="inlineStr">
        <is>
          <t>7. リスクマネジメント(リスク登録簿)</t>
        </is>
      </c>
      <c r="D49" s="9" t="inlineStr">
        <is>
          <t>High</t>
        </is>
      </c>
      <c r="E49" s="4" t="inlineStr">
        <is>
          <t>リスクと課題(顕在化済みの問題)が区別して管理されている</t>
        </is>
      </c>
      <c r="F49" s="4" t="inlineStr">
        <is>
          <t>リスク登録簿と課題管理が別リストまたは状態区分で分離されている</t>
        </is>
      </c>
      <c r="G49" s="4" t="inlineStr">
        <is>
          <t>顕在化済みの課題を「リスク」のまま管理すると、確率評価が無意味になるうえ即時対応が必要な問題が確率順の待ち行列に埋もれる。</t>
        </is>
      </c>
      <c r="H49" s="4" t="inlineStr">
        <is>
          <t>実務補完(PMBOK リスク/課題管理の分離。2.5 のリスク定義に基づく区別)</t>
        </is>
      </c>
      <c r="I49" s="4" t="inlineStr">
        <is>
          <t>CORE</t>
        </is>
      </c>
      <c r="J49" s="4" t="inlineStr">
        <is>
          <t>原則適用。案件スコープ・成果物・規制・リスク上非該当の場合はN/A根拠を記録。</t>
        </is>
      </c>
      <c r="K49" s="4" t="inlineStr">
        <is>
          <t>SRC-PRACTICE</t>
        </is>
      </c>
      <c r="L49" s="4" t="inlineStr"/>
      <c r="M49" s="4" t="n"/>
      <c r="N49" s="4" t="n"/>
      <c r="O49" s="4" t="n"/>
      <c r="P49" s="4" t="n"/>
      <c r="Q49" s="4" t="n"/>
      <c r="R49" s="4" t="n"/>
      <c r="S49" s="4" t="n"/>
      <c r="T49" s="4" t="n"/>
      <c r="U49" s="4" t="n"/>
      <c r="V49" s="4" t="n"/>
      <c r="W49" s="4" t="n"/>
    </row>
    <row r="50">
      <c r="A50" s="5" t="inlineStr">
        <is>
          <t>MGT-066</t>
        </is>
      </c>
      <c r="B50" s="5" t="inlineStr">
        <is>
          <t>SWEBOK</t>
        </is>
      </c>
      <c r="C50" s="4" t="inlineStr">
        <is>
          <t>7. リスクマネジメント(リスク登録簿)</t>
        </is>
      </c>
      <c r="D50" s="9" t="inlineStr">
        <is>
          <t>High</t>
        </is>
      </c>
      <c r="E50" s="4" t="inlineStr">
        <is>
          <t>リスク登録簿の見直しが定期的に行われている</t>
        </is>
      </c>
      <c r="F50" s="4" t="inlineStr">
        <is>
          <t>最終見直し日が記録され、進捗報告の周期と同等以下の間隔で更新されている(新規計画時は見直し周期の定義があること)</t>
        </is>
      </c>
      <c r="G50" s="4" t="inlineStr">
        <is>
          <t>リスクは開始時だけでなく周期的に見直すべきもので、更新が止まった登録簿は環境変化で生じた新リスクを拾えず、監査用の形骸文書になる。</t>
        </is>
      </c>
      <c r="H50" s="4" t="inlineStr">
        <is>
          <t>swebok-v4a.pdf ch09 SE Management &gt; 2.5 Risk Management(プロジェクトライフサイクル全体での定期的実施)/ 3.4 Monitor Process(リスクプロファイルの再評価)</t>
        </is>
      </c>
      <c r="I50" s="4" t="inlineStr">
        <is>
          <t>CORE</t>
        </is>
      </c>
      <c r="J50" s="4" t="inlineStr">
        <is>
          <t>原則適用。案件スコープ・成果物・規制・リスク上非該当の場合はN/A根拠を記録。</t>
        </is>
      </c>
      <c r="K50" s="4" t="inlineStr">
        <is>
          <t>SRC-SWEBOK-V4A</t>
        </is>
      </c>
      <c r="L50" s="4" t="inlineStr"/>
      <c r="M50" s="4" t="n"/>
      <c r="N50" s="4" t="n"/>
      <c r="O50" s="4" t="n"/>
      <c r="P50" s="4" t="n"/>
      <c r="Q50" s="4" t="n"/>
      <c r="R50" s="4" t="n"/>
      <c r="S50" s="4" t="n"/>
      <c r="T50" s="4" t="n"/>
      <c r="U50" s="4" t="n"/>
      <c r="V50" s="4" t="n"/>
      <c r="W50" s="4" t="n"/>
    </row>
    <row r="51">
      <c r="A51" s="5" t="inlineStr">
        <is>
          <t>MGT-067</t>
        </is>
      </c>
      <c r="B51" s="5" t="inlineStr">
        <is>
          <t>SWEBOK</t>
        </is>
      </c>
      <c r="C51" s="4" t="inlineStr">
        <is>
          <t>7. リスクマネジメント(リスク登録簿)</t>
        </is>
      </c>
      <c r="D51" s="10" t="inlineStr">
        <is>
          <t>Medium</t>
        </is>
      </c>
      <c r="E51" s="4" t="inlineStr">
        <is>
          <t>不確実性(情報不足)への対応が識別されている</t>
        </is>
      </c>
      <c r="F51" s="4" t="inlineStr">
        <is>
          <t>情報不足に起因する項目に対し、調査・プロトタイプ・スパイク等の情報獲得アクションが計画されている</t>
        </is>
      </c>
      <c r="G51" s="4" t="inlineStr">
        <is>
          <t>情報不足由来の不確実性は確率評価そのものができない。調査・スパイク等で情報を獲得しない限り、見積りも判断も当て推量のままになる。</t>
        </is>
      </c>
      <c r="H51" s="4" t="inlineStr">
        <is>
          <t>swebok-v4a.pdf ch09 SE Management &gt; 2.5 Risk Management(不確実性=情報の欠如、リスクとの区別)</t>
        </is>
      </c>
      <c r="I51" s="4" t="inlineStr">
        <is>
          <t>CORE</t>
        </is>
      </c>
      <c r="J51" s="4" t="inlineStr">
        <is>
          <t>原則適用。案件スコープ・成果物・規制・リスク上非該当の場合はN/A根拠を記録。</t>
        </is>
      </c>
      <c r="K51" s="4" t="inlineStr">
        <is>
          <t>SRC-SWEBOK-V4A</t>
        </is>
      </c>
      <c r="L51" s="4" t="inlineStr"/>
      <c r="M51" s="4" t="n"/>
      <c r="N51" s="4" t="n"/>
      <c r="O51" s="4" t="n"/>
      <c r="P51" s="4" t="n"/>
      <c r="Q51" s="4" t="n"/>
      <c r="R51" s="4" t="n"/>
      <c r="S51" s="4" t="n"/>
      <c r="T51" s="4" t="n"/>
      <c r="U51" s="4" t="n"/>
      <c r="V51" s="4" t="n"/>
      <c r="W51" s="4" t="n"/>
    </row>
    <row r="52">
      <c r="A52" s="5" t="inlineStr">
        <is>
          <t>MGT-068</t>
        </is>
      </c>
      <c r="B52" s="5" t="inlineStr">
        <is>
          <t>SWEBOK</t>
        </is>
      </c>
      <c r="C52" s="4" t="inlineStr">
        <is>
          <t>7. リスクマネジメント(リスク登録簿)</t>
        </is>
      </c>
      <c r="D52" s="10" t="inlineStr">
        <is>
          <t>Medium</t>
        </is>
      </c>
      <c r="E52" s="4" t="inlineStr">
        <is>
          <t>定量的リスク分析の要否が判断されている</t>
        </is>
      </c>
      <c r="F52" s="4" t="inlineStr">
        <is>
          <t>大規模・高リスク案件でモンテカルロシミュレーション等の定量分析の実施有無と判断理由が記録されている(小規模案件は「不要」の判断記録で可)</t>
        </is>
      </c>
      <c r="G52" s="4" t="inlineStr">
        <is>
          <t>大規模・高リスク案件で定性評価のみだと、スケジュール達成確率等を根拠を持って経営層に示せず、楽観的コミットが独り歩きする。</t>
        </is>
      </c>
      <c r="H52" s="4" t="inlineStr">
        <is>
          <t>swebok-v4a.pdf ch09 SE Management &gt; 2.5 Risk Management(意思決定木・プロセスシミュレーション)/ 7. リスクマネジメントツール(モンテカルロシミュレーション)</t>
        </is>
      </c>
      <c r="I52" s="4" t="inlineStr">
        <is>
          <t>CORE</t>
        </is>
      </c>
      <c r="J52" s="4" t="inlineStr">
        <is>
          <t>原則適用。案件スコープ・成果物・規制・リスク上非該当の場合はN/A根拠を記録。</t>
        </is>
      </c>
      <c r="K52" s="4" t="inlineStr">
        <is>
          <t>SRC-SWEBOK-V4A</t>
        </is>
      </c>
      <c r="L52" s="4" t="inlineStr"/>
      <c r="M52" s="4" t="n"/>
      <c r="N52" s="4" t="n"/>
      <c r="O52" s="4" t="n"/>
      <c r="P52" s="4" t="n"/>
      <c r="Q52" s="4" t="n"/>
      <c r="R52" s="4" t="n"/>
      <c r="S52" s="4" t="n"/>
      <c r="T52" s="4" t="n"/>
      <c r="U52" s="4" t="n"/>
      <c r="V52" s="4" t="n"/>
      <c r="W52" s="4" t="n"/>
    </row>
    <row r="53">
      <c r="A53" s="5" t="inlineStr">
        <is>
          <t>MGT-069</t>
        </is>
      </c>
      <c r="B53" s="5" t="inlineStr">
        <is>
          <t>SWEBOK</t>
        </is>
      </c>
      <c r="C53" s="4" t="inlineStr">
        <is>
          <t>7. リスクマネジメント(リスク登録簿)</t>
        </is>
      </c>
      <c r="D53" s="10" t="inlineStr">
        <is>
          <t>Medium</t>
        </is>
      </c>
      <c r="E53" s="4" t="inlineStr">
        <is>
          <t>受容したリスクにコンティンジェンシー(発生時対応)が定義されている</t>
        </is>
      </c>
      <c r="F53" s="4" t="inlineStr">
        <is>
          <t>受容戦略のリスクのうち影響度が高いものに発生時の対応方針が記載されている</t>
        </is>
      </c>
      <c r="G53" s="4" t="inlineStr">
        <is>
          <t>受容と決めたリスクでも影響が大きいものは、発生時対応を事前に決めておかないと、顕在化した瞬間にゼロから対応を組み立てる混乱が起きる。</t>
        </is>
      </c>
      <c r="H53" s="4" t="inlineStr">
        <is>
          <t>実務補完(PMBOK コンティンジェンシー計画)</t>
        </is>
      </c>
      <c r="I53" s="4" t="inlineStr">
        <is>
          <t>CORE</t>
        </is>
      </c>
      <c r="J53" s="4" t="inlineStr">
        <is>
          <t>原則適用。案件スコープ・成果物・規制・リスク上非該当の場合はN/A根拠を記録。</t>
        </is>
      </c>
      <c r="K53" s="4" t="inlineStr">
        <is>
          <t>SRC-PRACTICE</t>
        </is>
      </c>
      <c r="L53" s="4" t="inlineStr"/>
      <c r="M53" s="4" t="n"/>
      <c r="N53" s="4" t="n"/>
      <c r="O53" s="4" t="n"/>
      <c r="P53" s="4" t="n"/>
      <c r="Q53" s="4" t="n"/>
      <c r="R53" s="4" t="n"/>
      <c r="S53" s="4" t="n"/>
      <c r="T53" s="4" t="n"/>
      <c r="U53" s="4" t="n"/>
      <c r="V53" s="4" t="n"/>
      <c r="W53" s="4" t="n"/>
    </row>
    <row r="54">
      <c r="A54" s="5" t="inlineStr">
        <is>
          <t>MGT-902</t>
        </is>
      </c>
      <c r="B54" s="5" t="inlineStr">
        <is>
          <t>追加承認</t>
        </is>
      </c>
      <c r="C54" s="4" t="inlineStr">
        <is>
          <t>7. リスクマネジメント(リスク登録簿)</t>
        </is>
      </c>
      <c r="D54" s="11" t="inlineStr">
        <is>
          <t>Low</t>
        </is>
      </c>
      <c r="E54" s="4" t="inlineStr">
        <is>
          <t>脅威だけでなく機会(ポジティブリスク)も識別され、活用/強化等の対応方針が検討されている</t>
        </is>
      </c>
      <c r="F54" s="4" t="inlineStr">
        <is>
          <t>リスク識別の観点に機会が含まれ、識別された機会に対応方針(活用/共有/強化/受容)が記載されている(機会なしの場合は検討した旨の記録で可)</t>
        </is>
      </c>
      <c r="G54" s="4" t="inlineStr">
        <is>
          <t>脅威のみに目を向けると、早期リリースや再利用による工数削減などの好機を組織的に取り逃がし、防御一辺倒の運営になる。</t>
        </is>
      </c>
      <c r="H54" s="4" t="inlineStr">
        <is>
          <t>swebok-v4a.pdf ch09 SE Management &gt; 2.5 Risk Management(機会=ポジティブリスクの扱い)</t>
        </is>
      </c>
      <c r="I54" s="4" t="inlineStr">
        <is>
          <t>CORE</t>
        </is>
      </c>
      <c r="J54" s="4" t="inlineStr">
        <is>
          <t>原則適用。案件スコープ・成果物・規制・リスク上非該当の場合はN/A根拠を記録。</t>
        </is>
      </c>
      <c r="K54" s="4" t="inlineStr">
        <is>
          <t>SRC-SWEBOK-V4A</t>
        </is>
      </c>
      <c r="L54" s="4" t="inlineStr"/>
      <c r="M54" s="4" t="n"/>
      <c r="N54" s="4" t="n"/>
      <c r="O54" s="4" t="n"/>
      <c r="P54" s="4" t="n"/>
      <c r="Q54" s="4" t="n"/>
      <c r="R54" s="4" t="n"/>
      <c r="S54" s="4" t="n"/>
      <c r="T54" s="4" t="n"/>
      <c r="U54" s="4" t="n"/>
      <c r="V54" s="4" t="n"/>
      <c r="W54" s="4" t="n"/>
    </row>
    <row r="55">
      <c r="A55" s="5" t="inlineStr">
        <is>
          <t>MGT-070</t>
        </is>
      </c>
      <c r="B55" s="5" t="inlineStr">
        <is>
          <t>SWEBOK</t>
        </is>
      </c>
      <c r="C55" s="4" t="inlineStr">
        <is>
          <t>8. 品質マネジメント計画</t>
        </is>
      </c>
      <c r="D55" s="8" t="inlineStr">
        <is>
          <t>Critical</t>
        </is>
      </c>
      <c r="E55" s="4" t="inlineStr">
        <is>
          <t>プロジェクトで重視する品質属性が識別されている</t>
        </is>
      </c>
      <c r="F55" s="4" t="inlineStr">
        <is>
          <t>安全性・セキュリティ・信頼性・可用性・性能・使用性・保守性等から本プロジェクトの重点属性が選定され、理由が記載されている</t>
        </is>
      </c>
      <c r="G55" s="4" t="inlineStr">
        <is>
          <t>全品質属性を同等に扱うことは不可能であり、重点属性を決めないと設計・テストの力点が定まらず、本当に守るべき品質(安全性等)が薄く広い活動に埋没する。</t>
        </is>
      </c>
      <c r="H55" s="4" t="inlineStr">
        <is>
          <t>swebok-v4a.pdf ch09 SE Management &gt; 2.6 Quality Management(品質属性の識別。ISO/IEC 25000系との整合)</t>
        </is>
      </c>
      <c r="I55" s="4" t="inlineStr">
        <is>
          <t>CORE</t>
        </is>
      </c>
      <c r="J55" s="4" t="inlineStr">
        <is>
          <t>原則適用。案件スコープ・成果物・規制・リスク上非該当の場合はN/A根拠を記録。</t>
        </is>
      </c>
      <c r="K55" s="4" t="inlineStr">
        <is>
          <t>SRC-SWEBOK-V4A;SRC-ISO-GENERAL</t>
        </is>
      </c>
      <c r="L55" s="4" t="inlineStr"/>
      <c r="M55" s="4" t="n"/>
      <c r="N55" s="4" t="n"/>
      <c r="O55" s="4" t="n"/>
      <c r="P55" s="4" t="n"/>
      <c r="Q55" s="4" t="n"/>
      <c r="R55" s="4" t="n"/>
      <c r="S55" s="4" t="n"/>
      <c r="T55" s="4" t="n"/>
      <c r="U55" s="4" t="n"/>
      <c r="V55" s="4" t="n"/>
      <c r="W55" s="4" t="n"/>
    </row>
    <row r="56">
      <c r="A56" s="5" t="inlineStr">
        <is>
          <t>MGT-071</t>
        </is>
      </c>
      <c r="B56" s="5" t="inlineStr">
        <is>
          <t>SWEBOK</t>
        </is>
      </c>
      <c r="C56" s="4" t="inlineStr">
        <is>
          <t>8. 品質マネジメント計画</t>
        </is>
      </c>
      <c r="D56" s="9" t="inlineStr">
        <is>
          <t>High</t>
        </is>
      </c>
      <c r="E56" s="4" t="inlineStr">
        <is>
          <t>品質属性にしきい値(目標値・許容限界)が設定されている</t>
        </is>
      </c>
      <c r="F56" s="4" t="inlineStr">
        <is>
          <t>重点品質属性の各々に測定可能な目標値または合否基準が対応づけられている</t>
        </is>
      </c>
      <c r="G56" s="4" t="inlineStr">
        <is>
          <t>しきい値がないと「品質が良い/悪い」が主観になり、リリース可否判定が声の大きさで決まる。受入可能な測定値の基準を事前合意しておく。</t>
        </is>
      </c>
      <c r="H56" s="4" t="inlineStr">
        <is>
          <t>swebok-v4a.pdf ch09 SE Management &gt; 2.6 Quality Management(各品質要求への受入可能なしきい値の設定)</t>
        </is>
      </c>
      <c r="I56" s="4" t="inlineStr">
        <is>
          <t>CORE</t>
        </is>
      </c>
      <c r="J56" s="4" t="inlineStr">
        <is>
          <t>原則適用。案件スコープ・成果物・規制・リスク上非該当の場合はN/A根拠を記録。</t>
        </is>
      </c>
      <c r="K56" s="4" t="inlineStr">
        <is>
          <t>SRC-SWEBOK-V4A</t>
        </is>
      </c>
      <c r="L56" s="4" t="inlineStr"/>
      <c r="M56" s="4" t="n"/>
      <c r="N56" s="4" t="n"/>
      <c r="O56" s="4" t="n"/>
      <c r="P56" s="4" t="n"/>
      <c r="Q56" s="4" t="n"/>
      <c r="R56" s="4" t="n"/>
      <c r="S56" s="4" t="n"/>
      <c r="T56" s="4" t="n"/>
      <c r="U56" s="4" t="n"/>
      <c r="V56" s="4" t="n"/>
      <c r="W56" s="4" t="n"/>
    </row>
    <row r="57">
      <c r="A57" s="5" t="inlineStr">
        <is>
          <t>MGT-072</t>
        </is>
      </c>
      <c r="B57" s="5" t="inlineStr">
        <is>
          <t>SWEBOK</t>
        </is>
      </c>
      <c r="C57" s="4" t="inlineStr">
        <is>
          <t>8. 品質マネジメント計画</t>
        </is>
      </c>
      <c r="D57" s="9" t="inlineStr">
        <is>
          <t>High</t>
        </is>
      </c>
      <c r="E57" s="4" t="inlineStr">
        <is>
          <t>品質保証活動(レビュー・テスト等)が計画に組み込まれている</t>
        </is>
      </c>
      <c r="F57" s="4" t="inlineStr">
        <is>
          <t>レビュー/テストの実施タイミングがスケジュールまたはプロセス定義上に位置づけられている</t>
        </is>
      </c>
      <c r="G57" s="4" t="inlineStr">
        <is>
          <t>SQA・V&amp;V・レビューが計画に位置づけられていないと、スケジュール圧迫時に真っ先に削られ、欠陥の検出が本番障害まで先送りされる。</t>
        </is>
      </c>
      <c r="H57" s="4" t="inlineStr">
        <is>
          <t>swebok-v4a.pdf ch09 SE Management &gt; 2.6 Quality Management(SQA・検証妥当性確認・レビューの手続を品質計画で規定)/ 2. 計画(SQAの手続と責任の確立)</t>
        </is>
      </c>
      <c r="I57" s="4" t="inlineStr">
        <is>
          <t>CORE</t>
        </is>
      </c>
      <c r="J57" s="4" t="inlineStr">
        <is>
          <t>原則適用。案件スコープ・成果物・規制・リスク上非該当の場合はN/A根拠を記録。</t>
        </is>
      </c>
      <c r="K57" s="4" t="inlineStr">
        <is>
          <t>SRC-SWEBOK-V4A</t>
        </is>
      </c>
      <c r="L57" s="4" t="inlineStr"/>
      <c r="M57" s="4" t="n"/>
      <c r="N57" s="4" t="n"/>
      <c r="O57" s="4" t="n"/>
      <c r="P57" s="4" t="n"/>
      <c r="Q57" s="4" t="n"/>
      <c r="R57" s="4" t="n"/>
      <c r="S57" s="4" t="n"/>
      <c r="T57" s="4" t="n"/>
      <c r="U57" s="4" t="n"/>
      <c r="V57" s="4" t="n"/>
      <c r="W57" s="4" t="n"/>
    </row>
    <row r="58">
      <c r="A58" s="5" t="inlineStr">
        <is>
          <t>MGT-073</t>
        </is>
      </c>
      <c r="B58" s="5" t="inlineStr">
        <is>
          <t>SWEBOK</t>
        </is>
      </c>
      <c r="C58" s="4" t="inlineStr">
        <is>
          <t>8. 品質マネジメント計画</t>
        </is>
      </c>
      <c r="D58" s="10" t="inlineStr">
        <is>
          <t>Medium</t>
        </is>
      </c>
      <c r="E58" s="4" t="inlineStr">
        <is>
          <t>品質と納期・コストのトレードオフ発生時の判断手順が定義されている</t>
        </is>
      </c>
      <c r="F58" s="4" t="inlineStr">
        <is>
          <t>品質基準を満たせない場合のエスカレーション先・判断権限者が記載されている</t>
        </is>
      </c>
      <c r="G58" s="4" t="inlineStr">
        <is>
          <t>品質と納期のトレードオフは必ず発生する。判断権限者を決めておかないと、現場の暗黙判断で品質基準がなし崩しに緩められる。</t>
        </is>
      </c>
      <c r="H58" s="4" t="inlineStr">
        <is>
          <t>swebok-v4a.pdf ch09 SE Management &gt; 3.5 Control Process(監視結果に基づく是正・計画変更の意思決定)+ 実務補完(品質ゲート運用)</t>
        </is>
      </c>
      <c r="I58" s="4" t="inlineStr">
        <is>
          <t>CORE</t>
        </is>
      </c>
      <c r="J58" s="4" t="inlineStr">
        <is>
          <t>原則適用。案件スコープ・成果物・規制・リスク上非該当の場合はN/A根拠を記録。</t>
        </is>
      </c>
      <c r="K58" s="4" t="inlineStr">
        <is>
          <t>SRC-SWEBOK-V4A;SRC-PRACTICE</t>
        </is>
      </c>
      <c r="L58" s="4" t="inlineStr">
        <is>
          <t>COST</t>
        </is>
      </c>
      <c r="M58" s="4" t="n"/>
      <c r="N58" s="4" t="n"/>
      <c r="O58" s="4" t="n"/>
      <c r="P58" s="4" t="n"/>
      <c r="Q58" s="4" t="n"/>
      <c r="R58" s="4" t="n"/>
      <c r="S58" s="4" t="n"/>
      <c r="T58" s="4" t="n"/>
      <c r="U58" s="4" t="n"/>
      <c r="V58" s="4" t="n"/>
      <c r="W58" s="4" t="n"/>
    </row>
    <row r="59">
      <c r="A59" s="5" t="inlineStr">
        <is>
          <t>MGT-080</t>
        </is>
      </c>
      <c r="B59" s="5" t="inlineStr">
        <is>
          <t>SWEBOK</t>
        </is>
      </c>
      <c r="C59" s="4" t="inlineStr">
        <is>
          <t>9. ステークホルダー管理・コミュニケーション</t>
        </is>
      </c>
      <c r="D59" s="8" t="inlineStr">
        <is>
          <t>Critical</t>
        </is>
      </c>
      <c r="E59" s="4" t="inlineStr">
        <is>
          <t>ステークホルダーが識別され一覧化されている</t>
        </is>
      </c>
      <c r="F59" s="4" t="inlineStr">
        <is>
          <t>顧客・利用者・スポンサー・供給者・運用部門等の関係者一覧が存在し、各々の役割・関心事が記載されている</t>
        </is>
      </c>
      <c r="G59" s="4" t="inlineStr">
        <is>
          <t>ステークホルダーの識別漏れは、終盤での「聞いていない」という差し戻しや、運用部門・顧客の要求の丸ごと欠落として跳ね返る。</t>
        </is>
      </c>
      <c r="H59" s="4" t="inlineStr">
        <is>
          <t>swebok-v4a.pdf ch09 SE Management &gt; 1.1 Determination and Negotiation of Requirements(各ステークホルダー視点の考慮)+ 実務補完(PMBOK ステークホルダーマネジメント)</t>
        </is>
      </c>
      <c r="I59" s="4" t="inlineStr">
        <is>
          <t>CORE</t>
        </is>
      </c>
      <c r="J59" s="4" t="inlineStr">
        <is>
          <t>原則適用。案件スコープ・成果物・規制・リスク上非該当の場合はN/A根拠を記録。</t>
        </is>
      </c>
      <c r="K59" s="4" t="inlineStr">
        <is>
          <t>SRC-SWEBOK-V4A;SRC-PRACTICE</t>
        </is>
      </c>
      <c r="L59" s="4" t="inlineStr"/>
      <c r="M59" s="4" t="n"/>
      <c r="N59" s="4" t="n"/>
      <c r="O59" s="4" t="n"/>
      <c r="P59" s="4" t="n"/>
      <c r="Q59" s="4" t="n"/>
      <c r="R59" s="4" t="n"/>
      <c r="S59" s="4" t="n"/>
      <c r="T59" s="4" t="n"/>
      <c r="U59" s="4" t="n"/>
      <c r="V59" s="4" t="n"/>
      <c r="W59" s="4" t="n"/>
    </row>
    <row r="60">
      <c r="A60" s="5" t="inlineStr">
        <is>
          <t>MGT-081</t>
        </is>
      </c>
      <c r="B60" s="5" t="inlineStr">
        <is>
          <t>SWEBOK</t>
        </is>
      </c>
      <c r="C60" s="4" t="inlineStr">
        <is>
          <t>9. ステークホルダー管理・コミュニケーション</t>
        </is>
      </c>
      <c r="D60" s="9" t="inlineStr">
        <is>
          <t>High</t>
        </is>
      </c>
      <c r="E60" s="4" t="inlineStr">
        <is>
          <t>ステークホルダーの影響度・関与度が評価されている</t>
        </is>
      </c>
      <c r="F60" s="4" t="inlineStr">
        <is>
          <t>各ステークホルダーに影響度と関与度(または優先度)の評価が付されている</t>
        </is>
      </c>
      <c r="G60" s="4" t="inlineStr">
        <is>
          <t>影響度・関与度を評価しないと、決定権を持つ人への働きかけが不足したまま、影響力の小さい相手との調整に工数を費やす配分ミスが起きる。</t>
        </is>
      </c>
      <c r="H60" s="4" t="inlineStr">
        <is>
          <t>実務補完(PMBOK ステークホルダー分析)</t>
        </is>
      </c>
      <c r="I60" s="4" t="inlineStr">
        <is>
          <t>CORE</t>
        </is>
      </c>
      <c r="J60" s="4" t="inlineStr">
        <is>
          <t>原則適用。案件スコープ・成果物・規制・リスク上非該当の場合はN/A根拠を記録。</t>
        </is>
      </c>
      <c r="K60" s="4" t="inlineStr">
        <is>
          <t>SRC-PRACTICE</t>
        </is>
      </c>
      <c r="L60" s="4" t="inlineStr"/>
      <c r="M60" s="4" t="n"/>
      <c r="N60" s="4" t="n"/>
      <c r="O60" s="4" t="n"/>
      <c r="P60" s="4" t="n"/>
      <c r="Q60" s="4" t="n"/>
      <c r="R60" s="4" t="n"/>
      <c r="S60" s="4" t="n"/>
      <c r="T60" s="4" t="n"/>
      <c r="U60" s="4" t="n"/>
      <c r="V60" s="4" t="n"/>
      <c r="W60" s="4" t="n"/>
    </row>
    <row r="61">
      <c r="A61" s="5" t="inlineStr">
        <is>
          <t>MGT-082</t>
        </is>
      </c>
      <c r="B61" s="5" t="inlineStr">
        <is>
          <t>SWEBOK</t>
        </is>
      </c>
      <c r="C61" s="4" t="inlineStr">
        <is>
          <t>9. ステークホルダー管理・コミュニケーション</t>
        </is>
      </c>
      <c r="D61" s="9" t="inlineStr">
        <is>
          <t>High</t>
        </is>
      </c>
      <c r="E61" s="4" t="inlineStr">
        <is>
          <t>コミュニケーション計画(誰に・何を・いつ・どの手段で)が定義されている</t>
        </is>
      </c>
      <c r="F61" s="4" t="inlineStr">
        <is>
          <t>報告・会議体の一覧に宛先・内容・頻度・手段の4要素がすべて記載されている</t>
        </is>
      </c>
      <c r="G61" s="4" t="inlineStr">
        <is>
          <t>報告の宛先・内容・頻度・手段が決まっていないと、必要な人に必要な情報が届かず、問題の共有遅れと「知らされていなかった」ことによる信頼失墜を招く。</t>
        </is>
      </c>
      <c r="H61" s="4" t="inlineStr">
        <is>
          <t>swebok-v4a.pdf ch09 SE Management &gt; 3.6 Reporting(合意された時期に、対象読者の情報ニーズに合わせて報告)</t>
        </is>
      </c>
      <c r="I61" s="4" t="inlineStr">
        <is>
          <t>CORE</t>
        </is>
      </c>
      <c r="J61" s="4" t="inlineStr">
        <is>
          <t>原則適用。案件スコープ・成果物・規制・リスク上非該当の場合はN/A根拠を記録。</t>
        </is>
      </c>
      <c r="K61" s="4" t="inlineStr">
        <is>
          <t>SRC-SWEBOK-V4A</t>
        </is>
      </c>
      <c r="L61" s="4" t="inlineStr"/>
      <c r="M61" s="4" t="n"/>
      <c r="N61" s="4" t="n"/>
      <c r="O61" s="4" t="n"/>
      <c r="P61" s="4" t="n"/>
      <c r="Q61" s="4" t="n"/>
      <c r="R61" s="4" t="n"/>
      <c r="S61" s="4" t="n"/>
      <c r="T61" s="4" t="n"/>
      <c r="U61" s="4" t="n"/>
      <c r="V61" s="4" t="n"/>
      <c r="W61" s="4" t="n"/>
    </row>
    <row r="62">
      <c r="A62" s="5" t="inlineStr">
        <is>
          <t>MGT-083</t>
        </is>
      </c>
      <c r="B62" s="5" t="inlineStr">
        <is>
          <t>SWEBOK</t>
        </is>
      </c>
      <c r="C62" s="4" t="inlineStr">
        <is>
          <t>9. ステークホルダー管理・コミュニケーション</t>
        </is>
      </c>
      <c r="D62" s="10" t="inlineStr">
        <is>
          <t>Medium</t>
        </is>
      </c>
      <c r="E62" s="4" t="inlineStr">
        <is>
          <t>エスカレーション基準と経路が定義されている</t>
        </is>
      </c>
      <c r="F62" s="4" t="inlineStr">
        <is>
          <t>どの事象(乖離しきい値超過、重大リスク顕在化等)を誰にいつまでに報告するかが記載されている</t>
        </is>
      </c>
      <c r="G62" s="4" t="inlineStr">
        <is>
          <t>エスカレーション基準がないと、現場が問題を抱え込んで報告が遅れ、上位者が対処できる時期を過ぎてから重大問題が露見する。</t>
        </is>
      </c>
      <c r="H62" s="4" t="inlineStr">
        <is>
          <t>swebok-v4a.pdf ch09 SE Management &gt; 3.4 Monitor Process(しきい値超過時の報告)+ 実務補完(エスカレーションルール)</t>
        </is>
      </c>
      <c r="I62" s="4" t="inlineStr">
        <is>
          <t>CORE</t>
        </is>
      </c>
      <c r="J62" s="4" t="inlineStr">
        <is>
          <t>原則適用。案件スコープ・成果物・規制・リスク上非該当の場合はN/A根拠を記録。</t>
        </is>
      </c>
      <c r="K62" s="4" t="inlineStr">
        <is>
          <t>SRC-SWEBOK-V4A;SRC-PRACTICE</t>
        </is>
      </c>
      <c r="L62" s="4" t="inlineStr"/>
      <c r="M62" s="4" t="n"/>
      <c r="N62" s="4" t="n"/>
      <c r="O62" s="4" t="n"/>
      <c r="P62" s="4" t="n"/>
      <c r="Q62" s="4" t="n"/>
      <c r="R62" s="4" t="n"/>
      <c r="S62" s="4" t="n"/>
      <c r="T62" s="4" t="n"/>
      <c r="U62" s="4" t="n"/>
      <c r="V62" s="4" t="n"/>
      <c r="W62" s="4" t="n"/>
    </row>
    <row r="63">
      <c r="A63" s="5" t="inlineStr">
        <is>
          <t>MGT-084</t>
        </is>
      </c>
      <c r="B63" s="5" t="inlineStr">
        <is>
          <t>SWEBOK</t>
        </is>
      </c>
      <c r="C63" s="4" t="inlineStr">
        <is>
          <t>9. ステークホルダー管理・コミュニケーション</t>
        </is>
      </c>
      <c r="D63" s="10" t="inlineStr">
        <is>
          <t>Medium</t>
        </is>
      </c>
      <c r="E63" s="4" t="inlineStr">
        <is>
          <t>意思決定の権限と記録方法が定義されている</t>
        </is>
      </c>
      <c r="F63" s="4" t="inlineStr">
        <is>
          <t>承認事項ごとの決定権限者と、決定の記録場所(議事録・決定ログ等)が定められている</t>
        </is>
      </c>
      <c r="G63" s="4" t="inlineStr">
        <is>
          <t>決定権限と記録方法が不明だと、決定が蒸し返されて同じ議論を繰り返し、後から「そんな決定は聞いていない」という紛争の火種になる。</t>
        </is>
      </c>
      <c r="H63" s="4" t="inlineStr">
        <is>
          <t>swebok-v4a.pdf ch09 SE Management &gt; 3.5 Control Process(決定の文書化と関係者への伝達)</t>
        </is>
      </c>
      <c r="I63" s="4" t="inlineStr">
        <is>
          <t>CORE</t>
        </is>
      </c>
      <c r="J63" s="4" t="inlineStr">
        <is>
          <t>原則適用。案件スコープ・成果物・規制・リスク上非該当の場合はN/A根拠を記録。</t>
        </is>
      </c>
      <c r="K63" s="4" t="inlineStr">
        <is>
          <t>SRC-SWEBOK-V4A</t>
        </is>
      </c>
      <c r="L63" s="4" t="inlineStr"/>
      <c r="M63" s="4" t="n"/>
      <c r="N63" s="4" t="n"/>
      <c r="O63" s="4" t="n"/>
      <c r="P63" s="4" t="n"/>
      <c r="Q63" s="4" t="n"/>
      <c r="R63" s="4" t="n"/>
      <c r="S63" s="4" t="n"/>
      <c r="T63" s="4" t="n"/>
      <c r="U63" s="4" t="n"/>
      <c r="V63" s="4" t="n"/>
      <c r="W63" s="4" t="n"/>
    </row>
    <row r="64">
      <c r="A64" s="5" t="inlineStr">
        <is>
          <t>MGT-090</t>
        </is>
      </c>
      <c r="B64" s="5" t="inlineStr">
        <is>
          <t>SWEBOK</t>
        </is>
      </c>
      <c r="C64" s="4" t="inlineStr">
        <is>
          <t>10. 実行・監視・統制(進捗報告)</t>
        </is>
      </c>
      <c r="D64" s="8" t="inlineStr">
        <is>
          <t>Critical</t>
        </is>
      </c>
      <c r="E64" s="4" t="inlineStr">
        <is>
          <t>進捗が計画との比較(乖離)で定量的に報告されている</t>
        </is>
      </c>
      <c r="F64" s="4" t="inlineStr">
        <is>
          <t>スケジュール・工数(またはコスト)の計画値と実績値の比較が数値で示されている(EVMを使う場合は SPI/CPI 等)</t>
        </is>
      </c>
      <c r="G64" s="4" t="inlineStr">
        <is>
          <t>計画との定量比較がない進捗報告は「順調です」という主観の伝聞になり、遅延の兆候が数字として現れているのに誰も気づかない状態を生む。</t>
        </is>
      </c>
      <c r="H64" s="4" t="inlineStr">
        <is>
          <t>swebok-v4a.pdf ch09 SE Management &gt; 3.4 Monitor Process(差異分析: コスト超過・スケジュール遅延の分析)</t>
        </is>
      </c>
      <c r="I64" s="4" t="inlineStr">
        <is>
          <t>CORE</t>
        </is>
      </c>
      <c r="J64" s="4" t="inlineStr">
        <is>
          <t>原則適用。案件スコープ・成果物・規制・リスク上非該当の場合はN/A根拠を記録。</t>
        </is>
      </c>
      <c r="K64" s="4" t="inlineStr">
        <is>
          <t>SRC-SWEBOK-V4A</t>
        </is>
      </c>
      <c r="L64" s="4" t="inlineStr">
        <is>
          <t>OPS-OBSERVABILITY</t>
        </is>
      </c>
      <c r="M64" s="4" t="n"/>
      <c r="N64" s="4" t="n"/>
      <c r="O64" s="4" t="n"/>
      <c r="P64" s="4" t="n"/>
      <c r="Q64" s="4" t="n"/>
      <c r="R64" s="4" t="n"/>
      <c r="S64" s="4" t="n"/>
      <c r="T64" s="4" t="n"/>
      <c r="U64" s="4" t="n"/>
      <c r="V64" s="4" t="n"/>
      <c r="W64" s="4" t="n"/>
    </row>
    <row r="65">
      <c r="A65" s="5" t="inlineStr">
        <is>
          <t>MGT-091</t>
        </is>
      </c>
      <c r="B65" s="5" t="inlineStr">
        <is>
          <t>SWEBOK</t>
        </is>
      </c>
      <c r="C65" s="4" t="inlineStr">
        <is>
          <t>10. 実行・監視・統制(進捗報告)</t>
        </is>
      </c>
      <c r="D65" s="8" t="inlineStr">
        <is>
          <t>Critical</t>
        </is>
      </c>
      <c r="E65" s="4" t="inlineStr">
        <is>
          <t>乖離に対するしきい値と、超過時の是正処置が定義・記録されている</t>
        </is>
      </c>
      <c r="F65" s="4" t="inlineStr">
        <is>
          <t>許容乖離の基準が定義され、超過項目には是正処置(内容・責任者・期限)が記録されている</t>
        </is>
      </c>
      <c r="G65" s="4" t="inlineStr">
        <is>
          <t>しきい値と是正処置の仕組みがないと、乖離が報告されても「様子見」が続き、是正のタイミングを逃して乖離が回復不能になる。</t>
        </is>
      </c>
      <c r="H65" s="4" t="inlineStr">
        <is>
          <t>swebok-v4a.pdf ch09 SE Management &gt; 3.4 Monitor Process(しきい値超過に基づく問題検出)/ 3.5 Control Process(是正処置)</t>
        </is>
      </c>
      <c r="I65" s="4" t="inlineStr">
        <is>
          <t>CORE</t>
        </is>
      </c>
      <c r="J65" s="4" t="inlineStr">
        <is>
          <t>原則適用。案件スコープ・成果物・規制・リスク上非該当の場合はN/A根拠を記録。</t>
        </is>
      </c>
      <c r="K65" s="4" t="inlineStr">
        <is>
          <t>SRC-SWEBOK-V4A</t>
        </is>
      </c>
      <c r="L65" s="4" t="inlineStr">
        <is>
          <t>OPS-OBSERVABILITY</t>
        </is>
      </c>
      <c r="M65" s="4" t="n"/>
      <c r="N65" s="4" t="n"/>
      <c r="O65" s="4" t="n"/>
      <c r="P65" s="4" t="n"/>
      <c r="Q65" s="4" t="n"/>
      <c r="R65" s="4" t="n"/>
      <c r="S65" s="4" t="n"/>
      <c r="T65" s="4" t="n"/>
      <c r="U65" s="4" t="n"/>
      <c r="V65" s="4" t="n"/>
      <c r="W65" s="4" t="n"/>
    </row>
    <row r="66">
      <c r="A66" s="5" t="inlineStr">
        <is>
          <t>MGT-092</t>
        </is>
      </c>
      <c r="B66" s="5" t="inlineStr">
        <is>
          <t>SWEBOK</t>
        </is>
      </c>
      <c r="C66" s="4" t="inlineStr">
        <is>
          <t>10. 実行・監視・統制(進捗報告)</t>
        </is>
      </c>
      <c r="D66" s="9" t="inlineStr">
        <is>
          <t>High</t>
        </is>
      </c>
      <c r="E66" s="4" t="inlineStr">
        <is>
          <t>進捗判定が成果物の完了状態に基づいている</t>
        </is>
      </c>
      <c r="F66" s="4" t="inlineStr">
        <is>
          <t>タスクの進捗が完了/未完了または検証可能な中間状態で報告され、根拠のない百分率(「90%完了」)のみの報告になっていない</t>
        </is>
      </c>
      <c r="G66" s="4" t="inlineStr">
        <is>
          <t>根拠のない「90%完了」は残り10%に半分の期間を費やす典型パターンを隠す。成果物の検証可能な完了状態で測ることで進捗の水増しを防ぐ。</t>
        </is>
      </c>
      <c r="H66" s="4" t="inlineStr">
        <is>
          <t>swebok-v4a.pdf ch09 SE Management &gt; 3.4 Monitor Process(成果物の評価: インスペクション・動作デモによる確認)</t>
        </is>
      </c>
      <c r="I66" s="4" t="inlineStr">
        <is>
          <t>CORE</t>
        </is>
      </c>
      <c r="J66" s="4" t="inlineStr">
        <is>
          <t>原則適用。案件スコープ・成果物・規制・リスク上非該当の場合はN/A根拠を記録。</t>
        </is>
      </c>
      <c r="K66" s="4" t="inlineStr">
        <is>
          <t>SRC-SWEBOK-V4A</t>
        </is>
      </c>
      <c r="L66" s="4" t="inlineStr">
        <is>
          <t>OPS-OBSERVABILITY</t>
        </is>
      </c>
      <c r="M66" s="4" t="n"/>
      <c r="N66" s="4" t="n"/>
      <c r="O66" s="4" t="n"/>
      <c r="P66" s="4" t="n"/>
      <c r="Q66" s="4" t="n"/>
      <c r="R66" s="4" t="n"/>
      <c r="S66" s="4" t="n"/>
      <c r="T66" s="4" t="n"/>
      <c r="U66" s="4" t="n"/>
      <c r="V66" s="4" t="n"/>
      <c r="W66" s="4" t="n"/>
    </row>
    <row r="67">
      <c r="A67" s="5" t="inlineStr">
        <is>
          <t>MGT-093</t>
        </is>
      </c>
      <c r="B67" s="5" t="inlineStr">
        <is>
          <t>SWEBOK</t>
        </is>
      </c>
      <c r="C67" s="4" t="inlineStr">
        <is>
          <t>10. 実行・監視・統制(進捗報告)</t>
        </is>
      </c>
      <c r="D67" s="9" t="inlineStr">
        <is>
          <t>High</t>
        </is>
      </c>
      <c r="E67" s="4" t="inlineStr">
        <is>
          <t>リスク・課題の状況変化が進捗報告に含まれている</t>
        </is>
      </c>
      <c r="F67" s="4" t="inlineStr">
        <is>
          <t>新規リスク・状態変化・クローズが報告に反映されている(変化なしの場合はその旨明記)</t>
        </is>
      </c>
      <c r="G67" s="4" t="inlineStr">
        <is>
          <t>進捗報告にリスク・課題の変化が含まれないと、スケジュールは順調でもリスクが悪化している状況を経営層が把握できず、支援判断が遅れる。</t>
        </is>
      </c>
      <c r="H67" s="4" t="inlineStr">
        <is>
          <t>swebok-v4a.pdf ch09 SE Management &gt; 3.4 Monitor Process(リスクプロファイルの再訪とリスクエクスポージャの再計算)</t>
        </is>
      </c>
      <c r="I67" s="4" t="inlineStr">
        <is>
          <t>CORE</t>
        </is>
      </c>
      <c r="J67" s="4" t="inlineStr">
        <is>
          <t>原則適用。案件スコープ・成果物・規制・リスク上非該当の場合はN/A根拠を記録。</t>
        </is>
      </c>
      <c r="K67" s="4" t="inlineStr">
        <is>
          <t>SRC-SWEBOK-V4A</t>
        </is>
      </c>
      <c r="L67" s="4" t="inlineStr">
        <is>
          <t>OPS-OBSERVABILITY</t>
        </is>
      </c>
      <c r="M67" s="4" t="n"/>
      <c r="N67" s="4" t="n"/>
      <c r="O67" s="4" t="n"/>
      <c r="P67" s="4" t="n"/>
      <c r="Q67" s="4" t="n"/>
      <c r="R67" s="4" t="n"/>
      <c r="S67" s="4" t="n"/>
      <c r="T67" s="4" t="n"/>
      <c r="U67" s="4" t="n"/>
      <c r="V67" s="4" t="n"/>
      <c r="W67" s="4" t="n"/>
    </row>
    <row r="68">
      <c r="A68" s="5" t="inlineStr">
        <is>
          <t>MGT-094</t>
        </is>
      </c>
      <c r="B68" s="5" t="inlineStr">
        <is>
          <t>SWEBOK</t>
        </is>
      </c>
      <c r="C68" s="4" t="inlineStr">
        <is>
          <t>10. 実行・監視・統制(進捗報告)</t>
        </is>
      </c>
      <c r="D68" s="9" t="inlineStr">
        <is>
          <t>High</t>
        </is>
      </c>
      <c r="E68" s="4" t="inlineStr">
        <is>
          <t>総合状況(順調/注意/危険)の判定に根拠が付されている</t>
        </is>
      </c>
      <c r="F68" s="4" t="inlineStr">
        <is>
          <t>判定と、その判定に至る事実(乖離値、リスク状況)が対応づけて記載されている</t>
        </is>
      </c>
      <c r="G68" s="4" t="inlineStr">
        <is>
          <t>根拠のない総合判定は担当者の楽観バイアスを素通しにし、「ずっと緑だったのに突然赤になる」ウォーターメロン報告を生む。</t>
        </is>
      </c>
      <c r="H68" s="4" t="inlineStr">
        <is>
          <t>swebok-v4a.pdf ch09 SE Management &gt; 3.6 Reporting + 3.4 Monitor Process(測定データ分析に基づく報告)</t>
        </is>
      </c>
      <c r="I68" s="4" t="inlineStr">
        <is>
          <t>CORE</t>
        </is>
      </c>
      <c r="J68" s="4" t="inlineStr">
        <is>
          <t>原則適用。案件スコープ・成果物・規制・リスク上非該当の場合はN/A根拠を記録。</t>
        </is>
      </c>
      <c r="K68" s="4" t="inlineStr">
        <is>
          <t>SRC-SWEBOK-V4A</t>
        </is>
      </c>
      <c r="L68" s="4" t="inlineStr">
        <is>
          <t>OPS-OBSERVABILITY</t>
        </is>
      </c>
      <c r="M68" s="4" t="n"/>
      <c r="N68" s="4" t="n"/>
      <c r="O68" s="4" t="n"/>
      <c r="P68" s="4" t="n"/>
      <c r="Q68" s="4" t="n"/>
      <c r="R68" s="4" t="n"/>
      <c r="S68" s="4" t="n"/>
      <c r="T68" s="4" t="n"/>
      <c r="U68" s="4" t="n"/>
      <c r="V68" s="4" t="n"/>
      <c r="W68" s="4" t="n"/>
    </row>
    <row r="69">
      <c r="A69" s="5" t="inlineStr">
        <is>
          <t>MGT-095</t>
        </is>
      </c>
      <c r="B69" s="5" t="inlineStr">
        <is>
          <t>SWEBOK</t>
        </is>
      </c>
      <c r="C69" s="4" t="inlineStr">
        <is>
          <t>10. 実行・監視・統制(進捗報告)</t>
        </is>
      </c>
      <c r="D69" s="10" t="inlineStr">
        <is>
          <t>Medium</t>
        </is>
      </c>
      <c r="E69" s="4" t="inlineStr">
        <is>
          <t>意思決定依頼事項・支援要請が明示されている</t>
        </is>
      </c>
      <c r="F69" s="4" t="inlineStr">
        <is>
          <t>報告書に「依頼・相談事項」の区分があり、依頼がない場合も「なし」と明記されている</t>
        </is>
      </c>
      <c r="G69" s="4" t="inlineStr">
        <is>
          <t>依頼・相談事項の区分がないと、現場が上位の支援で解決できる問題を抱え込み、報告が「聞き置くだけ」の儀式になる。</t>
        </is>
      </c>
      <c r="H69" s="4" t="inlineStr">
        <is>
          <t>swebok-v4a.pdf ch09 SE Management &gt; 3.6 Reporting(対象読者の情報ニーズに焦点を当てた報告)+ 実務補完(報告書式)</t>
        </is>
      </c>
      <c r="I69" s="4" t="inlineStr">
        <is>
          <t>CORE</t>
        </is>
      </c>
      <c r="J69" s="4" t="inlineStr">
        <is>
          <t>原則適用。案件スコープ・成果物・規制・リスク上非該当の場合はN/A根拠を記録。</t>
        </is>
      </c>
      <c r="K69" s="4" t="inlineStr">
        <is>
          <t>SRC-SWEBOK-V4A;SRC-PRACTICE</t>
        </is>
      </c>
      <c r="L69" s="4" t="inlineStr">
        <is>
          <t>OPS-OBSERVABILITY</t>
        </is>
      </c>
      <c r="M69" s="4" t="n"/>
      <c r="N69" s="4" t="n"/>
      <c r="O69" s="4" t="n"/>
      <c r="P69" s="4" t="n"/>
      <c r="Q69" s="4" t="n"/>
      <c r="R69" s="4" t="n"/>
      <c r="S69" s="4" t="n"/>
      <c r="T69" s="4" t="n"/>
      <c r="U69" s="4" t="n"/>
      <c r="V69" s="4" t="n"/>
      <c r="W69" s="4" t="n"/>
    </row>
    <row r="70">
      <c r="A70" s="5" t="inlineStr">
        <is>
          <t>MGT-096</t>
        </is>
      </c>
      <c r="B70" s="5" t="inlineStr">
        <is>
          <t>SWEBOK</t>
        </is>
      </c>
      <c r="C70" s="4" t="inlineStr">
        <is>
          <t>10. 実行・監視・統制(進捗報告)</t>
        </is>
      </c>
      <c r="D70" s="10" t="inlineStr">
        <is>
          <t>Medium</t>
        </is>
      </c>
      <c r="E70" s="4" t="inlineStr">
        <is>
          <t>計画改訂が発生した場合、改訂履歴と承認記録が残っている</t>
        </is>
      </c>
      <c r="F70" s="4" t="inlineStr">
        <is>
          <t>ベースライン変更の日付・理由・承認者が版管理または変更履歴に記録されている</t>
        </is>
      </c>
      <c r="G70" s="4" t="inlineStr">
        <is>
          <t>ベースライン変更の記録がないと、予実比較の基準がいつの計画か分からなくなり、無断の計画書き換えによる「常に予定通り」の偽装を許す。</t>
        </is>
      </c>
      <c r="H70" s="4" t="inlineStr">
        <is>
          <t>swebok-v4a.pdf ch09 SE Management &gt; 3.5 Control Process(計画改訂の文書化)/ 2.7 Plan Management</t>
        </is>
      </c>
      <c r="I70" s="4" t="inlineStr">
        <is>
          <t>CORE</t>
        </is>
      </c>
      <c r="J70" s="4" t="inlineStr">
        <is>
          <t>原則適用。案件スコープ・成果物・規制・リスク上非該当の場合はN/A根拠を記録。</t>
        </is>
      </c>
      <c r="K70" s="4" t="inlineStr">
        <is>
          <t>SRC-SWEBOK-V4A</t>
        </is>
      </c>
      <c r="L70" s="4" t="inlineStr">
        <is>
          <t>OPS-OBSERVABILITY</t>
        </is>
      </c>
      <c r="M70" s="4" t="n"/>
      <c r="N70" s="4" t="n"/>
      <c r="O70" s="4" t="n"/>
      <c r="P70" s="4" t="n"/>
      <c r="Q70" s="4" t="n"/>
      <c r="R70" s="4" t="n"/>
      <c r="S70" s="4" t="n"/>
      <c r="T70" s="4" t="n"/>
      <c r="U70" s="4" t="n"/>
      <c r="V70" s="4" t="n"/>
      <c r="W70" s="4" t="n"/>
    </row>
    <row r="71">
      <c r="A71" s="5" t="inlineStr">
        <is>
          <t>MGT-097</t>
        </is>
      </c>
      <c r="B71" s="5" t="inlineStr">
        <is>
          <t>SWEBOK</t>
        </is>
      </c>
      <c r="C71" s="4" t="inlineStr">
        <is>
          <t>10. 実行・監視・統制(進捗報告)</t>
        </is>
      </c>
      <c r="D71" s="10" t="inlineStr">
        <is>
          <t>Medium</t>
        </is>
      </c>
      <c r="E71" s="4" t="inlineStr">
        <is>
          <t>プロジェクト中止・大幅見直しの判断基準が存在する</t>
        </is>
      </c>
      <c r="F71" s="4" t="inlineStr">
        <is>
          <t>継続可否を判断する条件(ビジネスケース不成立、回復不能な乖離等)が計画または統制手順に記載されている</t>
        </is>
      </c>
      <c r="G71" s="4" t="inlineStr">
        <is>
          <t>中止条件を事前に決めていないと、サンクコストに引きずられて失敗案件への投資が続き、撤退判断が政治問題化して損失が拡大する。</t>
        </is>
      </c>
      <c r="H71" s="4" t="inlineStr">
        <is>
          <t>swebok-v4a.pdf ch09 SE Management &gt; 2.5 Risk Management(project abandonment conditions)/ 3.5 Control Process(プロジェクト中止に至る統制)</t>
        </is>
      </c>
      <c r="I71" s="4" t="inlineStr">
        <is>
          <t>CORE</t>
        </is>
      </c>
      <c r="J71" s="4" t="inlineStr">
        <is>
          <t>原則適用。案件スコープ・成果物・規制・リスク上非該当の場合はN/A根拠を記録。</t>
        </is>
      </c>
      <c r="K71" s="4" t="inlineStr">
        <is>
          <t>SRC-SWEBOK-V4A</t>
        </is>
      </c>
      <c r="L71" s="4" t="inlineStr">
        <is>
          <t>OPS-OBSERVABILITY</t>
        </is>
      </c>
      <c r="M71" s="4" t="n"/>
      <c r="N71" s="4" t="n"/>
      <c r="O71" s="4" t="n"/>
      <c r="P71" s="4" t="n"/>
      <c r="Q71" s="4" t="n"/>
      <c r="R71" s="4" t="n"/>
      <c r="S71" s="4" t="n"/>
      <c r="T71" s="4" t="n"/>
      <c r="U71" s="4" t="n"/>
      <c r="V71" s="4" t="n"/>
      <c r="W71" s="4" t="n"/>
    </row>
    <row r="72">
      <c r="A72" s="5" t="inlineStr">
        <is>
          <t>MGT-100</t>
        </is>
      </c>
      <c r="B72" s="5" t="inlineStr">
        <is>
          <t>SWEBOK</t>
        </is>
      </c>
      <c r="C72" s="4" t="inlineStr">
        <is>
          <t>11. 取得・供給者契約管理</t>
        </is>
      </c>
      <c r="D72" s="9" t="inlineStr">
        <is>
          <t>High</t>
        </is>
      </c>
      <c r="E72" s="4" t="inlineStr">
        <is>
          <t>外部取得の区分(COTS/専用開発/OSS/顧客貸与/SaaS)が識別されている</t>
        </is>
      </c>
      <c r="F72" s="4" t="inlineStr">
        <is>
          <t>外部から取得するソフトウェア・サービスの一覧に取得区分が付されている(外部取得なしの場合はその旨明記)</t>
        </is>
      </c>
      <c r="G72" s="4" t="inlineStr">
        <is>
          <t>COTS/OSS/SaaS等は区分ごとにライセンス・サポート・責任構造が異なる。区分を識別しないと、それぞれに必要な管理(ライセンス確認、契約交渉等)が漏れる。</t>
        </is>
      </c>
      <c r="H72" s="4" t="inlineStr">
        <is>
          <t>swebok-v4a.pdf ch09 SE Management &gt; 3.2 Software Acquisition and Supplier Contract Management(取得区分: COTS/専用開発/OSS/顧客貸与/SaaS)</t>
        </is>
      </c>
      <c r="I72" s="4" t="inlineStr">
        <is>
          <t>CORE</t>
        </is>
      </c>
      <c r="J72" s="4" t="inlineStr">
        <is>
          <t>原則適用。案件スコープ・成果物・規制・リスク上非該当の場合はN/A根拠を記録。</t>
        </is>
      </c>
      <c r="K72" s="4" t="inlineStr">
        <is>
          <t>SRC-SWEBOK-V4A</t>
        </is>
      </c>
      <c r="L72" s="4" t="inlineStr"/>
      <c r="M72" s="4" t="n"/>
      <c r="N72" s="4" t="n"/>
      <c r="O72" s="4" t="n"/>
      <c r="P72" s="4" t="n"/>
      <c r="Q72" s="4" t="n"/>
      <c r="R72" s="4" t="n"/>
      <c r="S72" s="4" t="n"/>
      <c r="T72" s="4" t="n"/>
      <c r="U72" s="4" t="n"/>
      <c r="V72" s="4" t="n"/>
      <c r="W72" s="4" t="n"/>
    </row>
    <row r="73">
      <c r="A73" s="5" t="inlineStr">
        <is>
          <t>MGT-101</t>
        </is>
      </c>
      <c r="B73" s="5" t="inlineStr">
        <is>
          <t>SWEBOK</t>
        </is>
      </c>
      <c r="C73" s="4" t="inlineStr">
        <is>
          <t>11. 取得・供給者契約管理</t>
        </is>
      </c>
      <c r="D73" s="9" t="inlineStr">
        <is>
          <t>High</t>
        </is>
      </c>
      <c r="E73" s="4" t="inlineStr">
        <is>
          <t>取得コンポーネントの検証(完全性・正確性・一貫性)と統合・妥当性確認の計画がある</t>
        </is>
      </c>
      <c r="F73" s="4" t="inlineStr">
        <is>
          <t>受入時の検証項目と、統合後の妥当性確認の実施計画が記載されている</t>
        </is>
      </c>
      <c r="G73" s="4" t="inlineStr">
        <is>
          <t>取得物を無検証で組み込むと、要求・アーキテクチャとの不整合が統合後に発覚し、外部due物ゆえに修正交渉も長期化する。受入検証と統合後の妥当性確認で防ぐ。</t>
        </is>
      </c>
      <c r="H73" s="4" t="inlineStr">
        <is>
          <t>swebok-v4a.pdf ch09 SE Management &gt; 3.2 Software Acquisition and Supplier Contract Management(取得コンポーネントの検証・統合・妥当性確認)</t>
        </is>
      </c>
      <c r="I73" s="4" t="inlineStr">
        <is>
          <t>CORE</t>
        </is>
      </c>
      <c r="J73" s="4" t="inlineStr">
        <is>
          <t>原則適用。案件スコープ・成果物・規制・リスク上非該当の場合はN/A根拠を記録。</t>
        </is>
      </c>
      <c r="K73" s="4" t="inlineStr">
        <is>
          <t>SRC-SWEBOK-V4A</t>
        </is>
      </c>
      <c r="L73" s="4" t="inlineStr"/>
      <c r="M73" s="4" t="n"/>
      <c r="N73" s="4" t="n"/>
      <c r="O73" s="4" t="n"/>
      <c r="P73" s="4" t="n"/>
      <c r="Q73" s="4" t="n"/>
      <c r="R73" s="4" t="n"/>
      <c r="S73" s="4" t="n"/>
      <c r="T73" s="4" t="n"/>
      <c r="U73" s="4" t="n"/>
      <c r="V73" s="4" t="n"/>
      <c r="W73" s="4" t="n"/>
    </row>
    <row r="74">
      <c r="A74" s="5" t="inlineStr">
        <is>
          <t>MGT-102</t>
        </is>
      </c>
      <c r="B74" s="5" t="inlineStr">
        <is>
          <t>SWEBOK</t>
        </is>
      </c>
      <c r="C74" s="4" t="inlineStr">
        <is>
          <t>11. 取得・供給者契約管理</t>
        </is>
      </c>
      <c r="D74" s="9" t="inlineStr">
        <is>
          <t>High</t>
        </is>
      </c>
      <c r="E74" s="4" t="inlineStr">
        <is>
          <t>サプライチェーン経由のセキュリティリスクが評価されている</t>
        </is>
      </c>
      <c r="F74" s="4" t="inlineStr">
        <is>
          <t>外部取得物による攻撃対象領域の拡大(脆弱性、供給元の信頼性)がリスクとして評価されている</t>
        </is>
      </c>
      <c r="G74" s="4" t="inlineStr">
        <is>
          <t>外部ライブラリの安易な取得は攻撃対象領域を拡大し、サプライチェーン攻撃や混入脆弱性の侵入経路になる。取得の容易さに統制が追いつかない事態を防ぐ。</t>
        </is>
      </c>
      <c r="H74" s="4" t="inlineStr">
        <is>
          <t>swebok-v4a.pdf ch09 SE Management &gt; 3.2 Software Acquisition and Supplier Contract Management(取得の容易化による攻撃面拡大と統制の導入)</t>
        </is>
      </c>
      <c r="I74" s="4" t="inlineStr">
        <is>
          <t>CORE</t>
        </is>
      </c>
      <c r="J74" s="4" t="inlineStr">
        <is>
          <t>原則適用。案件スコープ・成果物・規制・リスク上非該当の場合はN/A根拠を記録。</t>
        </is>
      </c>
      <c r="K74" s="4" t="inlineStr">
        <is>
          <t>SRC-SWEBOK-V4A</t>
        </is>
      </c>
      <c r="L74" s="4" t="inlineStr">
        <is>
          <t>SEC-SUPPLY-CHAIN</t>
        </is>
      </c>
      <c r="M74" s="4" t="n"/>
      <c r="N74" s="4" t="n"/>
      <c r="O74" s="4" t="n"/>
      <c r="P74" s="4" t="n"/>
      <c r="Q74" s="4" t="n"/>
      <c r="R74" s="4" t="n"/>
      <c r="S74" s="4" t="n"/>
      <c r="T74" s="4" t="n"/>
      <c r="U74" s="4" t="n"/>
      <c r="V74" s="4" t="n"/>
      <c r="W74" s="4" t="n"/>
    </row>
    <row r="75">
      <c r="A75" s="5" t="inlineStr">
        <is>
          <t>MGT-103</t>
        </is>
      </c>
      <c r="B75" s="5" t="inlineStr">
        <is>
          <t>SWEBOK</t>
        </is>
      </c>
      <c r="C75" s="4" t="inlineStr">
        <is>
          <t>11. 取得・供給者契約管理</t>
        </is>
      </c>
      <c r="D75" s="10" t="inlineStr">
        <is>
          <t>Medium</t>
        </is>
      </c>
      <c r="E75" s="4" t="inlineStr">
        <is>
          <t>OSS利用時のライセンス条件が確認されている</t>
        </is>
      </c>
      <c r="F75" s="4" t="inlineStr">
        <is>
          <t>利用OSSのライセンス種別と、成果物の配布形態との適合性の確認結果が記録されている</t>
        </is>
      </c>
      <c r="G75" s="4" t="inlineStr">
        <is>
          <t>OSSライセンスの確認漏れは、成果物の配布時にコード公開義務や利用差し止めという法的リスクとして顕在化し、リリース直前の作り直しを強いる。</t>
        </is>
      </c>
      <c r="H75" s="4" t="inlineStr">
        <is>
          <t>swebok-v4a.pdf ch09 SE Management &gt; 3.2 Software Acquisition and Supplier Contract Management(OSSのライセンス制限の確認)</t>
        </is>
      </c>
      <c r="I75" s="4" t="inlineStr">
        <is>
          <t>CORE</t>
        </is>
      </c>
      <c r="J75" s="4" t="inlineStr">
        <is>
          <t>原則適用。案件スコープ・成果物・規制・リスク上非該当の場合はN/A根拠を記録。</t>
        </is>
      </c>
      <c r="K75" s="4" t="inlineStr">
        <is>
          <t>SRC-SWEBOK-V4A</t>
        </is>
      </c>
      <c r="L75" s="4" t="inlineStr"/>
      <c r="M75" s="4" t="n"/>
      <c r="N75" s="4" t="n"/>
      <c r="O75" s="4" t="n"/>
      <c r="P75" s="4" t="n"/>
      <c r="Q75" s="4" t="n"/>
      <c r="R75" s="4" t="n"/>
      <c r="S75" s="4" t="n"/>
      <c r="T75" s="4" t="n"/>
      <c r="U75" s="4" t="n"/>
      <c r="V75" s="4" t="n"/>
      <c r="W75" s="4" t="n"/>
    </row>
    <row r="76">
      <c r="A76" s="5" t="inlineStr">
        <is>
          <t>MGT-104</t>
        </is>
      </c>
      <c r="B76" s="5" t="inlineStr">
        <is>
          <t>SWEBOK</t>
        </is>
      </c>
      <c r="C76" s="4" t="inlineStr">
        <is>
          <t>11. 取得・供給者契約管理</t>
        </is>
      </c>
      <c r="D76" s="10" t="inlineStr">
        <is>
          <t>Medium</t>
        </is>
      </c>
      <c r="E76" s="4" t="inlineStr">
        <is>
          <t>供給者の管理方法(進捗確認・受入基準・契約上の責任分界)が定義されている</t>
        </is>
      </c>
      <c r="F76" s="4" t="inlineStr">
        <is>
          <t>委託先との報告頻度、受入基準、責任分界点が契約または管理計画に記載されている</t>
        </is>
      </c>
      <c r="G76" s="4" t="inlineStr">
        <is>
          <t>報告頻度・受入基準・責任分界が曖昧な委託は、納品直前まで進捗の実態が見えず、不合格品を受け取っても契約上争えない事態を招く。</t>
        </is>
      </c>
      <c r="H76" s="4" t="inlineStr">
        <is>
          <t>swebok-v4a.pdf ch09 SE Management &gt; 3.2 Software Acquisition and Supplier Contract Management(合意内容の管理と契約遵守の監視)</t>
        </is>
      </c>
      <c r="I76" s="4" t="inlineStr">
        <is>
          <t>CORE</t>
        </is>
      </c>
      <c r="J76" s="4" t="inlineStr">
        <is>
          <t>原則適用。案件スコープ・成果物・規制・リスク上非該当の場合はN/A根拠を記録。</t>
        </is>
      </c>
      <c r="K76" s="4" t="inlineStr">
        <is>
          <t>SRC-SWEBOK-V4A</t>
        </is>
      </c>
      <c r="L76" s="4" t="inlineStr"/>
      <c r="M76" s="4" t="n"/>
      <c r="N76" s="4" t="n"/>
      <c r="O76" s="4" t="n"/>
      <c r="P76" s="4" t="n"/>
      <c r="Q76" s="4" t="n"/>
      <c r="R76" s="4" t="n"/>
      <c r="S76" s="4" t="n"/>
      <c r="T76" s="4" t="n"/>
      <c r="U76" s="4" t="n"/>
      <c r="V76" s="4" t="n"/>
      <c r="W76" s="4" t="n"/>
    </row>
    <row r="77">
      <c r="A77" s="5" t="inlineStr">
        <is>
          <t>MGT-905</t>
        </is>
      </c>
      <c r="B77" s="5" t="inlineStr">
        <is>
          <t>追加承認</t>
        </is>
      </c>
      <c r="C77" s="4" t="inlineStr">
        <is>
          <t>11. 取得・供給者契約管理</t>
        </is>
      </c>
      <c r="D77" s="10" t="inlineStr">
        <is>
          <t>Medium</t>
        </is>
      </c>
      <c r="E77" s="4" t="inlineStr">
        <is>
          <t>供給者との契約に契約形態、知的財産の帰属、遅延時の扱いが明記されている</t>
        </is>
      </c>
      <c r="F77" s="4" t="inlineStr">
        <is>
          <t>契約書または合意文書に、契約タイプ(固定価格/準委任等)、成果物・知財の帰属先、遅延・不履行時の条項が記載されている</t>
        </is>
      </c>
      <c r="G77" s="4" t="inlineStr">
        <is>
          <t>知財帰属や遅延条項が曖昧な契約は、納品物を自社で改修できない・遅延損害を請求できないという形で、プロジェクト終盤や保守段階に法的・金銭的損失をもたらす。</t>
        </is>
      </c>
      <c r="H77" s="4" t="inlineStr">
        <is>
          <t>swebok-v4a.pdf ch09 SE Management &gt; 3.2 Software Acquisition and Supplier Contract Management(契約形態・知的財産・特別条項)</t>
        </is>
      </c>
      <c r="I77" s="4" t="inlineStr">
        <is>
          <t>CORE</t>
        </is>
      </c>
      <c r="J77" s="4" t="inlineStr">
        <is>
          <t>原則適用。案件スコープ・成果物・規制・リスク上非該当の場合はN/A根拠を記録。</t>
        </is>
      </c>
      <c r="K77" s="4" t="inlineStr">
        <is>
          <t>SRC-SWEBOK-V4A</t>
        </is>
      </c>
      <c r="L77" s="4" t="inlineStr"/>
      <c r="M77" s="4" t="n"/>
      <c r="N77" s="4" t="n"/>
      <c r="O77" s="4" t="n"/>
      <c r="P77" s="4" t="n"/>
      <c r="Q77" s="4" t="n"/>
      <c r="R77" s="4" t="n"/>
      <c r="S77" s="4" t="n"/>
      <c r="T77" s="4" t="n"/>
      <c r="U77" s="4" t="n"/>
      <c r="V77" s="4" t="n"/>
      <c r="W77" s="4" t="n"/>
    </row>
    <row r="78">
      <c r="A78" s="5" t="inlineStr">
        <is>
          <t>MGT-110</t>
        </is>
      </c>
      <c r="B78" s="5" t="inlineStr">
        <is>
          <t>SWEBOK</t>
        </is>
      </c>
      <c r="C78" s="4" t="inlineStr">
        <is>
          <t>12. レビュー・評価・終結</t>
        </is>
      </c>
      <c r="D78" s="9" t="inlineStr">
        <is>
          <t>High</t>
        </is>
      </c>
      <c r="E78" s="4" t="inlineStr">
        <is>
          <t>マイルストーン/反復サイクル完了時の要求充足判定が計画されている</t>
        </is>
      </c>
      <c r="F78" s="4" t="inlineStr">
        <is>
          <t>判定のタイミングと判定方法(受入テスト、デモ、レビュー等)が定義されている</t>
        </is>
      </c>
      <c r="G78" s="4" t="inlineStr">
        <is>
          <t>マイルストーン/反復完了時の要求充足判定を計画しておかないと、要求との乖離が最終受入まで発見されず、手戻りコストが最大化する。</t>
        </is>
      </c>
      <c r="H78" s="4" t="inlineStr">
        <is>
          <t>swebok-v4a.pdf ch09 SE Management &gt; 4.1 Determining Satisfaction of Requirements(マイルストーン・反復完了時の周期的評価)</t>
        </is>
      </c>
      <c r="I78" s="4" t="inlineStr">
        <is>
          <t>CORE</t>
        </is>
      </c>
      <c r="J78" s="4" t="inlineStr">
        <is>
          <t>原則適用。案件スコープ・成果物・規制・リスク上非該当の場合はN/A根拠を記録。</t>
        </is>
      </c>
      <c r="K78" s="4" t="inlineStr">
        <is>
          <t>SRC-SWEBOK-V4A</t>
        </is>
      </c>
      <c r="L78" s="4" t="inlineStr"/>
      <c r="M78" s="4" t="n"/>
      <c r="N78" s="4" t="n"/>
      <c r="O78" s="4" t="n"/>
      <c r="P78" s="4" t="n"/>
      <c r="Q78" s="4" t="n"/>
      <c r="R78" s="4" t="n"/>
      <c r="S78" s="4" t="n"/>
      <c r="T78" s="4" t="n"/>
      <c r="U78" s="4" t="n"/>
      <c r="V78" s="4" t="n"/>
      <c r="W78" s="4" t="n"/>
    </row>
    <row r="79">
      <c r="A79" s="5" t="inlineStr">
        <is>
          <t>MGT-111</t>
        </is>
      </c>
      <c r="B79" s="5" t="inlineStr">
        <is>
          <t>SWEBOK</t>
        </is>
      </c>
      <c r="C79" s="4" t="inlineStr">
        <is>
          <t>12. レビュー・評価・終結</t>
        </is>
      </c>
      <c r="D79" s="10" t="inlineStr">
        <is>
          <t>Medium</t>
        </is>
      </c>
      <c r="E79" s="4" t="inlineStr">
        <is>
          <t>手法・ツール・プロセスの有効性評価が計画または実施されている</t>
        </is>
      </c>
      <c r="F79" s="4" t="inlineStr">
        <is>
          <t>プロセス評価の実施時期と観点が定義されている、または評価結果が記録されている</t>
        </is>
      </c>
      <c r="G79" s="4" t="inlineStr">
        <is>
          <t>手法・ツール・プロセスの有効性を評価しないと、機能していないプロセスが惰性で続き、問題の原因が個人の力量問題にすり替えられる。</t>
        </is>
      </c>
      <c r="H79" s="4" t="inlineStr">
        <is>
          <t>swebok-v4a.pdf ch09 SE Management &gt; 4.2 Reviewing and Evaluating Performance(手法・ツール・プロセスの有効性・適切性の評価)</t>
        </is>
      </c>
      <c r="I79" s="4" t="inlineStr">
        <is>
          <t>CORE</t>
        </is>
      </c>
      <c r="J79" s="4" t="inlineStr">
        <is>
          <t>原則適用。案件スコープ・成果物・規制・リスク上非該当の場合はN/A根拠を記録。</t>
        </is>
      </c>
      <c r="K79" s="4" t="inlineStr">
        <is>
          <t>SRC-SWEBOK-V4A</t>
        </is>
      </c>
      <c r="L79" s="4" t="inlineStr"/>
      <c r="M79" s="4" t="n"/>
      <c r="N79" s="4" t="n"/>
      <c r="O79" s="4" t="n"/>
      <c r="P79" s="4" t="n"/>
      <c r="Q79" s="4" t="n"/>
      <c r="R79" s="4" t="n"/>
      <c r="S79" s="4" t="n"/>
      <c r="T79" s="4" t="n"/>
      <c r="U79" s="4" t="n"/>
      <c r="V79" s="4" t="n"/>
      <c r="W79" s="4" t="n"/>
    </row>
    <row r="80">
      <c r="A80" s="5" t="inlineStr">
        <is>
          <t>MGT-112</t>
        </is>
      </c>
      <c r="B80" s="5" t="inlineStr">
        <is>
          <t>SWEBOK</t>
        </is>
      </c>
      <c r="C80" s="4" t="inlineStr">
        <is>
          <t>12. レビュー・評価・終結</t>
        </is>
      </c>
      <c r="D80" s="8" t="inlineStr">
        <is>
          <t>Critical</t>
        </is>
      </c>
      <c r="E80" s="4" t="inlineStr">
        <is>
          <t>終結の判定が完了基準に照らして行われ、ステークホルダー合意が文書化されている</t>
        </is>
      </c>
      <c r="F80" s="4" t="inlineStr">
        <is>
          <t>完了基準の各項目の達成状況と、関係者の合意(承認)記録が存在する</t>
        </is>
      </c>
      <c r="G80" s="4" t="inlineStr">
        <is>
          <t>完了基準に照らさず関係者合意も文書化しない終結は、「終わったはず」の作業の蒸し返しや、未達成項目の責任を巡る紛争を残す。</t>
        </is>
      </c>
      <c r="H80" s="4" t="inlineStr">
        <is>
          <t>swebok-v4a.pdf ch09 SE Management &gt; 5.1 Determining Closure(完了基準の達成確認とステークホルダー受入の文書化)</t>
        </is>
      </c>
      <c r="I80" s="4" t="inlineStr">
        <is>
          <t>CORE</t>
        </is>
      </c>
      <c r="J80" s="4" t="inlineStr">
        <is>
          <t>原則適用。案件スコープ・成果物・規制・リスク上非該当の場合はN/A根拠を記録。</t>
        </is>
      </c>
      <c r="K80" s="4" t="inlineStr">
        <is>
          <t>SRC-SWEBOK-V4A</t>
        </is>
      </c>
      <c r="L80" s="4" t="inlineStr"/>
      <c r="M80" s="4" t="n"/>
      <c r="N80" s="4" t="n"/>
      <c r="O80" s="4" t="n"/>
      <c r="P80" s="4" t="n"/>
      <c r="Q80" s="4" t="n"/>
      <c r="R80" s="4" t="n"/>
      <c r="S80" s="4" t="n"/>
      <c r="T80" s="4" t="n"/>
      <c r="U80" s="4" t="n"/>
      <c r="V80" s="4" t="n"/>
      <c r="W80" s="4" t="n"/>
    </row>
    <row r="81">
      <c r="A81" s="5" t="inlineStr">
        <is>
          <t>MGT-113</t>
        </is>
      </c>
      <c r="B81" s="5" t="inlineStr">
        <is>
          <t>SWEBOK</t>
        </is>
      </c>
      <c r="C81" s="4" t="inlineStr">
        <is>
          <t>12. レビュー・評価・終結</t>
        </is>
      </c>
      <c r="D81" s="9" t="inlineStr">
        <is>
          <t>High</t>
        </is>
      </c>
      <c r="E81" s="4" t="inlineStr">
        <is>
          <t>振り返り(retrospective)が実施され、教訓が記録されている</t>
        </is>
      </c>
      <c r="F81" s="4" t="inlineStr">
        <is>
          <t>うまくいった点・改善点・次への具体策の3要素を含む教訓記録が存在する</t>
        </is>
      </c>
      <c r="G81" s="4" t="inlineStr">
        <is>
          <t>振り返りなしにプロジェクトを閉じると、同じ失敗(見積り誤り、体制問題等)を次案件で組織的に繰り返す。教訓は具体策まで落として初めて再利用可能になる。</t>
        </is>
      </c>
      <c r="H81" s="4" t="inlineStr">
        <is>
          <t>swebok-v4a.pdf ch09 SE Management &gt; 5.2 Closure Activities(レトロスペクティブ分析と教訓の組織学習への反映)</t>
        </is>
      </c>
      <c r="I81" s="4" t="inlineStr">
        <is>
          <t>CORE</t>
        </is>
      </c>
      <c r="J81" s="4" t="inlineStr">
        <is>
          <t>原則適用。案件スコープ・成果物・規制・リスク上非該当の場合はN/A根拠を記録。</t>
        </is>
      </c>
      <c r="K81" s="4" t="inlineStr">
        <is>
          <t>SRC-SWEBOK-V4A</t>
        </is>
      </c>
      <c r="L81" s="4" t="inlineStr"/>
      <c r="M81" s="4" t="n"/>
      <c r="N81" s="4" t="n"/>
      <c r="O81" s="4" t="n"/>
      <c r="P81" s="4" t="n"/>
      <c r="Q81" s="4" t="n"/>
      <c r="R81" s="4" t="n"/>
      <c r="S81" s="4" t="n"/>
      <c r="T81" s="4" t="n"/>
      <c r="U81" s="4" t="n"/>
      <c r="V81" s="4" t="n"/>
      <c r="W81" s="4" t="n"/>
    </row>
    <row r="82">
      <c r="A82" s="5" t="inlineStr">
        <is>
          <t>MGT-114</t>
        </is>
      </c>
      <c r="B82" s="5" t="inlineStr">
        <is>
          <t>SWEBOK</t>
        </is>
      </c>
      <c r="C82" s="4" t="inlineStr">
        <is>
          <t>12. レビュー・評価・終結</t>
        </is>
      </c>
      <c r="D82" s="10" t="inlineStr">
        <is>
          <t>Medium</t>
        </is>
      </c>
      <c r="E82" s="4" t="inlineStr">
        <is>
          <t>資料のアーカイブと機密情報の破棄が実施・記録されている</t>
        </is>
      </c>
      <c r="F82" s="4" t="inlineStr">
        <is>
          <t>アーカイブ対象・保管場所と、破棄対象・破棄方法の記録が存在する</t>
        </is>
      </c>
      <c r="G82" s="4" t="inlineStr">
        <is>
          <t>アーカイブ漏れは保守段階で必要な情報の喪失に、機密情報の破棄漏れは廃棄機器からの情報漏洩事故につながる。</t>
        </is>
      </c>
      <c r="H82" s="4" t="inlineStr">
        <is>
          <t>swebok-v4a.pdf ch09 SE Management &gt; 5.2 Closure Activities(合意されたルールによるアーカイブと機密情報・媒体の破棄)</t>
        </is>
      </c>
      <c r="I82" s="4" t="inlineStr">
        <is>
          <t>CORE</t>
        </is>
      </c>
      <c r="J82" s="4" t="inlineStr">
        <is>
          <t>原則適用。案件スコープ・成果物・規制・リスク上非該当の場合はN/A根拠を記録。</t>
        </is>
      </c>
      <c r="K82" s="4" t="inlineStr">
        <is>
          <t>SRC-SWEBOK-V4A</t>
        </is>
      </c>
      <c r="L82" s="4" t="inlineStr"/>
      <c r="M82" s="4" t="n"/>
      <c r="N82" s="4" t="n"/>
      <c r="O82" s="4" t="n"/>
      <c r="P82" s="4" t="n"/>
      <c r="Q82" s="4" t="n"/>
      <c r="R82" s="4" t="n"/>
      <c r="S82" s="4" t="n"/>
      <c r="T82" s="4" t="n"/>
      <c r="U82" s="4" t="n"/>
      <c r="V82" s="4" t="n"/>
      <c r="W82" s="4" t="n"/>
    </row>
    <row r="83">
      <c r="A83" s="5" t="inlineStr">
        <is>
          <t>MGT-115</t>
        </is>
      </c>
      <c r="B83" s="5" t="inlineStr">
        <is>
          <t>SWEBOK</t>
        </is>
      </c>
      <c r="C83" s="4" t="inlineStr">
        <is>
          <t>12. レビュー・評価・終結</t>
        </is>
      </c>
      <c r="D83" s="10" t="inlineStr">
        <is>
          <t>Medium</t>
        </is>
      </c>
      <c r="E83" s="4" t="inlineStr">
        <is>
          <t>実績データが組織の測定データベース(見積り実績等)に反映されている</t>
        </is>
      </c>
      <c r="F83" s="4" t="inlineStr">
        <is>
          <t>工数・規模・欠陥等の実績が組織資産として登録された記録、または登録手順の実施予定が記載されている</t>
        </is>
      </c>
      <c r="G83" s="4" t="inlineStr">
        <is>
          <t>実績データを組織に還元しないと、次案件の見積りが毎回ゼロから当て推量になり、組織として見積り精度が永久に向上しない。</t>
        </is>
      </c>
      <c r="H83" s="4" t="inlineStr">
        <is>
          <t>swebok-v4a.pdf ch09 SE Management &gt; 5.2 Closure Activities(組織の測定データベースの更新)</t>
        </is>
      </c>
      <c r="I83" s="4" t="inlineStr">
        <is>
          <t>CORE</t>
        </is>
      </c>
      <c r="J83" s="4" t="inlineStr">
        <is>
          <t>原則適用。案件スコープ・成果物・規制・リスク上非該当の場合はN/A根拠を記録。</t>
        </is>
      </c>
      <c r="K83" s="4" t="inlineStr">
        <is>
          <t>SRC-SWEBOK-V4A</t>
        </is>
      </c>
      <c r="L83" s="4" t="inlineStr"/>
      <c r="M83" s="4" t="n"/>
      <c r="N83" s="4" t="n"/>
      <c r="O83" s="4" t="n"/>
      <c r="P83" s="4" t="n"/>
      <c r="Q83" s="4" t="n"/>
      <c r="R83" s="4" t="n"/>
      <c r="S83" s="4" t="n"/>
      <c r="T83" s="4" t="n"/>
      <c r="U83" s="4" t="n"/>
      <c r="V83" s="4" t="n"/>
      <c r="W83" s="4" t="n"/>
    </row>
    <row r="84">
      <c r="A84" s="5" t="inlineStr">
        <is>
          <t>MGT-903</t>
        </is>
      </c>
      <c r="B84" s="5" t="inlineStr">
        <is>
          <t>追加承認</t>
        </is>
      </c>
      <c r="C84" s="4" t="inlineStr">
        <is>
          <t>12. レビュー・評価・終結</t>
        </is>
      </c>
      <c r="D84" s="10" t="inlineStr">
        <is>
          <t>Medium</t>
        </is>
      </c>
      <c r="E84" s="4" t="inlineStr">
        <is>
          <t>要員・チームの状態(負荷、コンフリクト、スキル面の困難)を定期的に把握するレビューが計画・実施されている</t>
        </is>
      </c>
      <c r="F84" s="4" t="inlineStr">
        <is>
          <t>1on1・チームふりかえり等の実施周期と観点が定義され、実施記録または新規計画時の実施計画が存在する</t>
        </is>
      </c>
      <c r="G84" s="4" t="inlineStr">
        <is>
          <t>SWEBOKが強調するとおりソフトウェア失敗の多くは人的・社会的要因に起因する。チームの不和や過負荷の兆候を拾う仕組みがないと、離脱や品質低下という形で突然顕在化する。</t>
        </is>
      </c>
      <c r="H84" s="4" t="inlineStr">
        <is>
          <t>swebok-v4a.pdf ch09 SE Management &gt; 4.2 Reviewing and Evaluating Performance(要員パフォーマンスの定期レビュー)</t>
        </is>
      </c>
      <c r="I84" s="4" t="inlineStr">
        <is>
          <t>CORE</t>
        </is>
      </c>
      <c r="J84" s="4" t="inlineStr">
        <is>
          <t>原則適用。案件スコープ・成果物・規制・リスク上非該当の場合はN/A根拠を記録。</t>
        </is>
      </c>
      <c r="K84" s="4" t="inlineStr">
        <is>
          <t>SRC-SWEBOK-V4A</t>
        </is>
      </c>
      <c r="L84" s="4" t="inlineStr"/>
      <c r="M84" s="4" t="n"/>
      <c r="N84" s="4" t="n"/>
      <c r="O84" s="4" t="n"/>
      <c r="P84" s="4" t="n"/>
      <c r="Q84" s="4" t="n"/>
      <c r="R84" s="4" t="n"/>
      <c r="S84" s="4" t="n"/>
      <c r="T84" s="4" t="n"/>
      <c r="U84" s="4" t="n"/>
      <c r="V84" s="4" t="n"/>
      <c r="W84" s="4" t="n"/>
    </row>
    <row r="85">
      <c r="A85" s="5" t="inlineStr">
        <is>
          <t>MGT-120</t>
        </is>
      </c>
      <c r="B85" s="5" t="inlineStr">
        <is>
          <t>SWEBOK</t>
        </is>
      </c>
      <c r="C85" s="4" t="inlineStr">
        <is>
          <t>13. 測定(ISO/IEC/IEEE 15939)</t>
        </is>
      </c>
      <c r="D85" s="8" t="inlineStr">
        <is>
          <t>Critical</t>
        </is>
      </c>
      <c r="E85" s="4" t="inlineStr">
        <is>
          <t>測定尺度が情報ニーズ(意思決定)に紐付いている</t>
        </is>
      </c>
      <c r="F85" s="4" t="inlineStr">
        <is>
          <t>各測定尺度に「何を判断するために使うか」が対応づけられ、用途不明の指標が0件である</t>
        </is>
      </c>
      <c r="G85" s="4" t="inlineStr">
        <is>
          <t>情報ニーズと紐付かない測定は「集めるだけの数字」になり、収集コストだけかかって意思決定に使われず、測定活動全体への不信を生む。</t>
        </is>
      </c>
      <c r="H85" s="4" t="inlineStr">
        <is>
          <t>swebok-v4a.pdf ch09 SE Management &gt; 6.2 Plan the Measurement Process(情報ニーズの識別と、それにリンクした尺度の選択)</t>
        </is>
      </c>
      <c r="I85" s="4" t="inlineStr">
        <is>
          <t>CORE</t>
        </is>
      </c>
      <c r="J85" s="4" t="inlineStr">
        <is>
          <t>原則適用。案件スコープ・成果物・規制・リスク上非該当の場合はN/A根拠を記録。</t>
        </is>
      </c>
      <c r="K85" s="4" t="inlineStr">
        <is>
          <t>SRC-SWEBOK-V4A</t>
        </is>
      </c>
      <c r="L85" s="4" t="inlineStr"/>
      <c r="M85" s="4" t="n"/>
      <c r="N85" s="4" t="n"/>
      <c r="O85" s="4" t="n"/>
      <c r="P85" s="4" t="n"/>
      <c r="Q85" s="4" t="n"/>
      <c r="R85" s="4" t="n"/>
      <c r="S85" s="4" t="n"/>
      <c r="T85" s="4" t="n"/>
      <c r="U85" s="4" t="n"/>
      <c r="V85" s="4" t="n"/>
      <c r="W85" s="4" t="n"/>
    </row>
    <row r="86">
      <c r="A86" s="5" t="inlineStr">
        <is>
          <t>MGT-121</t>
        </is>
      </c>
      <c r="B86" s="5" t="inlineStr">
        <is>
          <t>SWEBOK</t>
        </is>
      </c>
      <c r="C86" s="4" t="inlineStr">
        <is>
          <t>13. 測定(ISO/IEC/IEEE 15939)</t>
        </is>
      </c>
      <c r="D86" s="9" t="inlineStr">
        <is>
          <t>High</t>
        </is>
      </c>
      <c r="E86" s="4" t="inlineStr">
        <is>
          <t>データ収集・分析・報告の手順と頻度が定義されている</t>
        </is>
      </c>
      <c r="F86" s="4" t="inlineStr">
        <is>
          <t>各尺度に収集方法(誰が・どこから・いつ)・分析方法・報告先・頻度が記載されている</t>
        </is>
      </c>
      <c r="G86" s="4" t="inlineStr">
        <is>
          <t>収集・分析・報告の手順が曖昧だと、データが人により異なる方法で集められて比較不能になり、測定結果の信頼性が崩れる。</t>
        </is>
      </c>
      <c r="H86" s="4" t="inlineStr">
        <is>
          <t>swebok-v4a.pdf ch09 SE Management &gt; 6.2 Plan the Measurement Process(データ収集・分析・報告手続の定義)/ 6.3 Perform the Measurement Process</t>
        </is>
      </c>
      <c r="I86" s="4" t="inlineStr">
        <is>
          <t>CORE</t>
        </is>
      </c>
      <c r="J86" s="4" t="inlineStr">
        <is>
          <t>原則適用。案件スコープ・成果物・規制・リスク上非該当の場合はN/A根拠を記録。</t>
        </is>
      </c>
      <c r="K86" s="4" t="inlineStr">
        <is>
          <t>SRC-SWEBOK-V4A</t>
        </is>
      </c>
      <c r="L86" s="4" t="inlineStr"/>
      <c r="M86" s="4" t="n"/>
      <c r="N86" s="4" t="n"/>
      <c r="O86" s="4" t="n"/>
      <c r="P86" s="4" t="n"/>
      <c r="Q86" s="4" t="n"/>
      <c r="R86" s="4" t="n"/>
      <c r="S86" s="4" t="n"/>
      <c r="T86" s="4" t="n"/>
      <c r="U86" s="4" t="n"/>
      <c r="V86" s="4" t="n"/>
      <c r="W86" s="4" t="n"/>
    </row>
    <row r="87">
      <c r="A87" s="5" t="inlineStr">
        <is>
          <t>MGT-122</t>
        </is>
      </c>
      <c r="B87" s="5" t="inlineStr">
        <is>
          <t>SWEBOK</t>
        </is>
      </c>
      <c r="C87" s="4" t="inlineStr">
        <is>
          <t>13. 測定(ISO/IEC/IEEE 15939)</t>
        </is>
      </c>
      <c r="D87" s="9" t="inlineStr">
        <is>
          <t>High</t>
        </is>
      </c>
      <c r="E87" s="4" t="inlineStr">
        <is>
          <t>測定結果の評価基準(目標値・許容範囲)が定義されている</t>
        </is>
      </c>
      <c r="F87" s="4" t="inlineStr">
        <is>
          <t>各尺度に判断のための基準値または傾向の解釈ルールが付されている</t>
        </is>
      </c>
      <c r="G87" s="4" t="inlineStr">
        <is>
          <t>評価基準のない測定値は「で、この数字は良いのか悪いのか」に答えられず、報告されても行動につながらない。</t>
        </is>
      </c>
      <c r="H87" s="4" t="inlineStr">
        <is>
          <t>swebok-v4a.pdf ch09 SE Management &gt; 6.2 Plan the Measurement Process(情報成果物の評価基準の選定)</t>
        </is>
      </c>
      <c r="I87" s="4" t="inlineStr">
        <is>
          <t>CORE</t>
        </is>
      </c>
      <c r="J87" s="4" t="inlineStr">
        <is>
          <t>原則適用。案件スコープ・成果物・規制・リスク上非該当の場合はN/A根拠を記録。</t>
        </is>
      </c>
      <c r="K87" s="4" t="inlineStr">
        <is>
          <t>SRC-SWEBOK-V4A</t>
        </is>
      </c>
      <c r="L87" s="4" t="inlineStr"/>
      <c r="M87" s="4" t="n"/>
      <c r="N87" s="4" t="n"/>
      <c r="O87" s="4" t="n"/>
      <c r="P87" s="4" t="n"/>
      <c r="Q87" s="4" t="n"/>
      <c r="R87" s="4" t="n"/>
      <c r="S87" s="4" t="n"/>
      <c r="T87" s="4" t="n"/>
      <c r="U87" s="4" t="n"/>
      <c r="V87" s="4" t="n"/>
      <c r="W87" s="4" t="n"/>
    </row>
    <row r="88">
      <c r="A88" s="5" t="inlineStr">
        <is>
          <t>MGT-123</t>
        </is>
      </c>
      <c r="B88" s="5" t="inlineStr">
        <is>
          <t>SWEBOK</t>
        </is>
      </c>
      <c r="C88" s="4" t="inlineStr">
        <is>
          <t>13. 測定(ISO/IEC/IEEE 15939)</t>
        </is>
      </c>
      <c r="D88" s="10" t="inlineStr">
        <is>
          <t>Medium</t>
        </is>
      </c>
      <c r="E88" s="4" t="inlineStr">
        <is>
          <t>測定プロセス自体の評価と改善の仕組みがある</t>
        </is>
      </c>
      <c r="F88" s="4" t="inlineStr">
        <is>
          <t>測定の有用性を見直す時期・方法が定義されている、または見直し結果が記録されている</t>
        </is>
      </c>
      <c r="G88" s="4" t="inlineStr">
        <is>
          <t>測定プロセス自体を評価しないと、役に立たなくなった指標の収集が惰性で続き、改善機会(指標の変更・再分類)が放置される。</t>
        </is>
      </c>
      <c r="H88" s="4" t="inlineStr">
        <is>
          <t>swebok-v4a.pdf ch09 SE Management &gt; 6.4 Evaluate Measurement(評価基準に照らした測定の評価と改善の識別)</t>
        </is>
      </c>
      <c r="I88" s="4" t="inlineStr">
        <is>
          <t>CORE</t>
        </is>
      </c>
      <c r="J88" s="4" t="inlineStr">
        <is>
          <t>原則適用。案件スコープ・成果物・規制・リスク上非該当の場合はN/A根拠を記録。</t>
        </is>
      </c>
      <c r="K88" s="4" t="inlineStr">
        <is>
          <t>SRC-SWEBOK-V4A</t>
        </is>
      </c>
      <c r="L88" s="4" t="inlineStr"/>
      <c r="M88" s="4" t="n"/>
      <c r="N88" s="4" t="n"/>
      <c r="O88" s="4" t="n"/>
      <c r="P88" s="4" t="n"/>
      <c r="Q88" s="4" t="n"/>
      <c r="R88" s="4" t="n"/>
      <c r="S88" s="4" t="n"/>
      <c r="T88" s="4" t="n"/>
      <c r="U88" s="4" t="n"/>
      <c r="V88" s="4" t="n"/>
      <c r="W88" s="4" t="n"/>
    </row>
    <row r="89">
      <c r="A89" s="5" t="inlineStr">
        <is>
          <t>MGT-124</t>
        </is>
      </c>
      <c r="B89" s="5" t="inlineStr">
        <is>
          <t>SWEBOK</t>
        </is>
      </c>
      <c r="C89" s="4" t="inlineStr">
        <is>
          <t>13. 測定(ISO/IEC/IEEE 15939)</t>
        </is>
      </c>
      <c r="D89" s="10" t="inlineStr">
        <is>
          <t>Medium</t>
        </is>
      </c>
      <c r="E89" s="4" t="inlineStr">
        <is>
          <t>測定の目的が個人評価でなくプロセス・プロダクト改善に置かれている</t>
        </is>
      </c>
      <c r="F89" s="4" t="inlineStr">
        <is>
          <t>測定計画に利用目的が明記され、個人の査定を目的とした生産性指標の利用が定義されていない</t>
        </is>
      </c>
      <c r="G89" s="4" t="inlineStr">
        <is>
          <t>測定が個人査定に使われるとデータ提供者が数字を操作・隠蔽するようになり、測定プログラム全体が信頼できないデータの上に崩壊する。</t>
        </is>
      </c>
      <c r="H89" s="4" t="inlineStr">
        <is>
          <t>swebok-v4a.pdf ch09 SE Management &gt; 6.3 Perform the Measurement Process(モラール・人的要因への配慮と測定の受容)</t>
        </is>
      </c>
      <c r="I89" s="4" t="inlineStr">
        <is>
          <t>CORE</t>
        </is>
      </c>
      <c r="J89" s="4" t="inlineStr">
        <is>
          <t>原則適用。案件スコープ・成果物・規制・リスク上非該当の場合はN/A根拠を記録。</t>
        </is>
      </c>
      <c r="K89" s="4" t="inlineStr">
        <is>
          <t>SRC-SWEBOK-V4A</t>
        </is>
      </c>
      <c r="L89" s="4" t="inlineStr"/>
      <c r="M89" s="4" t="n"/>
      <c r="N89" s="4" t="n"/>
      <c r="O89" s="4" t="n"/>
      <c r="P89" s="4" t="n"/>
      <c r="Q89" s="4" t="n"/>
      <c r="R89" s="4" t="n"/>
      <c r="S89" s="4" t="n"/>
      <c r="T89" s="4" t="n"/>
      <c r="U89" s="4" t="n"/>
      <c r="V89" s="4" t="n"/>
      <c r="W89" s="4" t="n"/>
    </row>
    <row r="90">
      <c r="A90" s="5" t="inlineStr">
        <is>
          <t>MGT-904</t>
        </is>
      </c>
      <c r="B90" s="5" t="inlineStr">
        <is>
          <t>追加承認</t>
        </is>
      </c>
      <c r="C90" s="4" t="inlineStr">
        <is>
          <t>13. 測定(ISO/IEC/IEEE 15939)</t>
        </is>
      </c>
      <c r="D90" s="10" t="inlineStr">
        <is>
          <t>Medium</t>
        </is>
      </c>
      <c r="E90" s="4" t="inlineStr">
        <is>
          <t>測定活動への責任と資源の割り当てが公式に確立されている</t>
        </is>
      </c>
      <c r="F90" s="4" t="inlineStr">
        <is>
          <t>測定タスク(データ収集・分析等)の責任者が指名され、必要な工数・ツールが計画に計上されている</t>
        </is>
      </c>
      <c r="G90" s="4" t="inlineStr">
        <is>
          <t>資源の裏付けのない測定計画は「片手間でやる」まま形骸化し、収集の中断・欠測でデータの時系列が壊れて以後の分析が不能になる。</t>
        </is>
      </c>
      <c r="H90" s="4" t="inlineStr">
        <is>
          <t>swebok-v4a.pdf ch09 SE Management &gt; 6.1 Establish and Sustain Measurement Commitment(測定コミットメントの確立と資源割り当て)</t>
        </is>
      </c>
      <c r="I90" s="4" t="inlineStr">
        <is>
          <t>CORE</t>
        </is>
      </c>
      <c r="J90" s="4" t="inlineStr">
        <is>
          <t>原則適用。案件スコープ・成果物・規制・リスク上非該当の場合はN/A根拠を記録。</t>
        </is>
      </c>
      <c r="K90" s="4" t="inlineStr">
        <is>
          <t>SRC-SWEBOK-V4A</t>
        </is>
      </c>
      <c r="L90" s="4" t="inlineStr"/>
      <c r="M90" s="4" t="n"/>
      <c r="N90" s="4" t="n"/>
      <c r="O90" s="4" t="n"/>
      <c r="P90" s="4" t="n"/>
      <c r="Q90" s="4" t="n"/>
      <c r="R90" s="4" t="n"/>
      <c r="S90" s="4" t="n"/>
      <c r="T90" s="4" t="n"/>
      <c r="U90" s="4" t="n"/>
      <c r="V90" s="4" t="n"/>
      <c r="W90" s="4" t="n"/>
    </row>
    <row r="91">
      <c r="A91" s="5" t="inlineStr">
        <is>
          <t>MGT-130</t>
        </is>
      </c>
      <c r="B91" s="5" t="inlineStr">
        <is>
          <t>SWEBOK</t>
        </is>
      </c>
      <c r="C91" s="4" t="inlineStr">
        <is>
          <t>14. 文書品質(共通)</t>
        </is>
      </c>
      <c r="D91" s="9" t="inlineStr">
        <is>
          <t>High</t>
        </is>
      </c>
      <c r="E91" s="4" t="inlineStr">
        <is>
          <t>文書に版数・日付・作成者・変更履歴がある</t>
        </is>
      </c>
      <c r="F91" s="4" t="inlineStr">
        <is>
          <t>4要素すべてが記載されている</t>
        </is>
      </c>
      <c r="G91" s="4" t="inlineStr">
        <is>
          <t>版数・履歴のない文書は、関係者が異なる版を見て作業する事故や、変更の経緯・責任が追えない状態を生む。</t>
        </is>
      </c>
      <c r="H91" s="4" t="inlineStr">
        <is>
          <t>実務補完(文書管理の一般原則。SCM KAの構成識別に関連)</t>
        </is>
      </c>
      <c r="I91" s="4" t="inlineStr">
        <is>
          <t>CORE</t>
        </is>
      </c>
      <c r="J91" s="4" t="inlineStr">
        <is>
          <t>原則適用。案件スコープ・成果物・規制・リスク上非該当の場合はN/A根拠を記録。</t>
        </is>
      </c>
      <c r="K91" s="4" t="inlineStr">
        <is>
          <t>SRC-PRACTICE</t>
        </is>
      </c>
      <c r="L91" s="4" t="inlineStr"/>
      <c r="M91" s="4" t="n"/>
      <c r="N91" s="4" t="n"/>
      <c r="O91" s="4" t="n"/>
      <c r="P91" s="4" t="n"/>
      <c r="Q91" s="4" t="n"/>
      <c r="R91" s="4" t="n"/>
      <c r="S91" s="4" t="n"/>
      <c r="T91" s="4" t="n"/>
      <c r="U91" s="4" t="n"/>
      <c r="V91" s="4" t="n"/>
      <c r="W91" s="4" t="n"/>
    </row>
    <row r="92">
      <c r="A92" s="5" t="inlineStr">
        <is>
          <t>MGT-131</t>
        </is>
      </c>
      <c r="B92" s="5" t="inlineStr">
        <is>
          <t>SWEBOK</t>
        </is>
      </c>
      <c r="C92" s="4" t="inlineStr">
        <is>
          <t>14. 文書品質(共通)</t>
        </is>
      </c>
      <c r="D92" s="10" t="inlineStr">
        <is>
          <t>Medium</t>
        </is>
      </c>
      <c r="E92" s="4" t="inlineStr">
        <is>
          <t>用語が定義され、文書間で一貫している</t>
        </is>
      </c>
      <c r="F92" s="4" t="inlineStr">
        <is>
          <t>主要用語の定義(用語集または本文中定義)があり、同一概念に複数の表記が混在していない</t>
        </is>
      </c>
      <c r="G92" s="4" t="inlineStr">
        <is>
          <t>同一概念の表記揺れは読み手ごとの解釈差を生み、要求・計画の誤解として下流工程の手戻りに変換される。</t>
        </is>
      </c>
      <c r="H92" s="4" t="inlineStr">
        <is>
          <t>実務補完(文書品質の一般原則)</t>
        </is>
      </c>
      <c r="I92" s="4" t="inlineStr">
        <is>
          <t>CORE</t>
        </is>
      </c>
      <c r="J92" s="4" t="inlineStr">
        <is>
          <t>原則適用。案件スコープ・成果物・規制・リスク上非該当の場合はN/A根拠を記録。</t>
        </is>
      </c>
      <c r="K92" s="4" t="inlineStr">
        <is>
          <t>SRC-PRACTICE</t>
        </is>
      </c>
      <c r="L92" s="4" t="inlineStr"/>
      <c r="M92" s="4" t="n"/>
      <c r="N92" s="4" t="n"/>
      <c r="O92" s="4" t="n"/>
      <c r="P92" s="4" t="n"/>
      <c r="Q92" s="4" t="n"/>
      <c r="R92" s="4" t="n"/>
      <c r="S92" s="4" t="n"/>
      <c r="T92" s="4" t="n"/>
      <c r="U92" s="4" t="n"/>
      <c r="V92" s="4" t="n"/>
      <c r="W92" s="4" t="n"/>
    </row>
    <row r="93">
      <c r="A93" s="5" t="inlineStr">
        <is>
          <t>MGT-132</t>
        </is>
      </c>
      <c r="B93" s="5" t="inlineStr">
        <is>
          <t>SWEBOK</t>
        </is>
      </c>
      <c r="C93" s="4" t="inlineStr">
        <is>
          <t>14. 文書品質(共通)</t>
        </is>
      </c>
      <c r="D93" s="10" t="inlineStr">
        <is>
          <t>Medium</t>
        </is>
      </c>
      <c r="E93" s="4" t="inlineStr">
        <is>
          <t>文書間の整合性がある(憲章⇔計画書⇔WBS⇔報告)</t>
        </is>
      </c>
      <c r="F93" s="4" t="inlineStr">
        <is>
          <t>スコープ・マイルストーン・体制が文書間で矛盾なく対応している</t>
        </is>
      </c>
      <c r="G93" s="4" t="inlineStr">
        <is>
          <t>憲章と計画書とWBSでスコープや体制が食い違うと、どれが正かを巡る混乱と、古い文書に基づく誤った作業が発生する。</t>
        </is>
      </c>
      <c r="H93" s="4" t="inlineStr">
        <is>
          <t>swebok-v4a.pdf ch09 SE Management &gt; 2.7 Plan Management(計画と関連文書の整合的な改訂)+ 実務補完(文書間トレーサビリティ)</t>
        </is>
      </c>
      <c r="I93" s="4" t="inlineStr">
        <is>
          <t>CORE</t>
        </is>
      </c>
      <c r="J93" s="4" t="inlineStr">
        <is>
          <t>原則適用。案件スコープ・成果物・規制・リスク上非該当の場合はN/A根拠を記録。</t>
        </is>
      </c>
      <c r="K93" s="4" t="inlineStr">
        <is>
          <t>SRC-SWEBOK-V4A;SRC-PRACTICE</t>
        </is>
      </c>
      <c r="L93" s="4" t="inlineStr"/>
      <c r="M93" s="4" t="n"/>
      <c r="N93" s="4" t="n"/>
      <c r="O93" s="4" t="n"/>
      <c r="P93" s="4" t="n"/>
      <c r="Q93" s="4" t="n"/>
      <c r="R93" s="4" t="n"/>
      <c r="S93" s="4" t="n"/>
      <c r="T93" s="4" t="n"/>
      <c r="U93" s="4" t="n"/>
      <c r="V93" s="4" t="n"/>
      <c r="W93" s="4" t="n"/>
    </row>
    <row r="94">
      <c r="A94" s="5" t="inlineStr">
        <is>
          <t>MGT-133</t>
        </is>
      </c>
      <c r="B94" s="5" t="inlineStr">
        <is>
          <t>SWEBOK</t>
        </is>
      </c>
      <c r="C94" s="4" t="inlineStr">
        <is>
          <t>14. 文書品質(共通)</t>
        </is>
      </c>
      <c r="D94" s="11" t="inlineStr">
        <is>
          <t>Low</t>
        </is>
      </c>
      <c r="E94" s="4" t="inlineStr">
        <is>
          <t>TBD・空欄・プレースホルダーが放置されていない</t>
        </is>
      </c>
      <c r="F94" s="4" t="inlineStr">
        <is>
          <t>TBD項目には解消期限と担当が付されている</t>
        </is>
      </c>
      <c r="G94" s="4" t="inlineStr">
        <is>
          <t>期限も担当もないTBDは永久に解消されず、未決事項が暗黙の前提として下流に流れて手遅れの段階で顕在化する。</t>
        </is>
      </c>
      <c r="H94" s="4" t="inlineStr">
        <is>
          <t>実務補完(文書品質の一般原則)</t>
        </is>
      </c>
      <c r="I94" s="4" t="inlineStr">
        <is>
          <t>CORE</t>
        </is>
      </c>
      <c r="J94" s="4" t="inlineStr">
        <is>
          <t>原則適用。案件スコープ・成果物・規制・リスク上非該当の場合はN/A根拠を記録。</t>
        </is>
      </c>
      <c r="K94" s="4" t="inlineStr">
        <is>
          <t>SRC-PRACTICE</t>
        </is>
      </c>
      <c r="L94" s="4" t="inlineStr"/>
      <c r="M94" s="4" t="n"/>
      <c r="N94" s="4" t="n"/>
      <c r="O94" s="4" t="n"/>
      <c r="P94" s="4" t="n"/>
      <c r="Q94" s="4" t="n"/>
      <c r="R94" s="4" t="n"/>
      <c r="S94" s="4" t="n"/>
      <c r="T94" s="4" t="n"/>
      <c r="U94" s="4" t="n"/>
      <c r="V94" s="4" t="n"/>
      <c r="W94" s="4" t="n"/>
    </row>
  </sheetData>
  <autoFilter ref="A1:W94"/>
  <conditionalFormatting sqref="O2:O2000">
    <cfRule type="cellIs" priority="1" operator="equal" dxfId="0">
      <formula>"Fail"</formula>
    </cfRule>
    <cfRule type="cellIs" priority="2" operator="equal" dxfId="1">
      <formula>"Pass"</formula>
    </cfRule>
    <cfRule type="cellIs" priority="4" operator="equal" dxfId="0">
      <formula>"Fail"</formula>
    </cfRule>
    <cfRule type="cellIs" priority="5" operator="equal" dxfId="1">
      <formula>"Pass"</formula>
    </cfRule>
    <cfRule type="cellIs" priority="7" operator="equal" dxfId="0">
      <formula>"Fail"</formula>
    </cfRule>
    <cfRule type="cellIs" priority="8" operator="equal" dxfId="1">
      <formula>"Pass"</formula>
    </cfRule>
    <cfRule type="cellIs" priority="10" operator="equal" dxfId="0">
      <formula>"Fail"</formula>
    </cfRule>
    <cfRule type="cellIs" priority="11" operator="equal" dxfId="1">
      <formula>"Pass"</formula>
    </cfRule>
    <cfRule type="cellIs" priority="13" operator="equal" dxfId="0">
      <formula>"Fail"</formula>
    </cfRule>
    <cfRule type="cellIs" priority="14" operator="equal" dxfId="1">
      <formula>"Pass"</formula>
    </cfRule>
  </conditionalFormatting>
  <conditionalFormatting sqref="N2:N2000">
    <cfRule type="cellIs" priority="3" operator="equal" dxfId="2">
      <formula>"N/A"</formula>
    </cfRule>
    <cfRule type="cellIs" priority="6" operator="equal" dxfId="2">
      <formula>"N/A"</formula>
    </cfRule>
    <cfRule type="cellIs" priority="9" operator="equal" dxfId="2">
      <formula>"N/A"</formula>
    </cfRule>
    <cfRule type="cellIs" priority="12" operator="equal" dxfId="2">
      <formula>"N/A"</formula>
    </cfRule>
    <cfRule type="cellIs" priority="15" operator="equal" dxfId="2">
      <formula>"N/A"</formula>
    </cfRule>
  </conditionalFormatting>
  <dataValidations count="20">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s>
  <pageMargins left="0.75" right="0.75" top="1" bottom="1" header="0.5" footer="0.5"/>
  <pageSetup orientation="landscape" fitToWidth="1"/>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W96"/>
  <sheetViews>
    <sheetView workbookViewId="0">
      <pane xSplit="4" ySplit="1" topLeftCell="E2"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4" customWidth="1" min="1" max="1"/>
    <col width="14" customWidth="1" min="2" max="2"/>
    <col width="28" customWidth="1" min="3" max="3"/>
    <col width="12" customWidth="1" min="4" max="4"/>
    <col width="46" customWidth="1" min="5" max="5"/>
    <col width="52" customWidth="1" min="6" max="6"/>
    <col width="48" customWidth="1" min="7" max="7"/>
    <col width="46" customWidth="1" min="8" max="8"/>
    <col width="18" customWidth="1" min="9" max="9"/>
    <col width="38" customWidth="1" min="10" max="10"/>
    <col width="28" customWidth="1" min="11" max="11"/>
    <col width="25" customWidth="1" min="12" max="12"/>
    <col width="13" customWidth="1" min="13" max="13"/>
    <col width="12" customWidth="1" min="14" max="14"/>
    <col width="12" customWidth="1" min="15" max="15"/>
    <col width="38" customWidth="1" min="16" max="16"/>
    <col width="24" customWidth="1" min="17" max="17"/>
    <col width="30" customWidth="1" min="18" max="18"/>
    <col width="23" customWidth="1" min="19" max="19"/>
    <col width="15" customWidth="1" min="20" max="20"/>
    <col width="18" customWidth="1" min="21" max="21"/>
    <col width="15" customWidth="1" min="22" max="22"/>
    <col width="15" customWidth="1" min="23" max="23"/>
  </cols>
  <sheetData>
    <row r="1">
      <c r="A1" s="3" t="inlineStr">
        <is>
          <t>ID</t>
        </is>
      </c>
      <c r="B1" s="3" t="inlineStr">
        <is>
          <t>区分</t>
        </is>
      </c>
      <c r="C1" s="3" t="inlineStr">
        <is>
          <t>カテゴリ</t>
        </is>
      </c>
      <c r="D1" s="3" t="inlineStr">
        <is>
          <t>基準重要度</t>
        </is>
      </c>
      <c r="E1" s="3" t="inlineStr">
        <is>
          <t>チェック項目</t>
        </is>
      </c>
      <c r="F1" s="3" t="inlineStr">
        <is>
          <t>合格基準</t>
        </is>
      </c>
      <c r="G1" s="3" t="inlineStr">
        <is>
          <t>意図(なぜ確認するか)</t>
        </is>
      </c>
      <c r="H1" s="3" t="inlineStr">
        <is>
          <t>対象ドキュメント(参照箇所)</t>
        </is>
      </c>
      <c r="I1" s="21" t="inlineStr">
        <is>
          <t>適用プロファイル</t>
        </is>
      </c>
      <c r="J1" s="21" t="inlineStr">
        <is>
          <t>適用条件</t>
        </is>
      </c>
      <c r="K1" s="21" t="inlineStr">
        <is>
          <t>出典ID</t>
        </is>
      </c>
      <c r="L1" s="21" t="inlineStr">
        <is>
          <t>重複統制グループ</t>
        </is>
      </c>
      <c r="M1" s="21" t="inlineStr">
        <is>
          <t>案件重要度</t>
        </is>
      </c>
      <c r="N1" s="21" t="inlineStr">
        <is>
          <t>適用判定</t>
        </is>
      </c>
      <c r="O1" s="21" t="inlineStr">
        <is>
          <t>判定</t>
        </is>
      </c>
      <c r="P1" s="21" t="inlineStr">
        <is>
          <t>証跡・参照箇所</t>
        </is>
      </c>
      <c r="Q1" s="21" t="inlineStr">
        <is>
          <t>指摘・Issue ID</t>
        </is>
      </c>
      <c r="R1" s="21" t="inlineStr">
        <is>
          <t>対応方針</t>
        </is>
      </c>
      <c r="S1" s="21" t="inlineStr">
        <is>
          <t>例外・リスク受容承認者</t>
        </is>
      </c>
      <c r="T1" s="21" t="inlineStr">
        <is>
          <t>是正期限</t>
        </is>
      </c>
      <c r="U1" s="21" t="inlineStr">
        <is>
          <t>レビュアー</t>
        </is>
      </c>
      <c r="V1" s="21" t="inlineStr">
        <is>
          <t>レビュー日</t>
        </is>
      </c>
      <c r="W1" s="21" t="inlineStr">
        <is>
          <t>再確認結果</t>
        </is>
      </c>
    </row>
    <row r="2">
      <c r="A2" s="5" t="inlineStr">
        <is>
          <t>PRC-001</t>
        </is>
      </c>
      <c r="B2" s="5" t="inlineStr">
        <is>
          <t>SWEBOK</t>
        </is>
      </c>
      <c r="C2" s="4" t="inlineStr">
        <is>
          <t>1. プロセス定義の基礎(PRC-001〜PRC-010)</t>
        </is>
      </c>
      <c r="D2" s="8" t="inlineStr">
        <is>
          <t>Critical</t>
        </is>
      </c>
      <c r="E2" s="4" t="inlineStr">
        <is>
          <t>文書の目的と適用範囲が定義されている</t>
        </is>
      </c>
      <c r="F2" s="4" t="inlineStr">
        <is>
          <t>対象プロジェクト/組織と対象外事項が明記され、適用範囲の境界が一意に読み取れる</t>
        </is>
      </c>
      <c r="G2" s="4" t="inlineStr">
        <is>
          <t>適用範囲が曖昧だと、適用すべき作業にプロセスが適用されない/対象外の作業へ過剰適用される混乱が起き、テーラリングや監査の判定基準も定まらなくなる。</t>
        </is>
      </c>
      <c r="H2" s="4" t="inlineStr">
        <is>
          <t>swebok-v4a.pdf ch10 SE Process &gt; 1.2 Software Engineering Process Definition / 2.8 Software Life Cycle Adaptation</t>
        </is>
      </c>
      <c r="I2" s="4" t="inlineStr">
        <is>
          <t>CORE</t>
        </is>
      </c>
      <c r="J2" s="4" t="inlineStr">
        <is>
          <t>原則適用。案件スコープ・成果物・規制・リスク上非該当の場合はN/A根拠を記録。</t>
        </is>
      </c>
      <c r="K2" s="4" t="inlineStr">
        <is>
          <t>SRC-SWEBOK-V4A</t>
        </is>
      </c>
      <c r="L2" s="4" t="inlineStr"/>
      <c r="M2" s="4" t="n"/>
      <c r="N2" s="4" t="n"/>
      <c r="O2" s="4" t="n"/>
      <c r="P2" s="4" t="n"/>
      <c r="Q2" s="4" t="n"/>
      <c r="R2" s="4" t="n"/>
      <c r="S2" s="4" t="n"/>
      <c r="T2" s="4" t="n"/>
      <c r="U2" s="4" t="n"/>
      <c r="V2" s="4" t="n"/>
      <c r="W2" s="4" t="n"/>
    </row>
    <row r="3">
      <c r="A3" s="5" t="inlineStr">
        <is>
          <t>PRC-002</t>
        </is>
      </c>
      <c r="B3" s="5" t="inlineStr">
        <is>
          <t>SWEBOK</t>
        </is>
      </c>
      <c r="C3" s="4" t="inlineStr">
        <is>
          <t>1. プロセス定義の基礎(PRC-001〜PRC-010)</t>
        </is>
      </c>
      <c r="D3" s="9" t="inlineStr">
        <is>
          <t>High</t>
        </is>
      </c>
      <c r="E3" s="4" t="inlineStr">
        <is>
          <t>参照文書が特定されている</t>
        </is>
      </c>
      <c r="F3" s="4" t="inlineStr">
        <is>
          <t>組織標準・国際標準(ISO/IEC/IEEE 12207 等)・契約文書が版数または年度付きで列挙されている</t>
        </is>
      </c>
      <c r="G3" s="4" t="inlineStr">
        <is>
          <t>拠り所となる標準が特定されていないと、テーラリングの出発点や監査の基準が判別できず、標準改訂時の追従もできなくなる。</t>
        </is>
      </c>
      <c r="H3" s="4" t="inlineStr">
        <is>
          <t>swebok-v4a.pdf ch10 SE Process &gt; 2.3 The Concepts of Process Models and Life Cycle Models(標準の活動をSLCMへマッピング)/ 2.8</t>
        </is>
      </c>
      <c r="I3" s="4" t="inlineStr">
        <is>
          <t>CORE</t>
        </is>
      </c>
      <c r="J3" s="4" t="inlineStr">
        <is>
          <t>原則適用。案件スコープ・成果物・規制・リスク上非該当の場合はN/A根拠を記録。</t>
        </is>
      </c>
      <c r="K3" s="4" t="inlineStr">
        <is>
          <t>SRC-SWEBOK-V4A</t>
        </is>
      </c>
      <c r="L3" s="4" t="inlineStr"/>
      <c r="M3" s="4" t="n"/>
      <c r="N3" s="4" t="n"/>
      <c r="O3" s="4" t="n"/>
      <c r="P3" s="4" t="n"/>
      <c r="Q3" s="4" t="n"/>
      <c r="R3" s="4" t="n"/>
      <c r="S3" s="4" t="n"/>
      <c r="T3" s="4" t="n"/>
      <c r="U3" s="4" t="n"/>
      <c r="V3" s="4" t="n"/>
      <c r="W3" s="4" t="n"/>
    </row>
    <row r="4">
      <c r="A4" s="5" t="inlineStr">
        <is>
          <t>PRC-003</t>
        </is>
      </c>
      <c r="B4" s="5" t="inlineStr">
        <is>
          <t>SWEBOK</t>
        </is>
      </c>
      <c r="C4" s="4" t="inlineStr">
        <is>
          <t>1. プロセス定義の基礎(PRC-001〜PRC-010)</t>
        </is>
      </c>
      <c r="D4" s="9" t="inlineStr">
        <is>
          <t>High</t>
        </is>
      </c>
      <c r="E4" s="4" t="inlineStr">
        <is>
          <t>用語が定義されている</t>
        </is>
      </c>
      <c r="F4" s="4" t="inlineStr">
        <is>
          <t>プロセス・ライフサイクル・イテレーション・増分など文書内の主要用語に定義があり、SWEBOK/JIS の定訳と矛盾しない</t>
        </is>
      </c>
      <c r="G4" s="4" t="inlineStr">
        <is>
          <t>イテレーション・増分などの用語解釈が人により異なると、計画・進捗報告・完成判定で認識齟齬が生じ手戻りにつながる。</t>
        </is>
      </c>
      <c r="H4" s="4" t="inlineStr">
        <is>
          <t>swebok-v4a.pdf ch10 SE Process &gt; 2.1 Life Cycle Definition, Process Categories, and Terminology</t>
        </is>
      </c>
      <c r="I4" s="4" t="inlineStr">
        <is>
          <t>CORE</t>
        </is>
      </c>
      <c r="J4" s="4" t="inlineStr">
        <is>
          <t>原則適用。案件スコープ・成果物・規制・リスク上非該当の場合はN/A根拠を記録。</t>
        </is>
      </c>
      <c r="K4" s="4" t="inlineStr">
        <is>
          <t>SRC-SWEBOK-V4A</t>
        </is>
      </c>
      <c r="L4" s="4" t="inlineStr"/>
      <c r="M4" s="4" t="n"/>
      <c r="N4" s="4" t="n"/>
      <c r="O4" s="4" t="n"/>
      <c r="P4" s="4" t="n"/>
      <c r="Q4" s="4" t="n"/>
      <c r="R4" s="4" t="n"/>
      <c r="S4" s="4" t="n"/>
      <c r="T4" s="4" t="n"/>
      <c r="U4" s="4" t="n"/>
      <c r="V4" s="4" t="n"/>
      <c r="W4" s="4" t="n"/>
    </row>
    <row r="5">
      <c r="A5" s="5" t="inlineStr">
        <is>
          <t>PRC-004</t>
        </is>
      </c>
      <c r="B5" s="5" t="inlineStr">
        <is>
          <t>SWEBOK</t>
        </is>
      </c>
      <c r="C5" s="4" t="inlineStr">
        <is>
          <t>1. プロセス定義の基礎(PRC-001〜PRC-010)</t>
        </is>
      </c>
      <c r="D5" s="8" t="inlineStr">
        <is>
          <t>Critical</t>
        </is>
      </c>
      <c r="E5" s="4" t="inlineStr">
        <is>
          <t>各プロセスが入力・活動・出力の3要素で定義されている</t>
        </is>
      </c>
      <c r="F5" s="4" t="inlineStr">
        <is>
          <t>定義された全プロセスについて、入力成果物・変換活動・出力成果物が個別に特定されている</t>
        </is>
      </c>
      <c r="G5" s="4" t="inlineStr">
        <is>
          <t>入力・活動・出力のいずれかを欠くプロセスは実行も監査もできず、前工程からの受け取り漏れや成果物の出し忘れが発生する。プロセスの記述は入力・変換活動・出力を含むというのがSWEBOKの定義。</t>
        </is>
      </c>
      <c r="H5" s="4" t="inlineStr">
        <is>
          <t>swebok-v4a.pdf ch10 SE Process &gt; 1.2 Software Engineering Process Definition</t>
        </is>
      </c>
      <c r="I5" s="4" t="inlineStr">
        <is>
          <t>CORE</t>
        </is>
      </c>
      <c r="J5" s="4" t="inlineStr">
        <is>
          <t>原則適用。案件スコープ・成果物・規制・リスク上非該当の場合はN/A根拠を記録。</t>
        </is>
      </c>
      <c r="K5" s="4" t="inlineStr">
        <is>
          <t>SRC-SWEBOK-V4A</t>
        </is>
      </c>
      <c r="L5" s="4" t="inlineStr"/>
      <c r="M5" s="4" t="n"/>
      <c r="N5" s="4" t="n"/>
      <c r="O5" s="4" t="n"/>
      <c r="P5" s="4" t="n"/>
      <c r="Q5" s="4" t="n"/>
      <c r="R5" s="4" t="n"/>
      <c r="S5" s="4" t="n"/>
      <c r="T5" s="4" t="n"/>
      <c r="U5" s="4" t="n"/>
      <c r="V5" s="4" t="n"/>
      <c r="W5" s="4" t="n"/>
    </row>
    <row r="6">
      <c r="A6" s="5" t="inlineStr">
        <is>
          <t>PRC-005</t>
        </is>
      </c>
      <c r="B6" s="5" t="inlineStr">
        <is>
          <t>SWEBOK</t>
        </is>
      </c>
      <c r="C6" s="4" t="inlineStr">
        <is>
          <t>1. プロセス定義の基礎(PRC-001〜PRC-010)</t>
        </is>
      </c>
      <c r="D6" s="9" t="inlineStr">
        <is>
          <t>High</t>
        </is>
      </c>
      <c r="E6" s="4" t="inlineStr">
        <is>
          <t>プロセスの統制(directives, constraints)が記述されている</t>
        </is>
      </c>
      <c r="F6" s="4" t="inlineStr">
        <is>
          <t>各プロセスに適用される規約・標準・制約(規制要件含む)が記載されている、または「制約なし」と明示されている</t>
        </is>
      </c>
      <c r="G6" s="4" t="inlineStr">
        <is>
          <t>規制・契約由来の統制の記載漏れは、後になってコンプライアンス違反や大規模な手戻りとして顕在化する。</t>
        </is>
      </c>
      <c r="H6" s="4" t="inlineStr">
        <is>
          <t>swebok-v4a.pdf ch10 SE Process &gt; 1.2(controls: directives and constraints)</t>
        </is>
      </c>
      <c r="I6" s="4" t="inlineStr">
        <is>
          <t>CORE</t>
        </is>
      </c>
      <c r="J6" s="4" t="inlineStr">
        <is>
          <t>原則適用。案件スコープ・成果物・規制・リスク上非該当の場合はN/A根拠を記録。</t>
        </is>
      </c>
      <c r="K6" s="4" t="inlineStr">
        <is>
          <t>SRC-SWEBOK-V4A</t>
        </is>
      </c>
      <c r="L6" s="4" t="inlineStr"/>
      <c r="M6" s="4" t="n"/>
      <c r="N6" s="4" t="n"/>
      <c r="O6" s="4" t="n"/>
      <c r="P6" s="4" t="n"/>
      <c r="Q6" s="4" t="n"/>
      <c r="R6" s="4" t="n"/>
      <c r="S6" s="4" t="n"/>
      <c r="T6" s="4" t="n"/>
      <c r="U6" s="4" t="n"/>
      <c r="V6" s="4" t="n"/>
      <c r="W6" s="4" t="n"/>
    </row>
    <row r="7">
      <c r="A7" s="5" t="inlineStr">
        <is>
          <t>PRC-006</t>
        </is>
      </c>
      <c r="B7" s="5" t="inlineStr">
        <is>
          <t>SWEBOK</t>
        </is>
      </c>
      <c r="C7" s="4" t="inlineStr">
        <is>
          <t>1. プロセス定義の基礎(PRC-001〜PRC-010)</t>
        </is>
      </c>
      <c r="D7" s="9" t="inlineStr">
        <is>
          <t>High</t>
        </is>
      </c>
      <c r="E7" s="4" t="inlineStr">
        <is>
          <t>プロセスの実現メカニズムが記述されている</t>
        </is>
      </c>
      <c r="F7" s="4" t="inlineStr">
        <is>
          <t>各プロセスの実施に必要なツール・技法・人的資源(役割)が特定されている</t>
        </is>
      </c>
      <c r="G7" s="4" t="inlineStr">
        <is>
          <t>ツール・技法・人的資源が特定されていないプロセスは机上の定義に終わり、実行段階で環境・要員不足により停止する。</t>
        </is>
      </c>
      <c r="H7" s="4" t="inlineStr">
        <is>
          <t>swebok-v4a.pdf ch10 SE Process &gt; 1.2(enabling mechanisms: tools, technologies, workforce, infrastructure)</t>
        </is>
      </c>
      <c r="I7" s="4" t="inlineStr">
        <is>
          <t>CORE</t>
        </is>
      </c>
      <c r="J7" s="4" t="inlineStr">
        <is>
          <t>原則適用。案件スコープ・成果物・規制・リスク上非該当の場合はN/A根拠を記録。</t>
        </is>
      </c>
      <c r="K7" s="4" t="inlineStr">
        <is>
          <t>SRC-SWEBOK-V4A</t>
        </is>
      </c>
      <c r="L7" s="4" t="inlineStr"/>
      <c r="M7" s="4" t="n"/>
      <c r="N7" s="4" t="n"/>
      <c r="O7" s="4" t="n"/>
      <c r="P7" s="4" t="n"/>
      <c r="Q7" s="4" t="n"/>
      <c r="R7" s="4" t="n"/>
      <c r="S7" s="4" t="n"/>
      <c r="T7" s="4" t="n"/>
      <c r="U7" s="4" t="n"/>
      <c r="V7" s="4" t="n"/>
      <c r="W7" s="4" t="n"/>
    </row>
    <row r="8">
      <c r="A8" s="5" t="inlineStr">
        <is>
          <t>PRC-007</t>
        </is>
      </c>
      <c r="B8" s="5" t="inlineStr">
        <is>
          <t>SWEBOK</t>
        </is>
      </c>
      <c r="C8" s="4" t="inlineStr">
        <is>
          <t>1. プロセス定義の基礎(PRC-001〜PRC-010)</t>
        </is>
      </c>
      <c r="D8" s="8" t="inlineStr">
        <is>
          <t>Critical</t>
        </is>
      </c>
      <c r="E8" s="4" t="inlineStr">
        <is>
          <t>各活動に担当役割が割り当てられている</t>
        </is>
      </c>
      <c r="F8" s="4" t="inlineStr">
        <is>
          <t>主要活動すべてに実施責任を持つ役割名が対応づけられ、未割り当ての活動がない</t>
        </is>
      </c>
      <c r="G8" s="4" t="inlineStr">
        <is>
          <t>担当役割のない活動は誰も実施せず放置され、工程遅延や品質活動の欠落として後から顕在化する。</t>
        </is>
      </c>
      <c r="H8" s="4" t="inlineStr">
        <is>
          <t>swebok-v4a.pdf ch10 SE Process &gt; 1.2 / 2.9 Practical Considerations(組織プロセス・人的資源の考慮)</t>
        </is>
      </c>
      <c r="I8" s="4" t="inlineStr">
        <is>
          <t>CORE</t>
        </is>
      </c>
      <c r="J8" s="4" t="inlineStr">
        <is>
          <t>原則適用。案件スコープ・成果物・規制・リスク上非該当の場合はN/A根拠を記録。</t>
        </is>
      </c>
      <c r="K8" s="4" t="inlineStr">
        <is>
          <t>SRC-SWEBOK-V4A</t>
        </is>
      </c>
      <c r="L8" s="4" t="inlineStr"/>
      <c r="M8" s="4" t="n"/>
      <c r="N8" s="4" t="n"/>
      <c r="O8" s="4" t="n"/>
      <c r="P8" s="4" t="n"/>
      <c r="Q8" s="4" t="n"/>
      <c r="R8" s="4" t="n"/>
      <c r="S8" s="4" t="n"/>
      <c r="T8" s="4" t="n"/>
      <c r="U8" s="4" t="n"/>
      <c r="V8" s="4" t="n"/>
      <c r="W8" s="4" t="n"/>
    </row>
    <row r="9">
      <c r="A9" s="5" t="inlineStr">
        <is>
          <t>PRC-008</t>
        </is>
      </c>
      <c r="B9" s="5" t="inlineStr">
        <is>
          <t>SWEBOK</t>
        </is>
      </c>
      <c r="C9" s="4" t="inlineStr">
        <is>
          <t>1. プロセス定義の基礎(PRC-001〜PRC-010)</t>
        </is>
      </c>
      <c r="D9" s="9" t="inlineStr">
        <is>
          <t>High</t>
        </is>
      </c>
      <c r="E9" s="4" t="inlineStr">
        <is>
          <t>プロセス(作業活動)とソフトウェアの運用(operation)が区別されている</t>
        </is>
      </c>
      <c r="F9" s="4" t="inlineStr">
        <is>
          <t>開発・保守等の作業活動の記述に、システム実行時の振る舞いの記述が混在していない</t>
        </is>
      </c>
      <c r="G9" s="4" t="inlineStr">
        <is>
          <t>作業活動としてのプロセスとソフトウェア実行(運用)を混同すると、読み手が記述対象を誤解し、監視・改善の対象設定を誤る。SWEBOKは本KAで process は作業活動を指すと明示的に区別している。</t>
        </is>
      </c>
      <c r="H9" s="4" t="inlineStr">
        <is>
          <t>swebok-v4a.pdf ch10 SE Process &gt; 1.1 Introduction(process=work activities, not the execution of software)</t>
        </is>
      </c>
      <c r="I9" s="4" t="inlineStr">
        <is>
          <t>CORE</t>
        </is>
      </c>
      <c r="J9" s="4" t="inlineStr">
        <is>
          <t>原則適用。案件スコープ・成果物・規制・リスク上非該当の場合はN/A根拠を記録。</t>
        </is>
      </c>
      <c r="K9" s="4" t="inlineStr">
        <is>
          <t>SRC-SWEBOK-V4A</t>
        </is>
      </c>
      <c r="L9" s="4" t="inlineStr"/>
      <c r="M9" s="4" t="n"/>
      <c r="N9" s="4" t="n"/>
      <c r="O9" s="4" t="n"/>
      <c r="P9" s="4" t="n"/>
      <c r="Q9" s="4" t="n"/>
      <c r="R9" s="4" t="n"/>
      <c r="S9" s="4" t="n"/>
      <c r="T9" s="4" t="n"/>
      <c r="U9" s="4" t="n"/>
      <c r="V9" s="4" t="n"/>
      <c r="W9" s="4" t="n"/>
    </row>
    <row r="10">
      <c r="A10" s="5" t="inlineStr">
        <is>
          <t>PRC-009</t>
        </is>
      </c>
      <c r="B10" s="5" t="inlineStr">
        <is>
          <t>SWEBOK</t>
        </is>
      </c>
      <c r="C10" s="4" t="inlineStr">
        <is>
          <t>1. プロセス定義の基礎(PRC-001〜PRC-010)</t>
        </is>
      </c>
      <c r="D10" s="10" t="inlineStr">
        <is>
          <t>Medium</t>
        </is>
      </c>
      <c r="E10" s="4" t="inlineStr">
        <is>
          <t>改訂履歴と変更管理手順がある</t>
        </is>
      </c>
      <c r="F10" s="4" t="inlineStr">
        <is>
          <t>版数・日付・変更内容・承認者を記録する欄と、文書自体の変更手順が定義されている</t>
        </is>
      </c>
      <c r="G10" s="4" t="inlineStr">
        <is>
          <t>変更履歴がないとどの版が有効か判別できず、旧版に従った作業による手戻りや監査時の証跡欠如が起きる。</t>
        </is>
      </c>
      <c r="H10" s="4" t="inlineStr">
        <is>
          <t>swebok-v4a.pdf ch10 SE Process &gt; 2.1 プロセスカテゴリ(技術マネジメント:構成管理・情報管理プロセス)</t>
        </is>
      </c>
      <c r="I10" s="4" t="inlineStr">
        <is>
          <t>CORE</t>
        </is>
      </c>
      <c r="J10" s="4" t="inlineStr">
        <is>
          <t>原則適用。案件スコープ・成果物・規制・リスク上非該当の場合はN/A根拠を記録。</t>
        </is>
      </c>
      <c r="K10" s="4" t="inlineStr">
        <is>
          <t>SRC-SWEBOK-V4A</t>
        </is>
      </c>
      <c r="L10" s="4" t="inlineStr"/>
      <c r="M10" s="4" t="n"/>
      <c r="N10" s="4" t="n"/>
      <c r="O10" s="4" t="n"/>
      <c r="P10" s="4" t="n"/>
      <c r="Q10" s="4" t="n"/>
      <c r="R10" s="4" t="n"/>
      <c r="S10" s="4" t="n"/>
      <c r="T10" s="4" t="n"/>
      <c r="U10" s="4" t="n"/>
      <c r="V10" s="4" t="n"/>
      <c r="W10" s="4" t="n"/>
    </row>
    <row r="11">
      <c r="A11" s="5" t="inlineStr">
        <is>
          <t>PRC-010</t>
        </is>
      </c>
      <c r="B11" s="5" t="inlineStr">
        <is>
          <t>SWEBOK</t>
        </is>
      </c>
      <c r="C11" s="4" t="inlineStr">
        <is>
          <t>1. プロセス定義の基礎(PRC-001〜PRC-010)</t>
        </is>
      </c>
      <c r="D11" s="10" t="inlineStr">
        <is>
          <t>Medium</t>
        </is>
      </c>
      <c r="E11" s="4" t="inlineStr">
        <is>
          <t>文書の承認状態が明確である</t>
        </is>
      </c>
      <c r="F11" s="4" t="inlineStr">
        <is>
          <t>作成者・レビュー者・承認者と承認日(または未承認である旨)が記載されている</t>
        </is>
      </c>
      <c r="G11" s="4" t="inlineStr">
        <is>
          <t>未承認の文書が事実上の標準として使われると、権限のないルールが現場を拘束し、監査・紛争時にその効力が否定される。</t>
        </is>
      </c>
      <c r="H11" s="4" t="inlineStr">
        <is>
          <t>実務補完(品質マネジメントシステムの文書管理慣行)</t>
        </is>
      </c>
      <c r="I11" s="4" t="inlineStr">
        <is>
          <t>CORE</t>
        </is>
      </c>
      <c r="J11" s="4" t="inlineStr">
        <is>
          <t>原則適用。案件スコープ・成果物・規制・リスク上非該当の場合はN/A根拠を記録。</t>
        </is>
      </c>
      <c r="K11" s="4" t="inlineStr">
        <is>
          <t>SRC-PRACTICE</t>
        </is>
      </c>
      <c r="L11" s="4" t="inlineStr"/>
      <c r="M11" s="4" t="n"/>
      <c r="N11" s="4" t="n"/>
      <c r="O11" s="4" t="n"/>
      <c r="P11" s="4" t="n"/>
      <c r="Q11" s="4" t="n"/>
      <c r="R11" s="4" t="n"/>
      <c r="S11" s="4" t="n"/>
      <c r="T11" s="4" t="n"/>
      <c r="U11" s="4" t="n"/>
      <c r="V11" s="4" t="n"/>
      <c r="W11" s="4" t="n"/>
    </row>
    <row r="12">
      <c r="A12" s="5" t="inlineStr">
        <is>
          <t>PRC-011</t>
        </is>
      </c>
      <c r="B12" s="5" t="inlineStr">
        <is>
          <t>SWEBOK</t>
        </is>
      </c>
      <c r="C12" s="4" t="inlineStr">
        <is>
          <t>2. ライフサイクルモデルの選定(PRC-011〜PRC-020)</t>
        </is>
      </c>
      <c r="D12" s="8" t="inlineStr">
        <is>
          <t>Critical</t>
        </is>
      </c>
      <c r="E12" s="4" t="inlineStr">
        <is>
          <t>ライフサイクルモデルが明示的に選定されている</t>
        </is>
      </c>
      <c r="F12" s="4" t="inlineStr">
        <is>
          <t>予測型/反復型/インクリメンタル型/進化型/継続的開発またはその組み合わせのいずれに該当するかが明記されている</t>
        </is>
      </c>
      <c r="G12" s="4" t="inlineStr">
        <is>
          <t>モデル未選定のまま進むと、変更受け入れ方針やリリース戦略が場当たりになり、計画と実態が乖離する。SWEBOKは予測型・反復型・進化型・インクリメンタル型・継続的開発を主要パラダイムとして挙げる。</t>
        </is>
      </c>
      <c r="H12" s="4" t="inlineStr">
        <is>
          <t>swebok-v4a.pdf ch10 SE Process &gt; 2.4 Some Paradigms for Development Life Cycle Models</t>
        </is>
      </c>
      <c r="I12" s="4" t="inlineStr">
        <is>
          <t>CORE</t>
        </is>
      </c>
      <c r="J12" s="4" t="inlineStr">
        <is>
          <t>原則適用。案件スコープ・成果物・規制・リスク上非該当の場合はN/A根拠を記録。</t>
        </is>
      </c>
      <c r="K12" s="4" t="inlineStr">
        <is>
          <t>SRC-SWEBOK-V4A</t>
        </is>
      </c>
      <c r="L12" s="4" t="inlineStr"/>
      <c r="M12" s="4" t="n"/>
      <c r="N12" s="4" t="n"/>
      <c r="O12" s="4" t="n"/>
      <c r="P12" s="4" t="n"/>
      <c r="Q12" s="4" t="n"/>
      <c r="R12" s="4" t="n"/>
      <c r="S12" s="4" t="n"/>
      <c r="T12" s="4" t="n"/>
      <c r="U12" s="4" t="n"/>
      <c r="V12" s="4" t="n"/>
      <c r="W12" s="4" t="n"/>
    </row>
    <row r="13">
      <c r="A13" s="5" t="inlineStr">
        <is>
          <t>PRC-012</t>
        </is>
      </c>
      <c r="B13" s="5" t="inlineStr">
        <is>
          <t>SWEBOK</t>
        </is>
      </c>
      <c r="C13" s="4" t="inlineStr">
        <is>
          <t>2. ライフサイクルモデルの選定(PRC-011〜PRC-020)</t>
        </is>
      </c>
      <c r="D13" s="8" t="inlineStr">
        <is>
          <t>Critical</t>
        </is>
      </c>
      <c r="E13" s="4" t="inlineStr">
        <is>
          <t>選定根拠がプロジェクト特性と対応づけられている</t>
        </is>
      </c>
      <c r="F13" s="4" t="inlineStr">
        <is>
          <t>要求の安定性・リスク・リリース頻度・契約形態のうち2つ以上を根拠に選定理由が記述されている</t>
        </is>
      </c>
      <c r="G13" s="4" t="inlineStr">
        <is>
          <t>製品・ステークホルダーの特性と無関係にモデルを選ぶと(流行でのアジャイル採用等)、要求変動や契約形態と噛み合わず途中で破綻する。適したライフサイクルはこれらの特性を考慮して定めるべきというのがSWEBOKの立場。</t>
        </is>
      </c>
      <c r="H13" s="4" t="inlineStr">
        <is>
          <t>swebok-v4a.pdf ch10 SE Process &gt; 2.4 / 2.9 Practical Considerations(製品特性・ステークホルダー特性の考慮)</t>
        </is>
      </c>
      <c r="I13" s="4" t="inlineStr">
        <is>
          <t>CORE</t>
        </is>
      </c>
      <c r="J13" s="4" t="inlineStr">
        <is>
          <t>原則適用。案件スコープ・成果物・規制・リスク上非該当の場合はN/A根拠を記録。</t>
        </is>
      </c>
      <c r="K13" s="4" t="inlineStr">
        <is>
          <t>SRC-SWEBOK-V4A</t>
        </is>
      </c>
      <c r="L13" s="4" t="inlineStr"/>
      <c r="M13" s="4" t="n"/>
      <c r="N13" s="4" t="n"/>
      <c r="O13" s="4" t="n"/>
      <c r="P13" s="4" t="n"/>
      <c r="Q13" s="4" t="n"/>
      <c r="R13" s="4" t="n"/>
      <c r="S13" s="4" t="n"/>
      <c r="T13" s="4" t="n"/>
      <c r="U13" s="4" t="n"/>
      <c r="V13" s="4" t="n"/>
      <c r="W13" s="4" t="n"/>
    </row>
    <row r="14">
      <c r="A14" s="5" t="inlineStr">
        <is>
          <t>PRC-013</t>
        </is>
      </c>
      <c r="B14" s="5" t="inlineStr">
        <is>
          <t>SWEBOK</t>
        </is>
      </c>
      <c r="C14" s="4" t="inlineStr">
        <is>
          <t>2. ライフサイクルモデルの選定(PRC-011〜PRC-020)</t>
        </is>
      </c>
      <c r="D14" s="9" t="inlineStr">
        <is>
          <t>High</t>
        </is>
      </c>
      <c r="E14" s="4" t="inlineStr">
        <is>
          <t>要求が「変更に開いている/閉じている」かの方針が明記されている</t>
        </is>
      </c>
      <c r="F14" s="4" t="inlineStr">
        <is>
          <t>要求確定後の変更可否と、変更を受け付ける場合の手続き(交渉・合意方法)が記述されている</t>
        </is>
      </c>
      <c r="G14" s="4" t="inlineStr">
        <is>
          <t>要求変更の方針が不明だと、確定後の変更を巡り顧客と紛争になったり、無秩序な変更でスコープが膨張する。変更に開いているか閉じているかはライフサイクル選定の中核的性質。</t>
        </is>
      </c>
      <c r="H14" s="4" t="inlineStr">
        <is>
          <t>swebok-v4a.pdf ch10 SE Process &gt; 2.4(open/closed to change、関係者の交渉による変更)</t>
        </is>
      </c>
      <c r="I14" s="4" t="inlineStr">
        <is>
          <t>CORE</t>
        </is>
      </c>
      <c r="J14" s="4" t="inlineStr">
        <is>
          <t>原則適用。案件スコープ・成果物・規制・リスク上非該当の場合はN/A根拠を記録。</t>
        </is>
      </c>
      <c r="K14" s="4" t="inlineStr">
        <is>
          <t>SRC-SWEBOK-V4A</t>
        </is>
      </c>
      <c r="L14" s="4" t="inlineStr"/>
      <c r="M14" s="4" t="n"/>
      <c r="N14" s="4" t="n"/>
      <c r="O14" s="4" t="n"/>
      <c r="P14" s="4" t="n"/>
      <c r="Q14" s="4" t="n"/>
      <c r="R14" s="4" t="n"/>
      <c r="S14" s="4" t="n"/>
      <c r="T14" s="4" t="n"/>
      <c r="U14" s="4" t="n"/>
      <c r="V14" s="4" t="n"/>
      <c r="W14" s="4" t="n"/>
    </row>
    <row r="15">
      <c r="A15" s="5" t="inlineStr">
        <is>
          <t>PRC-014</t>
        </is>
      </c>
      <c r="B15" s="5" t="inlineStr">
        <is>
          <t>SWEBOK</t>
        </is>
      </c>
      <c r="C15" s="4" t="inlineStr">
        <is>
          <t>2. ライフサイクルモデルの選定(PRC-011〜PRC-020)</t>
        </is>
      </c>
      <c r="D15" s="10" t="inlineStr">
        <is>
          <t>Medium</t>
        </is>
      </c>
      <c r="E15" s="4" t="inlineStr">
        <is>
          <t>複数候補の比較検討が記録されている</t>
        </is>
      </c>
      <c r="F15" s="4" t="inlineStr">
        <is>
          <t>少なくとも2つのライフサイクルモデル候補について採否の理由が残されている</t>
        </is>
      </c>
      <c r="G15" s="4" t="inlineStr">
        <is>
          <t>比較検討の記録がないと選定の妥当性を後から検証できず、問題発生時に代替モデルへの切替判断も遅れる。</t>
        </is>
      </c>
      <c r="H15" s="4" t="inlineStr">
        <is>
          <t>swebok-v4a.pdf ch10 SE Process &gt; 2.3 / 2.4(複数のライフサイクルモデルの存在と選択)</t>
        </is>
      </c>
      <c r="I15" s="4" t="inlineStr">
        <is>
          <t>CORE</t>
        </is>
      </c>
      <c r="J15" s="4" t="inlineStr">
        <is>
          <t>原則適用。案件スコープ・成果物・規制・リスク上非該当の場合はN/A根拠を記録。</t>
        </is>
      </c>
      <c r="K15" s="4" t="inlineStr">
        <is>
          <t>SRC-SWEBOK-V4A</t>
        </is>
      </c>
      <c r="L15" s="4" t="inlineStr"/>
      <c r="M15" s="4" t="n"/>
      <c r="N15" s="4" t="n"/>
      <c r="O15" s="4" t="n"/>
      <c r="P15" s="4" t="n"/>
      <c r="Q15" s="4" t="n"/>
      <c r="R15" s="4" t="n"/>
      <c r="S15" s="4" t="n"/>
      <c r="T15" s="4" t="n"/>
      <c r="U15" s="4" t="n"/>
      <c r="V15" s="4" t="n"/>
      <c r="W15" s="4" t="n"/>
    </row>
    <row r="16">
      <c r="A16" s="5" t="inlineStr">
        <is>
          <t>PRC-015</t>
        </is>
      </c>
      <c r="B16" s="5" t="inlineStr">
        <is>
          <t>SWEBOK</t>
        </is>
      </c>
      <c r="C16" s="4" t="inlineStr">
        <is>
          <t>2. ライフサイクルモデルの選定(PRC-011〜PRC-020)</t>
        </is>
      </c>
      <c r="D16" s="9" t="inlineStr">
        <is>
          <t>High</t>
        </is>
      </c>
      <c r="E16" s="4" t="inlineStr">
        <is>
          <t>ライフサイクル段階と各段階の開始・終了基準が定義されている</t>
        </is>
      </c>
      <c r="F16" s="4" t="inlineStr">
        <is>
          <t>本案件で扱う段階(Concept〜Retirement のうち該当するもの)ごとに開始条件と終了条件が検証可能な形で書かれている</t>
        </is>
      </c>
      <c r="G16" s="4" t="inlineStr">
        <is>
          <t>段階の開始・終了基準がないと、未完成のまま次段階へ進む「なし崩し移行」が起き、欠陥発見が後ろ倒しになる。</t>
        </is>
      </c>
      <c r="H16" s="4" t="inlineStr">
        <is>
          <t>swebok-v4a.pdf ch10 SE Process &gt; 2.6 The Management of SLCPs(Concept〜Retirementの6段階)</t>
        </is>
      </c>
      <c r="I16" s="4" t="inlineStr">
        <is>
          <t>CORE</t>
        </is>
      </c>
      <c r="J16" s="4" t="inlineStr">
        <is>
          <t>原則適用。案件スコープ・成果物・規制・リスク上非該当の場合はN/A根拠を記録。</t>
        </is>
      </c>
      <c r="K16" s="4" t="inlineStr">
        <is>
          <t>SRC-SWEBOK-V4A</t>
        </is>
      </c>
      <c r="L16" s="4" t="inlineStr"/>
      <c r="M16" s="4" t="n"/>
      <c r="N16" s="4" t="n"/>
      <c r="O16" s="4" t="n"/>
      <c r="P16" s="4" t="n"/>
      <c r="Q16" s="4" t="n"/>
      <c r="R16" s="4" t="n"/>
      <c r="S16" s="4" t="n"/>
      <c r="T16" s="4" t="n"/>
      <c r="U16" s="4" t="n"/>
      <c r="V16" s="4" t="n"/>
      <c r="W16" s="4" t="n"/>
    </row>
    <row r="17">
      <c r="A17" s="5" t="inlineStr">
        <is>
          <t>PRC-016</t>
        </is>
      </c>
      <c r="B17" s="5" t="inlineStr">
        <is>
          <t>SWEBOK</t>
        </is>
      </c>
      <c r="C17" s="4" t="inlineStr">
        <is>
          <t>2. ライフサイクルモデルの選定(PRC-011〜PRC-020)</t>
        </is>
      </c>
      <c r="D17" s="10" t="inlineStr">
        <is>
          <t>Medium</t>
        </is>
      </c>
      <c r="E17" s="4" t="inlineStr">
        <is>
          <t>反復型/インクリメンタル型の場合、イテレーションと増分の定義がある</t>
        </is>
      </c>
      <c r="F17" s="4" t="inlineStr">
        <is>
          <t>イテレーションの長さ(タイムボックス)と、増分の完成判定基準(Doneの定義等)が記述されている</t>
        </is>
      </c>
      <c r="G17" s="4" t="inlineStr">
        <is>
          <t>イテレーション長や増分の完成判定が曖昧だと、「動くが完成していない」増分が積み上がり、リリース判断ができなくなる。イテレーションの長さはプロジェクトごとに定義するとSWEBOKも明記。</t>
        </is>
      </c>
      <c r="H17" s="4" t="inlineStr">
        <is>
          <t>swebok-v4a.pdf ch10 SE Process &gt; 2.4(iterative/incremental life cycle、イテレーション期間の定義)</t>
        </is>
      </c>
      <c r="I17" s="4" t="inlineStr">
        <is>
          <t>CORE</t>
        </is>
      </c>
      <c r="J17" s="4" t="inlineStr">
        <is>
          <t>原則適用。案件スコープ・成果物・規制・リスク上非該当の場合はN/A根拠を記録。</t>
        </is>
      </c>
      <c r="K17" s="4" t="inlineStr">
        <is>
          <t>SRC-SWEBOK-V4A</t>
        </is>
      </c>
      <c r="L17" s="4" t="inlineStr"/>
      <c r="M17" s="4" t="n"/>
      <c r="N17" s="4" t="n"/>
      <c r="O17" s="4" t="n"/>
      <c r="P17" s="4" t="n"/>
      <c r="Q17" s="4" t="n"/>
      <c r="R17" s="4" t="n"/>
      <c r="S17" s="4" t="n"/>
      <c r="T17" s="4" t="n"/>
      <c r="U17" s="4" t="n"/>
      <c r="V17" s="4" t="n"/>
      <c r="W17" s="4" t="n"/>
    </row>
    <row r="18">
      <c r="A18" s="5" t="inlineStr">
        <is>
          <t>PRC-017</t>
        </is>
      </c>
      <c r="B18" s="5" t="inlineStr">
        <is>
          <t>SWEBOK</t>
        </is>
      </c>
      <c r="C18" s="4" t="inlineStr">
        <is>
          <t>2. ライフサイクルモデルの選定(PRC-011〜PRC-020)</t>
        </is>
      </c>
      <c r="D18" s="10" t="inlineStr">
        <is>
          <t>Medium</t>
        </is>
      </c>
      <c r="E18" s="4" t="inlineStr">
        <is>
          <t>リスクが支配的な案件でリスク駆動の反復(スパイラルモデル等)が検討されている</t>
        </is>
      </c>
      <c r="F18" s="4" t="inlineStr">
        <is>
          <t>高リスク要因が特定されている案件で、リスク低減を反復の駆動要因とする方針の採否が記録されている</t>
        </is>
      </c>
      <c r="G18" s="4" t="inlineStr">
        <is>
          <t>高リスク案件でリスク低減を先送りすると、後半に致命的問題が露見し回復不能になる。リスク駆動のスパイラルモデルはこれを防ぐために反復をリスクで駆動する。</t>
        </is>
      </c>
      <c r="H18" s="4" t="inlineStr">
        <is>
          <t>swebok-v4a.pdf ch10 SE Process &gt; 2.5(スパイラルモデル:進化的かつリスク駆動)</t>
        </is>
      </c>
      <c r="I18" s="4" t="inlineStr">
        <is>
          <t>CORE</t>
        </is>
      </c>
      <c r="J18" s="4" t="inlineStr">
        <is>
          <t>原則適用。案件スコープ・成果物・規制・リスク上非該当の場合はN/A根拠を記録。</t>
        </is>
      </c>
      <c r="K18" s="4" t="inlineStr">
        <is>
          <t>SRC-SWEBOK-V4A</t>
        </is>
      </c>
      <c r="L18" s="4" t="inlineStr"/>
      <c r="M18" s="4" t="n"/>
      <c r="N18" s="4" t="n"/>
      <c r="O18" s="4" t="n"/>
      <c r="P18" s="4" t="n"/>
      <c r="Q18" s="4" t="n"/>
      <c r="R18" s="4" t="n"/>
      <c r="S18" s="4" t="n"/>
      <c r="T18" s="4" t="n"/>
      <c r="U18" s="4" t="n"/>
      <c r="V18" s="4" t="n"/>
      <c r="W18" s="4" t="n"/>
    </row>
    <row r="19">
      <c r="A19" s="5" t="inlineStr">
        <is>
          <t>PRC-018</t>
        </is>
      </c>
      <c r="B19" s="5" t="inlineStr">
        <is>
          <t>SWEBOK</t>
        </is>
      </c>
      <c r="C19" s="4" t="inlineStr">
        <is>
          <t>2. ライフサイクルモデルの選定(PRC-011〜PRC-020)</t>
        </is>
      </c>
      <c r="D19" s="10" t="inlineStr">
        <is>
          <t>Medium</t>
        </is>
      </c>
      <c r="E19" s="4" t="inlineStr">
        <is>
          <t>継続的デリバリー/DevOps の適用可否が検討されている</t>
        </is>
      </c>
      <c r="F19" s="4" t="inlineStr">
        <is>
          <t>頻繁なリリースの要否と、ステージング/テスト環境への自動リリースの採否が記録されている</t>
        </is>
      </c>
      <c r="G19" s="4" t="inlineStr">
        <is>
          <t>頻繁なリリースが求められる案件で手動リリースのままだと、リリース作業自体がボトルネック・事故源になる。自動化ツールによるステージング/テスト環境への頻繁なリリースが継続的開発の定義。</t>
        </is>
      </c>
      <c r="H19" s="4" t="inlineStr">
        <is>
          <t>swebok-v4a.pdf ch10 SE Process &gt; 2.4 Continuous development / 2.5(DevOps)</t>
        </is>
      </c>
      <c r="I19" s="4" t="inlineStr">
        <is>
          <t>CORE</t>
        </is>
      </c>
      <c r="J19" s="4" t="inlineStr">
        <is>
          <t>原則適用。案件スコープ・成果物・規制・リスク上非該当の場合はN/A根拠を記録。</t>
        </is>
      </c>
      <c r="K19" s="4" t="inlineStr">
        <is>
          <t>SRC-SWEBOK-V4A</t>
        </is>
      </c>
      <c r="L19" s="4" t="inlineStr"/>
      <c r="M19" s="4" t="n"/>
      <c r="N19" s="4" t="n"/>
      <c r="O19" s="4" t="n"/>
      <c r="P19" s="4" t="n"/>
      <c r="Q19" s="4" t="n"/>
      <c r="R19" s="4" t="n"/>
      <c r="S19" s="4" t="n"/>
      <c r="T19" s="4" t="n"/>
      <c r="U19" s="4" t="n"/>
      <c r="V19" s="4" t="n"/>
      <c r="W19" s="4" t="n"/>
    </row>
    <row r="20">
      <c r="A20" s="5" t="inlineStr">
        <is>
          <t>PRC-019</t>
        </is>
      </c>
      <c r="B20" s="5" t="inlineStr">
        <is>
          <t>SWEBOK</t>
        </is>
      </c>
      <c r="C20" s="4" t="inlineStr">
        <is>
          <t>2. ライフサイクルモデルの選定(PRC-011〜PRC-020)</t>
        </is>
      </c>
      <c r="D20" s="11" t="inlineStr">
        <is>
          <t>Low</t>
        </is>
      </c>
      <c r="E20" s="4" t="inlineStr">
        <is>
          <t>アジャイル採用時に価値観・原則とプラクティスが区別されている</t>
        </is>
      </c>
      <c r="F20" s="4" t="inlineStr">
        <is>
          <t>採用するプラクティス(スプリント計画、レトロスペクティブ等)が列挙され、単に「アジャイルで進める」だけの記述になっていない</t>
        </is>
      </c>
      <c r="G20" s="4" t="inlineStr">
        <is>
          <t>プラクティスを特定しない「アジャイルで進める」宣言は実行内容が定まらず、チームごとの解釈のばらつきで形骸化する。アジャイルは価値観・原則とプラクティスを明確に区別する。</t>
        </is>
      </c>
      <c r="H20" s="4" t="inlineStr">
        <is>
          <t>swebok-v4a.pdf ch10 SE Process &gt; 2.5(values/principles と practices の区別)</t>
        </is>
      </c>
      <c r="I20" s="4" t="inlineStr">
        <is>
          <t>CORE</t>
        </is>
      </c>
      <c r="J20" s="4" t="inlineStr">
        <is>
          <t>原則適用。案件スコープ・成果物・規制・リスク上非該当の場合はN/A根拠を記録。</t>
        </is>
      </c>
      <c r="K20" s="4" t="inlineStr">
        <is>
          <t>SRC-SWEBOK-V4A</t>
        </is>
      </c>
      <c r="L20" s="4" t="inlineStr"/>
      <c r="M20" s="4" t="n"/>
      <c r="N20" s="4" t="n"/>
      <c r="O20" s="4" t="n"/>
      <c r="P20" s="4" t="n"/>
      <c r="Q20" s="4" t="n"/>
      <c r="R20" s="4" t="n"/>
      <c r="S20" s="4" t="n"/>
      <c r="T20" s="4" t="n"/>
      <c r="U20" s="4" t="n"/>
      <c r="V20" s="4" t="n"/>
      <c r="W20" s="4" t="n"/>
    </row>
    <row r="21">
      <c r="A21" s="5" t="inlineStr">
        <is>
          <t>PRC-020</t>
        </is>
      </c>
      <c r="B21" s="5" t="inlineStr">
        <is>
          <t>SWEBOK</t>
        </is>
      </c>
      <c r="C21" s="4" t="inlineStr">
        <is>
          <t>2. ライフサイクルモデルの選定(PRC-011〜PRC-020)</t>
        </is>
      </c>
      <c r="D21" s="11" t="inlineStr">
        <is>
          <t>Low</t>
        </is>
      </c>
      <c r="E21" s="4" t="inlineStr">
        <is>
          <t>「アジャイル=文書不要」等の誤解に基づく記述がない</t>
        </is>
      </c>
      <c r="F21" s="4" t="inlineStr">
        <is>
          <t>文書省略の記述がある場合、省略対象と代替手段(コード・テスト・チケットでの記録等)が明示されている</t>
        </is>
      </c>
      <c r="G21" s="4" t="inlineStr">
        <is>
          <t>「アジャイル=文書不要」の誤解は要求・設計情報の喪失を招き、保守・引き継ぎ不能に陥る。アジャイルマニフェストも文書は必要としているとSWEBOKは明記する。</t>
        </is>
      </c>
      <c r="H21" s="4" t="inlineStr">
        <is>
          <t>swebok-v4a.pdf ch10 SE Process &gt; 2.5(アジャイルを巡る誤解:文書不要・高速・手法そのもの等)</t>
        </is>
      </c>
      <c r="I21" s="4" t="inlineStr">
        <is>
          <t>CORE</t>
        </is>
      </c>
      <c r="J21" s="4" t="inlineStr">
        <is>
          <t>原則適用。案件スコープ・成果物・規制・リスク上非該当の場合はN/A根拠を記録。</t>
        </is>
      </c>
      <c r="K21" s="4" t="inlineStr">
        <is>
          <t>SRC-SWEBOK-V4A</t>
        </is>
      </c>
      <c r="L21" s="4" t="inlineStr"/>
      <c r="M21" s="4" t="n"/>
      <c r="N21" s="4" t="n"/>
      <c r="O21" s="4" t="n"/>
      <c r="P21" s="4" t="n"/>
      <c r="Q21" s="4" t="n"/>
      <c r="R21" s="4" t="n"/>
      <c r="S21" s="4" t="n"/>
      <c r="T21" s="4" t="n"/>
      <c r="U21" s="4" t="n"/>
      <c r="V21" s="4" t="n"/>
      <c r="W21" s="4" t="n"/>
    </row>
    <row r="22">
      <c r="A22" s="5" t="inlineStr">
        <is>
          <t>PRC-902</t>
        </is>
      </c>
      <c r="B22" s="5" t="inlineStr">
        <is>
          <t>追加承認</t>
        </is>
      </c>
      <c r="C22" s="4" t="inlineStr">
        <is>
          <t>2. ライフサイクルモデルの選定(PRC-011〜PRC-020)</t>
        </is>
      </c>
      <c r="D22" s="11" t="inlineStr">
        <is>
          <t>Low</t>
        </is>
      </c>
      <c r="E22" s="4" t="inlineStr">
        <is>
          <t>複数チーム・大規模案件でアジャイルを採用する場合、スケーリングの難しさが考慮されている</t>
        </is>
      </c>
      <c r="F22" s="4" t="inlineStr">
        <is>
          <t>複数チーム構成の案件で、チーム間の同期方法(共通ケイデンス、依存関係管理、統合方法)が記述されている。単一チーム案件では N/A</t>
        </is>
      </c>
      <c r="G22" s="4" t="inlineStr">
        <is>
          <t>大規模適用の難しさを無視すると、チーム間の依存・統合が管理されず、イテレーション末の統合破綻や優先順位の衝突が繰り返される。</t>
        </is>
      </c>
      <c r="H22" s="4" t="inlineStr">
        <is>
          <t>swebok-v4a.pdf ch10 SE Process &gt; 2.5 Development Life Cycle Models(大規模プロジェクト・ポートフォリオへのアジャイルのスケーリング)</t>
        </is>
      </c>
      <c r="I22" s="4" t="inlineStr">
        <is>
          <t>CORE</t>
        </is>
      </c>
      <c r="J22" s="4" t="inlineStr">
        <is>
          <t>原則適用。案件スコープ・成果物・規制・リスク上非該当の場合はN/A根拠を記録。</t>
        </is>
      </c>
      <c r="K22" s="4" t="inlineStr">
        <is>
          <t>SRC-SWEBOK-V4A</t>
        </is>
      </c>
      <c r="L22" s="4" t="inlineStr"/>
      <c r="M22" s="4" t="n"/>
      <c r="N22" s="4" t="n"/>
      <c r="O22" s="4" t="n"/>
      <c r="P22" s="4" t="n"/>
      <c r="Q22" s="4" t="n"/>
      <c r="R22" s="4" t="n"/>
      <c r="S22" s="4" t="n"/>
      <c r="T22" s="4" t="n"/>
      <c r="U22" s="4" t="n"/>
      <c r="V22" s="4" t="n"/>
      <c r="W22" s="4" t="n"/>
    </row>
    <row r="23">
      <c r="A23" s="5" t="inlineStr">
        <is>
          <t>PRC-903</t>
        </is>
      </c>
      <c r="B23" s="5" t="inlineStr">
        <is>
          <t>追加承認</t>
        </is>
      </c>
      <c r="C23" s="4" t="inlineStr">
        <is>
          <t>2. ライフサイクルモデルの選定(PRC-011〜PRC-020)</t>
        </is>
      </c>
      <c r="D23" s="10" t="inlineStr">
        <is>
          <t>Medium</t>
        </is>
      </c>
      <c r="E23" s="4" t="inlineStr">
        <is>
          <t>ライフサイクル段階間の遷移(順序・後戻り・並行)が定義されている</t>
        </is>
      </c>
      <c r="F23" s="4" t="inlineStr">
        <is>
          <t>段階間の許容される遷移(逐次・反復・並行・差し戻し)が図または表で示され、各遷移が発生する条件が読み取れる</t>
        </is>
      </c>
      <c r="G23" s="4" t="inlineStr">
        <is>
          <t>遷移が未定義だと、差し戻しや段階の並行実施が場当たりに行われ、どの段階の統制下にあるか不明な作業が発生して監視・管理が破綻する。</t>
        </is>
      </c>
      <c r="H23" s="4" t="inlineStr">
        <is>
          <t>swebok-v4a.pdf ch10 SE Process &gt; 2.6 The Management of SLCPs(段階は逐次とは限らず、ライフサイクル仕様は段階間の遷移を含む)</t>
        </is>
      </c>
      <c r="I23" s="4" t="inlineStr">
        <is>
          <t>CORE</t>
        </is>
      </c>
      <c r="J23" s="4" t="inlineStr">
        <is>
          <t>原則適用。案件スコープ・成果物・規制・リスク上非該当の場合はN/A根拠を記録。</t>
        </is>
      </c>
      <c r="K23" s="4" t="inlineStr">
        <is>
          <t>SRC-SWEBOK-V4A</t>
        </is>
      </c>
      <c r="L23" s="4" t="inlineStr"/>
      <c r="M23" s="4" t="n"/>
      <c r="N23" s="4" t="n"/>
      <c r="O23" s="4" t="n"/>
      <c r="P23" s="4" t="n"/>
      <c r="Q23" s="4" t="n"/>
      <c r="R23" s="4" t="n"/>
      <c r="S23" s="4" t="n"/>
      <c r="T23" s="4" t="n"/>
      <c r="U23" s="4" t="n"/>
      <c r="V23" s="4" t="n"/>
      <c r="W23" s="4" t="n"/>
    </row>
    <row r="24">
      <c r="A24" s="5" t="inlineStr">
        <is>
          <t>PRC-021</t>
        </is>
      </c>
      <c r="B24" s="5" t="inlineStr">
        <is>
          <t>SWEBOK</t>
        </is>
      </c>
      <c r="C24" s="4" t="inlineStr">
        <is>
          <t>3. プロセスカテゴリの網羅性(PRC-021〜PRC-028)</t>
        </is>
      </c>
      <c r="D24" s="8" t="inlineStr">
        <is>
          <t>Critical</t>
        </is>
      </c>
      <c r="E24" s="4" t="inlineStr">
        <is>
          <t>ISO/IEC/IEEE 12207 の4プロセスカテゴリすべてが検討されている</t>
        </is>
      </c>
      <c r="F24" s="4" t="inlineStr">
        <is>
          <t>技術/技術マネジメント/組織のプロジェクト実現/合意の4カテゴリそれぞれについて、採用プロセスまたは対象外の根拠が記録されている</t>
        </is>
      </c>
      <c r="G24" s="4" t="inlineStr">
        <is>
          <t>4カテゴリのいずれかの検討漏れがあると、契約(合意)や組織支援などの側面が無計画になり、技術作業は進んでも調達・体制で頓挫する。</t>
        </is>
      </c>
      <c r="H24" s="4" t="inlineStr">
        <is>
          <t>swebok-v4a.pdf ch10 SE Process &gt; 2.1(技術/技術マネジメント/組織のプロジェクト実現/合意の4プロセスカテゴリ)</t>
        </is>
      </c>
      <c r="I24" s="4" t="inlineStr">
        <is>
          <t>CORE</t>
        </is>
      </c>
      <c r="J24" s="4" t="inlineStr">
        <is>
          <t>原則適用。案件スコープ・成果物・規制・リスク上非該当の場合はN/A根拠を記録。</t>
        </is>
      </c>
      <c r="K24" s="4" t="inlineStr">
        <is>
          <t>SRC-SWEBOK-V4A</t>
        </is>
      </c>
      <c r="L24" s="4" t="inlineStr"/>
      <c r="M24" s="4" t="n"/>
      <c r="N24" s="4" t="n"/>
      <c r="O24" s="4" t="n"/>
      <c r="P24" s="4" t="n"/>
      <c r="Q24" s="4" t="n"/>
      <c r="R24" s="4" t="n"/>
      <c r="S24" s="4" t="n"/>
      <c r="T24" s="4" t="n"/>
      <c r="U24" s="4" t="n"/>
      <c r="V24" s="4" t="n"/>
      <c r="W24" s="4" t="n"/>
    </row>
    <row r="25">
      <c r="A25" s="5" t="inlineStr">
        <is>
          <t>PRC-022</t>
        </is>
      </c>
      <c r="B25" s="5" t="inlineStr">
        <is>
          <t>SWEBOK</t>
        </is>
      </c>
      <c r="C25" s="4" t="inlineStr">
        <is>
          <t>3. プロセスカテゴリの網羅性(PRC-021〜PRC-028)</t>
        </is>
      </c>
      <c r="D25" s="8" t="inlineStr">
        <is>
          <t>Critical</t>
        </is>
      </c>
      <c r="E25" s="4" t="inlineStr">
        <is>
          <t>技術プロセスの主要活動が欠落していない</t>
        </is>
      </c>
      <c r="F25" s="4" t="inlineStr">
        <is>
          <t>要求定義・設計・実装・統合・検証・妥当性確認・保守のうち、本案件に必要なものがプロセス定義に含まれている(除外時は根拠あり)</t>
        </is>
      </c>
      <c r="G25" s="4" t="inlineStr">
        <is>
          <t>検証・妥当性確認・保守などの技術プロセスが欠落すると、成果物が作られても品質確認・引き渡し・維持ができない事態を招く。</t>
        </is>
      </c>
      <c r="H25" s="4" t="inlineStr">
        <is>
          <t>swebok-v4a.pdf ch10 SE Process &gt; 2.1(技術プロセスの内訳:要求定義〜Disposal)</t>
        </is>
      </c>
      <c r="I25" s="4" t="inlineStr">
        <is>
          <t>CORE</t>
        </is>
      </c>
      <c r="J25" s="4" t="inlineStr">
        <is>
          <t>原則適用。案件スコープ・成果物・規制・リスク上非該当の場合はN/A根拠を記録。</t>
        </is>
      </c>
      <c r="K25" s="4" t="inlineStr">
        <is>
          <t>SRC-SWEBOK-V4A</t>
        </is>
      </c>
      <c r="L25" s="4" t="inlineStr"/>
      <c r="M25" s="4" t="n"/>
      <c r="N25" s="4" t="n"/>
      <c r="O25" s="4" t="n"/>
      <c r="P25" s="4" t="n"/>
      <c r="Q25" s="4" t="n"/>
      <c r="R25" s="4" t="n"/>
      <c r="S25" s="4" t="n"/>
      <c r="T25" s="4" t="n"/>
      <c r="U25" s="4" t="n"/>
      <c r="V25" s="4" t="n"/>
      <c r="W25" s="4" t="n"/>
    </row>
    <row r="26">
      <c r="A26" s="5" t="inlineStr">
        <is>
          <t>PRC-023</t>
        </is>
      </c>
      <c r="B26" s="5" t="inlineStr">
        <is>
          <t>SWEBOK</t>
        </is>
      </c>
      <c r="C26" s="4" t="inlineStr">
        <is>
          <t>3. プロセスカテゴリの網羅性(PRC-021〜PRC-028)</t>
        </is>
      </c>
      <c r="D26" s="9" t="inlineStr">
        <is>
          <t>High</t>
        </is>
      </c>
      <c r="E26" s="4" t="inlineStr">
        <is>
          <t>技術マネジメントプロセスが定義されている</t>
        </is>
      </c>
      <c r="F26" s="4" t="inlineStr">
        <is>
          <t>プロジェクト計画・リスク管理・構成管理・測定・品質保証のうち本案件に必要なものが定義されている(除外時は根拠あり)</t>
        </is>
      </c>
      <c r="G26" s="4" t="inlineStr">
        <is>
          <t>計画・リスク管理・構成管理・測定・品質保証が未定義だと、技術作業は進んでも統制が効かず、進捗不明や版管理事故が起きる。</t>
        </is>
      </c>
      <c r="H26" s="4" t="inlineStr">
        <is>
          <t>swebok-v4a.pdf ch10 SE Process &gt; 2.1(技術マネジメントプロセスの内訳)</t>
        </is>
      </c>
      <c r="I26" s="4" t="inlineStr">
        <is>
          <t>CORE</t>
        </is>
      </c>
      <c r="J26" s="4" t="inlineStr">
        <is>
          <t>原則適用。案件スコープ・成果物・規制・リスク上非該当の場合はN/A根拠を記録。</t>
        </is>
      </c>
      <c r="K26" s="4" t="inlineStr">
        <is>
          <t>SRC-SWEBOK-V4A</t>
        </is>
      </c>
      <c r="L26" s="4" t="inlineStr"/>
      <c r="M26" s="4" t="n"/>
      <c r="N26" s="4" t="n"/>
      <c r="O26" s="4" t="n"/>
      <c r="P26" s="4" t="n"/>
      <c r="Q26" s="4" t="n"/>
      <c r="R26" s="4" t="n"/>
      <c r="S26" s="4" t="n"/>
      <c r="T26" s="4" t="n"/>
      <c r="U26" s="4" t="n"/>
      <c r="V26" s="4" t="n"/>
      <c r="W26" s="4" t="n"/>
    </row>
    <row r="27">
      <c r="A27" s="5" t="inlineStr">
        <is>
          <t>PRC-024</t>
        </is>
      </c>
      <c r="B27" s="5" t="inlineStr">
        <is>
          <t>SWEBOK</t>
        </is>
      </c>
      <c r="C27" s="4" t="inlineStr">
        <is>
          <t>3. プロセスカテゴリの網羅性(PRC-021〜PRC-028)</t>
        </is>
      </c>
      <c r="D27" s="10" t="inlineStr">
        <is>
          <t>Medium</t>
        </is>
      </c>
      <c r="E27" s="4" t="inlineStr">
        <is>
          <t>組織のプロジェクト実現プロセスとの接続が記述されている</t>
        </is>
      </c>
      <c r="F27" s="4" t="inlineStr">
        <is>
          <t>ライフサイクルモデル管理・インフラ管理・人的資源管理など組織側プロセスへの依存事項が特定されている、または組織標準への参照がある</t>
        </is>
      </c>
      <c r="G27" s="4" t="inlineStr">
        <is>
          <t>インフラ・人的資源など組織側プロセスへの依存を明示しないと、プロジェクト側で解決できない前提が崩れた際の対応が後手に回る。</t>
        </is>
      </c>
      <c r="H27" s="4" t="inlineStr">
        <is>
          <t>swebok-v4a.pdf ch10 SE Process &gt; 2.1(組織のプロジェクト実現プロセス)/ 2.9</t>
        </is>
      </c>
      <c r="I27" s="4" t="inlineStr">
        <is>
          <t>CORE</t>
        </is>
      </c>
      <c r="J27" s="4" t="inlineStr">
        <is>
          <t>原則適用。案件スコープ・成果物・規制・リスク上非該当の場合はN/A根拠を記録。</t>
        </is>
      </c>
      <c r="K27" s="4" t="inlineStr">
        <is>
          <t>SRC-SWEBOK-V4A</t>
        </is>
      </c>
      <c r="L27" s="4" t="inlineStr"/>
      <c r="M27" s="4" t="n"/>
      <c r="N27" s="4" t="n"/>
      <c r="O27" s="4" t="n"/>
      <c r="P27" s="4" t="n"/>
      <c r="Q27" s="4" t="n"/>
      <c r="R27" s="4" t="n"/>
      <c r="S27" s="4" t="n"/>
      <c r="T27" s="4" t="n"/>
      <c r="U27" s="4" t="n"/>
      <c r="V27" s="4" t="n"/>
      <c r="W27" s="4" t="n"/>
    </row>
    <row r="28">
      <c r="A28" s="5" t="inlineStr">
        <is>
          <t>PRC-025</t>
        </is>
      </c>
      <c r="B28" s="5" t="inlineStr">
        <is>
          <t>SWEBOK</t>
        </is>
      </c>
      <c r="C28" s="4" t="inlineStr">
        <is>
          <t>3. プロセスカテゴリの網羅性(PRC-021〜PRC-028)</t>
        </is>
      </c>
      <c r="D28" s="9" t="inlineStr">
        <is>
          <t>High</t>
        </is>
      </c>
      <c r="E28" s="4" t="inlineStr">
        <is>
          <t>合意プロセス(取得・供給)が扱われている</t>
        </is>
      </c>
      <c r="F28" s="4" t="inlineStr">
        <is>
          <t>外部委託・調達・顧客への供給がある案件で、取得/供給の手続き(契約、検収基準)が定義されている。ない案件では対象外の根拠がある</t>
        </is>
      </c>
      <c r="G28" s="4" t="inlineStr">
        <is>
          <t>取得・供給の手続きが未定義だと、外部委託の検収基準や納品条件が曖昧になり、契約紛争や受け入れ不能な納品物の受領につながる。</t>
        </is>
      </c>
      <c r="H28" s="4" t="inlineStr">
        <is>
          <t>swebok-v4a.pdf ch10 SE Process &gt; 2.1(合意プロセス:Acquisition/Supply)</t>
        </is>
      </c>
      <c r="I28" s="4" t="inlineStr">
        <is>
          <t>CORE</t>
        </is>
      </c>
      <c r="J28" s="4" t="inlineStr">
        <is>
          <t>原則適用。案件スコープ・成果物・規制・リスク上非該当の場合はN/A根拠を記録。</t>
        </is>
      </c>
      <c r="K28" s="4" t="inlineStr">
        <is>
          <t>SRC-SWEBOK-V4A</t>
        </is>
      </c>
      <c r="L28" s="4" t="inlineStr"/>
      <c r="M28" s="4" t="n"/>
      <c r="N28" s="4" t="n"/>
      <c r="O28" s="4" t="n"/>
      <c r="P28" s="4" t="n"/>
      <c r="Q28" s="4" t="n"/>
      <c r="R28" s="4" t="n"/>
      <c r="S28" s="4" t="n"/>
      <c r="T28" s="4" t="n"/>
      <c r="U28" s="4" t="n"/>
      <c r="V28" s="4" t="n"/>
      <c r="W28" s="4" t="n"/>
    </row>
    <row r="29">
      <c r="A29" s="5" t="inlineStr">
        <is>
          <t>PRC-026</t>
        </is>
      </c>
      <c r="B29" s="5" t="inlineStr">
        <is>
          <t>SWEBOK</t>
        </is>
      </c>
      <c r="C29" s="4" t="inlineStr">
        <is>
          <t>3. プロセスカテゴリの網羅性(PRC-021〜PRC-028)</t>
        </is>
      </c>
      <c r="D29" s="9" t="inlineStr">
        <is>
          <t>High</t>
        </is>
      </c>
      <c r="E29" s="4" t="inlineStr">
        <is>
          <t>プロセス間の関係(成果物の受け渡し)が定義されている</t>
        </is>
      </c>
      <c r="F29" s="4" t="inlineStr">
        <is>
          <t>プロセス間で受け渡される成果物と依存関係が、図(アクティビティ図/BPMN等)または表で記述されている</t>
        </is>
      </c>
      <c r="G29" s="4" t="inlineStr">
        <is>
          <t>あるプロセスの出力は他プロセスの入力であり相互依存するため、受け渡しが不明だと入力待ちの停滞や成果物の重複作成が発生する。</t>
        </is>
      </c>
      <c r="H29" s="4" t="inlineStr">
        <is>
          <t>swebok-v4a.pdf ch10 SE Process &gt; 2.2 Rationale for Life Cycles(プロセスの相互関連性)</t>
        </is>
      </c>
      <c r="I29" s="4" t="inlineStr">
        <is>
          <t>CORE</t>
        </is>
      </c>
      <c r="J29" s="4" t="inlineStr">
        <is>
          <t>原則適用。案件スコープ・成果物・規制・リスク上非該当の場合はN/A根拠を記録。</t>
        </is>
      </c>
      <c r="K29" s="4" t="inlineStr">
        <is>
          <t>SRC-SWEBOK-V4A</t>
        </is>
      </c>
      <c r="L29" s="4" t="inlineStr"/>
      <c r="M29" s="4" t="n"/>
      <c r="N29" s="4" t="n"/>
      <c r="O29" s="4" t="n"/>
      <c r="P29" s="4" t="n"/>
      <c r="Q29" s="4" t="n"/>
      <c r="R29" s="4" t="n"/>
      <c r="S29" s="4" t="n"/>
      <c r="T29" s="4" t="n"/>
      <c r="U29" s="4" t="n"/>
      <c r="V29" s="4" t="n"/>
      <c r="W29" s="4" t="n"/>
    </row>
    <row r="30">
      <c r="A30" s="5" t="inlineStr">
        <is>
          <t>PRC-027</t>
        </is>
      </c>
      <c r="B30" s="5" t="inlineStr">
        <is>
          <t>SWEBOK</t>
        </is>
      </c>
      <c r="C30" s="4" t="inlineStr">
        <is>
          <t>3. プロセスカテゴリの網羅性(PRC-021〜PRC-028)</t>
        </is>
      </c>
      <c r="D30" s="10" t="inlineStr">
        <is>
          <t>Medium</t>
        </is>
      </c>
      <c r="E30" s="4" t="inlineStr">
        <is>
          <t>プロセスマネジメントの階層が意識されている</t>
        </is>
      </c>
      <c r="F30" s="4" t="inlineStr">
        <is>
          <t>技術プロセス層・技術マネジメント層・組織マネジメント層のどの層の意思決定かが判別できる責任分担になっている</t>
        </is>
      </c>
      <c r="G30" s="4" t="inlineStr">
        <is>
          <t>技術・技術マネジメント・経営(組織)の3層の意思決定が混在すると、現場で決めてよいことまで上位承認を待つ、逆に組織決定を現場が覆すなどの混乱が生じる。</t>
        </is>
      </c>
      <c r="H30" s="4" t="inlineStr">
        <is>
          <t>swebok-v4a.pdf ch10 SE Process &gt; 2.7 Software Engineering Process Management(3つのマネジメント階層)</t>
        </is>
      </c>
      <c r="I30" s="4" t="inlineStr">
        <is>
          <t>CORE</t>
        </is>
      </c>
      <c r="J30" s="4" t="inlineStr">
        <is>
          <t>原則適用。案件スコープ・成果物・規制・リスク上非該当の場合はN/A根拠を記録。</t>
        </is>
      </c>
      <c r="K30" s="4" t="inlineStr">
        <is>
          <t>SRC-SWEBOK-V4A</t>
        </is>
      </c>
      <c r="L30" s="4" t="inlineStr"/>
      <c r="M30" s="4" t="n"/>
      <c r="N30" s="4" t="n"/>
      <c r="O30" s="4" t="n"/>
      <c r="P30" s="4" t="n"/>
      <c r="Q30" s="4" t="n"/>
      <c r="R30" s="4" t="n"/>
      <c r="S30" s="4" t="n"/>
      <c r="T30" s="4" t="n"/>
      <c r="U30" s="4" t="n"/>
      <c r="V30" s="4" t="n"/>
      <c r="W30" s="4" t="n"/>
    </row>
    <row r="31">
      <c r="A31" s="5" t="inlineStr">
        <is>
          <t>PRC-028</t>
        </is>
      </c>
      <c r="B31" s="5" t="inlineStr">
        <is>
          <t>SWEBOK</t>
        </is>
      </c>
      <c r="C31" s="4" t="inlineStr">
        <is>
          <t>3. プロセスカテゴリの網羅性(PRC-021〜PRC-028)</t>
        </is>
      </c>
      <c r="D31" s="10" t="inlineStr">
        <is>
          <t>Medium</t>
        </is>
      </c>
      <c r="E31" s="4" t="inlineStr">
        <is>
          <t>運用・退役までの扱いが決まっている</t>
        </is>
      </c>
      <c r="F31" s="4" t="inlineStr">
        <is>
          <t>Utilization/Support/Retirement 段階を本文書の範囲に含むか否かと、含まない場合の引き継ぎ先が明記されている</t>
        </is>
      </c>
      <c r="G31" s="4" t="inlineStr">
        <is>
          <t>運用・支援・退役段階の扱いを決めないと、リリース後の保守責任が宙に浮き、退役時の処分手続きが無計画になる。</t>
        </is>
      </c>
      <c r="H31" s="4" t="inlineStr">
        <is>
          <t>swebok-v4a.pdf ch10 SE Process &gt; 2.6(Utilization/Support/Retirement 段階)</t>
        </is>
      </c>
      <c r="I31" s="4" t="inlineStr">
        <is>
          <t>CORE</t>
        </is>
      </c>
      <c r="J31" s="4" t="inlineStr">
        <is>
          <t>原則適用。案件スコープ・成果物・規制・リスク上非該当の場合はN/A根拠を記録。</t>
        </is>
      </c>
      <c r="K31" s="4" t="inlineStr">
        <is>
          <t>SRC-SWEBOK-V4A</t>
        </is>
      </c>
      <c r="L31" s="4" t="inlineStr"/>
      <c r="M31" s="4" t="n"/>
      <c r="N31" s="4" t="n"/>
      <c r="O31" s="4" t="n"/>
      <c r="P31" s="4" t="n"/>
      <c r="Q31" s="4" t="n"/>
      <c r="R31" s="4" t="n"/>
      <c r="S31" s="4" t="n"/>
      <c r="T31" s="4" t="n"/>
      <c r="U31" s="4" t="n"/>
      <c r="V31" s="4" t="n"/>
      <c r="W31" s="4" t="n"/>
    </row>
    <row r="32">
      <c r="A32" s="5" t="inlineStr">
        <is>
          <t>PRC-029</t>
        </is>
      </c>
      <c r="B32" s="5" t="inlineStr">
        <is>
          <t>SWEBOK</t>
        </is>
      </c>
      <c r="C32" s="4" t="inlineStr">
        <is>
          <t>4. テーラリング(適応)(PRC-029〜PRC-038)</t>
        </is>
      </c>
      <c r="D32" s="8" t="inlineStr">
        <is>
          <t>Critical</t>
        </is>
      </c>
      <c r="E32" s="4" t="inlineStr">
        <is>
          <t>テーラリングの基準となる標準・組織内文書が特定されている</t>
        </is>
      </c>
      <c r="F32" s="4" t="inlineStr">
        <is>
          <t>どの標準プロセス(組織標準、ISO/IEC/IEEE 12207、ISO/IEC 29110 等)を出発点に適応したかが明記されている</t>
        </is>
      </c>
      <c r="G32" s="4" t="inlineStr">
        <is>
          <t>出発点の標準が不明なテーラリングは適応の妥当性を検証できず、標準改訂への追従や監査対応が不可能になる。適応は適切な標準・組織内文書の選択を含むとSWEBOKは定める。</t>
        </is>
      </c>
      <c r="H32" s="4" t="inlineStr">
        <is>
          <t>swebok-v4a.pdf ch10 SE Process &gt; 2.8 Software Life Cycle Adaptation</t>
        </is>
      </c>
      <c r="I32" s="4" t="inlineStr">
        <is>
          <t>CORE</t>
        </is>
      </c>
      <c r="J32" s="4" t="inlineStr">
        <is>
          <t>原則適用。案件スコープ・成果物・規制・リスク上非該当の場合はN/A根拠を記録。</t>
        </is>
      </c>
      <c r="K32" s="4" t="inlineStr">
        <is>
          <t>SRC-SWEBOK-V4A</t>
        </is>
      </c>
      <c r="L32" s="4" t="inlineStr"/>
      <c r="M32" s="4" t="n"/>
      <c r="N32" s="4" t="n"/>
      <c r="O32" s="4" t="n"/>
      <c r="P32" s="4" t="n"/>
      <c r="Q32" s="4" t="n"/>
      <c r="R32" s="4" t="n"/>
      <c r="S32" s="4" t="n"/>
      <c r="T32" s="4" t="n"/>
      <c r="U32" s="4" t="n"/>
      <c r="V32" s="4" t="n"/>
      <c r="W32" s="4" t="n"/>
    </row>
    <row r="33">
      <c r="A33" s="5" t="inlineStr">
        <is>
          <t>PRC-030</t>
        </is>
      </c>
      <c r="B33" s="5" t="inlineStr">
        <is>
          <t>SWEBOK</t>
        </is>
      </c>
      <c r="C33" s="4" t="inlineStr">
        <is>
          <t>4. テーラリング(適応)(PRC-029〜PRC-038)</t>
        </is>
      </c>
      <c r="D33" s="8" t="inlineStr">
        <is>
          <t>Critical</t>
        </is>
      </c>
      <c r="E33" s="4" t="inlineStr">
        <is>
          <t>標準からの追加・変更・省略がすべて記録されている</t>
        </is>
      </c>
      <c r="F33" s="4" t="inlineStr">
        <is>
          <t>テーラリング決定の一覧(項目、適用/変更/省略の別)があり、標準との対応関係が追跡できる</t>
        </is>
      </c>
      <c r="G33" s="4" t="inlineStr">
        <is>
          <t>追加・変更・省略が記録されないと、標準との乖離が「暗黙の逸脱」となり、必要な活動の省略に誰も気づけないまま進行する。決定と根拠の文書化は適応の必須要素。</t>
        </is>
      </c>
      <c r="H33" s="4" t="inlineStr">
        <is>
          <t>swebok-v4a.pdf ch10 SE Process &gt; 2.8(decisions and rationale の文書化)</t>
        </is>
      </c>
      <c r="I33" s="4" t="inlineStr">
        <is>
          <t>CORE</t>
        </is>
      </c>
      <c r="J33" s="4" t="inlineStr">
        <is>
          <t>原則適用。案件スコープ・成果物・規制・リスク上非該当の場合はN/A根拠を記録。</t>
        </is>
      </c>
      <c r="K33" s="4" t="inlineStr">
        <is>
          <t>SRC-SWEBOK-V4A;SRC-CIS</t>
        </is>
      </c>
      <c r="L33" s="4" t="inlineStr"/>
      <c r="M33" s="4" t="n"/>
      <c r="N33" s="4" t="n"/>
      <c r="O33" s="4" t="n"/>
      <c r="P33" s="4" t="n"/>
      <c r="Q33" s="4" t="n"/>
      <c r="R33" s="4" t="n"/>
      <c r="S33" s="4" t="n"/>
      <c r="T33" s="4" t="n"/>
      <c r="U33" s="4" t="n"/>
      <c r="V33" s="4" t="n"/>
      <c r="W33" s="4" t="n"/>
    </row>
    <row r="34">
      <c r="A34" s="5" t="inlineStr">
        <is>
          <t>PRC-031</t>
        </is>
      </c>
      <c r="B34" s="5" t="inlineStr">
        <is>
          <t>SWEBOK</t>
        </is>
      </c>
      <c r="C34" s="4" t="inlineStr">
        <is>
          <t>4. テーラリング(適応)(PRC-029〜PRC-038)</t>
        </is>
      </c>
      <c r="D34" s="8" t="inlineStr">
        <is>
          <t>Critical</t>
        </is>
      </c>
      <c r="E34" s="4" t="inlineStr">
        <is>
          <t>各テーラリング決定に根拠が付いている</t>
        </is>
      </c>
      <c r="F34" s="4" t="inlineStr">
        <is>
          <t>すべての変更・省略について、プロジェクト特性(規模・リスク・要求安定性等)に基づく理由が1件ずつ記述されている</t>
        </is>
      </c>
      <c r="G34" s="4" t="inlineStr">
        <is>
          <t>根拠のない省略は、後から「なぜこの活動がないのか」を誰も説明できず、状況変化時に活動を復活させる判断もできなくする。</t>
        </is>
      </c>
      <c r="H34" s="4" t="inlineStr">
        <is>
          <t>swebok-v4a.pdf ch10 SE Process &gt; 2.8(rationale の文書化)</t>
        </is>
      </c>
      <c r="I34" s="4" t="inlineStr">
        <is>
          <t>CORE</t>
        </is>
      </c>
      <c r="J34" s="4" t="inlineStr">
        <is>
          <t>原則適用。案件スコープ・成果物・規制・リスク上非該当の場合はN/A根拠を記録。</t>
        </is>
      </c>
      <c r="K34" s="4" t="inlineStr">
        <is>
          <t>SRC-SWEBOK-V4A</t>
        </is>
      </c>
      <c r="L34" s="4" t="inlineStr"/>
      <c r="M34" s="4" t="n"/>
      <c r="N34" s="4" t="n"/>
      <c r="O34" s="4" t="n"/>
      <c r="P34" s="4" t="n"/>
      <c r="Q34" s="4" t="n"/>
      <c r="R34" s="4" t="n"/>
      <c r="S34" s="4" t="n"/>
      <c r="T34" s="4" t="n"/>
      <c r="U34" s="4" t="n"/>
      <c r="V34" s="4" t="n"/>
      <c r="W34" s="4" t="n"/>
    </row>
    <row r="35">
      <c r="A35" s="5" t="inlineStr">
        <is>
          <t>PRC-032</t>
        </is>
      </c>
      <c r="B35" s="5" t="inlineStr">
        <is>
          <t>SWEBOK</t>
        </is>
      </c>
      <c r="C35" s="4" t="inlineStr">
        <is>
          <t>4. テーラリング(適応)(PRC-029〜PRC-038)</t>
        </is>
      </c>
      <c r="D35" s="9" t="inlineStr">
        <is>
          <t>High</t>
        </is>
      </c>
      <c r="E35" s="4" t="inlineStr">
        <is>
          <t>テーラリングの承認者・承認日が記録されている</t>
        </is>
      </c>
      <c r="F35" s="4" t="inlineStr">
        <is>
          <t>各決定または決定一覧に対する承認権限者の承認記録(氏名または役割と日付)がある</t>
        </is>
      </c>
      <c r="G35" s="4" t="inlineStr">
        <is>
          <t>承認記録のないテーラリングは個人判断による標準逸脱と区別がつかず、組織としての正当性を持たない。</t>
        </is>
      </c>
      <c r="H35" s="4" t="inlineStr">
        <is>
          <t>実務補完(ISO/IEC/IEEE 12207 テーラリングプロセスの承認慣行)</t>
        </is>
      </c>
      <c r="I35" s="4" t="inlineStr">
        <is>
          <t>CORE</t>
        </is>
      </c>
      <c r="J35" s="4" t="inlineStr">
        <is>
          <t>原則適用。案件スコープ・成果物・規制・リスク上非該当の場合はN/A根拠を記録。</t>
        </is>
      </c>
      <c r="K35" s="4" t="inlineStr">
        <is>
          <t>SRC-ISO-GENERAL;SRC-PRACTICE</t>
        </is>
      </c>
      <c r="L35" s="4" t="inlineStr"/>
      <c r="M35" s="4" t="n"/>
      <c r="N35" s="4" t="n"/>
      <c r="O35" s="4" t="n"/>
      <c r="P35" s="4" t="n"/>
      <c r="Q35" s="4" t="n"/>
      <c r="R35" s="4" t="n"/>
      <c r="S35" s="4" t="n"/>
      <c r="T35" s="4" t="n"/>
      <c r="U35" s="4" t="n"/>
      <c r="V35" s="4" t="n"/>
      <c r="W35" s="4" t="n"/>
    </row>
    <row r="36">
      <c r="A36" s="5" t="inlineStr">
        <is>
          <t>PRC-033</t>
        </is>
      </c>
      <c r="B36" s="5" t="inlineStr">
        <is>
          <t>SWEBOK</t>
        </is>
      </c>
      <c r="C36" s="4" t="inlineStr">
        <is>
          <t>4. テーラリング(適応)(PRC-029〜PRC-038)</t>
        </is>
      </c>
      <c r="D36" s="9" t="inlineStr">
        <is>
          <t>High</t>
        </is>
      </c>
      <c r="E36" s="4" t="inlineStr">
        <is>
          <t>変更してはならない事項(テーラリング不可項目)が定義されている</t>
        </is>
      </c>
      <c r="F36" s="4" t="inlineStr">
        <is>
          <t>規制・契約・組織方針により省略できないプロセス・活動が明示されている、または不可項目なしと明記されている</t>
        </is>
      </c>
      <c r="G36" s="4" t="inlineStr">
        <is>
          <t>規制・契約で必須の活動まで省略されると、法令違反・契約不履行という回復困難な事態になる。統制(directives/constraints)はプロセス定義の構成要素。</t>
        </is>
      </c>
      <c r="H36" s="4" t="inlineStr">
        <is>
          <t>swebok-v4a.pdf ch10 SE Process &gt; 1.2(controls)/ 2.8</t>
        </is>
      </c>
      <c r="I36" s="4" t="inlineStr">
        <is>
          <t>CORE</t>
        </is>
      </c>
      <c r="J36" s="4" t="inlineStr">
        <is>
          <t>原則適用。案件スコープ・成果物・規制・リスク上非該当の場合はN/A根拠を記録。</t>
        </is>
      </c>
      <c r="K36" s="4" t="inlineStr">
        <is>
          <t>SRC-SWEBOK-V4A</t>
        </is>
      </c>
      <c r="L36" s="4" t="inlineStr"/>
      <c r="M36" s="4" t="n"/>
      <c r="N36" s="4" t="n"/>
      <c r="O36" s="4" t="n"/>
      <c r="P36" s="4" t="n"/>
      <c r="Q36" s="4" t="n"/>
      <c r="R36" s="4" t="n"/>
      <c r="S36" s="4" t="n"/>
      <c r="T36" s="4" t="n"/>
      <c r="U36" s="4" t="n"/>
      <c r="V36" s="4" t="n"/>
      <c r="W36" s="4" t="n"/>
    </row>
    <row r="37">
      <c r="A37" s="5" t="inlineStr">
        <is>
          <t>PRC-034</t>
        </is>
      </c>
      <c r="B37" s="5" t="inlineStr">
        <is>
          <t>SWEBOK</t>
        </is>
      </c>
      <c r="C37" s="4" t="inlineStr">
        <is>
          <t>4. テーラリング(適応)(PRC-029〜PRC-038)</t>
        </is>
      </c>
      <c r="D37" s="9" t="inlineStr">
        <is>
          <t>High</t>
        </is>
      </c>
      <c r="E37" s="4" t="inlineStr">
        <is>
          <t>プロジェクト特性の評価項目と評価方法が定義されている</t>
        </is>
      </c>
      <c r="F37" s="4" t="inlineStr">
        <is>
          <t>規模・クリティカリティ・要求安定性・チーム分散度等の評価軸と、各軸の判定方法(段階値等)が記述されている</t>
        </is>
      </c>
      <c r="G37" s="4" t="inlineStr">
        <is>
          <t>特性評価の軸と方法がないと、テーラリングが担当者の勘に依存し案件ごとに判断がぶれる。適応は関連特性すべての識別から始まるとSWEBOKは定める。</t>
        </is>
      </c>
      <c r="H37" s="4" t="inlineStr">
        <is>
          <t>swebok-v4a.pdf ch10 SE Process &gt; 2.8(identifying all the relevant characteristics)/ 2.9</t>
        </is>
      </c>
      <c r="I37" s="4" t="inlineStr">
        <is>
          <t>CORE</t>
        </is>
      </c>
      <c r="J37" s="4" t="inlineStr">
        <is>
          <t>原則適用。案件スコープ・成果物・規制・リスク上非該当の場合はN/A根拠を記録。</t>
        </is>
      </c>
      <c r="K37" s="4" t="inlineStr">
        <is>
          <t>SRC-SWEBOK-V4A</t>
        </is>
      </c>
      <c r="L37" s="4" t="inlineStr"/>
      <c r="M37" s="4" t="n"/>
      <c r="N37" s="4" t="n"/>
      <c r="O37" s="4" t="n"/>
      <c r="P37" s="4" t="n"/>
      <c r="Q37" s="4" t="n"/>
      <c r="R37" s="4" t="n"/>
      <c r="S37" s="4" t="n"/>
      <c r="T37" s="4" t="n"/>
      <c r="U37" s="4" t="n"/>
      <c r="V37" s="4" t="n"/>
      <c r="W37" s="4" t="n"/>
    </row>
    <row r="38">
      <c r="A38" s="5" t="inlineStr">
        <is>
          <t>PRC-035</t>
        </is>
      </c>
      <c r="B38" s="5" t="inlineStr">
        <is>
          <t>SWEBOK</t>
        </is>
      </c>
      <c r="C38" s="4" t="inlineStr">
        <is>
          <t>4. テーラリング(適応)(PRC-029〜PRC-038)</t>
        </is>
      </c>
      <c r="D38" s="10" t="inlineStr">
        <is>
          <t>Medium</t>
        </is>
      </c>
      <c r="E38" s="4" t="inlineStr">
        <is>
          <t>特性評価からプロセス選択への対応づけがある</t>
        </is>
      </c>
      <c r="F38" s="4" t="inlineStr">
        <is>
          <t>特性評価の結果ごとに適用すべき/省略可能なプロセス・活動が対応表等で示されている</t>
        </is>
      </c>
      <c r="G38" s="4" t="inlineStr">
        <is>
          <t>特性評価とプロセス選択の対応がないと、評価が形式だけになり実際のプロセス・段階の選択に反映されない。</t>
        </is>
      </c>
      <c r="H38" s="4" t="inlineStr">
        <is>
          <t>swebok-v4a.pdf ch10 SE Process &gt; 2.8(特性に基づく戦略・モデル・段階・プロセスの選択)</t>
        </is>
      </c>
      <c r="I38" s="4" t="inlineStr">
        <is>
          <t>CORE</t>
        </is>
      </c>
      <c r="J38" s="4" t="inlineStr">
        <is>
          <t>原則適用。案件スコープ・成果物・規制・リスク上非該当の場合はN/A根拠を記録。</t>
        </is>
      </c>
      <c r="K38" s="4" t="inlineStr">
        <is>
          <t>SRC-SWEBOK-V4A</t>
        </is>
      </c>
      <c r="L38" s="4" t="inlineStr"/>
      <c r="M38" s="4" t="n"/>
      <c r="N38" s="4" t="n"/>
      <c r="O38" s="4" t="n"/>
      <c r="P38" s="4" t="n"/>
      <c r="Q38" s="4" t="n"/>
      <c r="R38" s="4" t="n"/>
      <c r="S38" s="4" t="n"/>
      <c r="T38" s="4" t="n"/>
      <c r="U38" s="4" t="n"/>
      <c r="V38" s="4" t="n"/>
      <c r="W38" s="4" t="n"/>
    </row>
    <row r="39">
      <c r="A39" s="5" t="inlineStr">
        <is>
          <t>PRC-036</t>
        </is>
      </c>
      <c r="B39" s="5" t="inlineStr">
        <is>
          <t>SWEBOK</t>
        </is>
      </c>
      <c r="C39" s="4" t="inlineStr">
        <is>
          <t>4. テーラリング(適応)(PRC-029〜PRC-038)</t>
        </is>
      </c>
      <c r="D39" s="10" t="inlineStr">
        <is>
          <t>Medium</t>
        </is>
      </c>
      <c r="E39" s="4" t="inlineStr">
        <is>
          <t>逸脱時のエスカレーション手順がある</t>
        </is>
      </c>
      <c r="F39" s="4" t="inlineStr">
        <is>
          <t>テーラリングガイドの範囲を超える逸脱が必要になった場合の申請先・判断手順が定義されている</t>
        </is>
      </c>
      <c r="G39" s="4" t="inlineStr">
        <is>
          <t>エスカレーション手順がないと、ガイド範囲外の逸脱が現場判断で行われ、統制外のプロセスが発生する。</t>
        </is>
      </c>
      <c r="H39" s="4" t="inlineStr">
        <is>
          <t>実務補完(テーラリングガバナンスの一般慣行)</t>
        </is>
      </c>
      <c r="I39" s="4" t="inlineStr">
        <is>
          <t>CORE</t>
        </is>
      </c>
      <c r="J39" s="4" t="inlineStr">
        <is>
          <t>原則適用。案件スコープ・成果物・規制・リスク上非該当の場合はN/A根拠を記録。</t>
        </is>
      </c>
      <c r="K39" s="4" t="inlineStr">
        <is>
          <t>SRC-PRACTICE</t>
        </is>
      </c>
      <c r="L39" s="4" t="inlineStr"/>
      <c r="M39" s="4" t="n"/>
      <c r="N39" s="4" t="n"/>
      <c r="O39" s="4" t="n"/>
      <c r="P39" s="4" t="n"/>
      <c r="Q39" s="4" t="n"/>
      <c r="R39" s="4" t="n"/>
      <c r="S39" s="4" t="n"/>
      <c r="T39" s="4" t="n"/>
      <c r="U39" s="4" t="n"/>
      <c r="V39" s="4" t="n"/>
      <c r="W39" s="4" t="n"/>
    </row>
    <row r="40">
      <c r="A40" s="5" t="inlineStr">
        <is>
          <t>PRC-037</t>
        </is>
      </c>
      <c r="B40" s="5" t="inlineStr">
        <is>
          <t>SWEBOK</t>
        </is>
      </c>
      <c r="C40" s="4" t="inlineStr">
        <is>
          <t>4. テーラリング(適応)(PRC-029〜PRC-038)</t>
        </is>
      </c>
      <c r="D40" s="10" t="inlineStr">
        <is>
          <t>Medium</t>
        </is>
      </c>
      <c r="E40" s="4" t="inlineStr">
        <is>
          <t>超小規模チームで ISO/IEC 29110 等の軽量プロファイルが検討されている</t>
        </is>
      </c>
      <c r="F40" s="4" t="inlineStr">
        <is>
          <t>チームが超小規模(目安25名以下)の場合、フル規格でなく軽量プロファイル採用の検討記録がある。該当しない規模なら N/A</t>
        </is>
      </c>
      <c r="G40" s="4" t="inlineStr">
        <is>
          <t>超小規模チームにフル規格を強いると文書負荷で開発が停滞する。SWEBOKはVSE向けにISO/IEC/IEEE 12207から派生した ISO/IEC 29110 シリーズを挙げている。</t>
        </is>
      </c>
      <c r="H40" s="4" t="inlineStr">
        <is>
          <t>swebok-v4a.pdf ch10 SE Process &gt; 2.8(ISO/IEC 29110 for Very Small Entities)</t>
        </is>
      </c>
      <c r="I40" s="4" t="inlineStr">
        <is>
          <t>CORE</t>
        </is>
      </c>
      <c r="J40" s="4" t="inlineStr">
        <is>
          <t>原則適用。案件スコープ・成果物・規制・リスク上非該当の場合はN/A根拠を記録。</t>
        </is>
      </c>
      <c r="K40" s="4" t="inlineStr">
        <is>
          <t>SRC-SWEBOK-V4A;SRC-ISO-GENERAL</t>
        </is>
      </c>
      <c r="L40" s="4" t="inlineStr"/>
      <c r="M40" s="4" t="n"/>
      <c r="N40" s="4" t="n"/>
      <c r="O40" s="4" t="n"/>
      <c r="P40" s="4" t="n"/>
      <c r="Q40" s="4" t="n"/>
      <c r="R40" s="4" t="n"/>
      <c r="S40" s="4" t="n"/>
      <c r="T40" s="4" t="n"/>
      <c r="U40" s="4" t="n"/>
      <c r="V40" s="4" t="n"/>
      <c r="W40" s="4" t="n"/>
    </row>
    <row r="41">
      <c r="A41" s="5" t="inlineStr">
        <is>
          <t>PRC-038</t>
        </is>
      </c>
      <c r="B41" s="5" t="inlineStr">
        <is>
          <t>SWEBOK</t>
        </is>
      </c>
      <c r="C41" s="4" t="inlineStr">
        <is>
          <t>4. テーラリング(適応)(PRC-029〜PRC-038)</t>
        </is>
      </c>
      <c r="D41" s="11" t="inlineStr">
        <is>
          <t>Low</t>
        </is>
      </c>
      <c r="E41" s="4" t="inlineStr">
        <is>
          <t>テーラリング結果の見直し時期が定められている</t>
        </is>
      </c>
      <c r="F41" s="4" t="inlineStr">
        <is>
          <t>プロジェクトの節目(フェーズ移行等)でテーラリング決定を再評価するタイミングが記述されている</t>
        </is>
      </c>
      <c r="G41" s="4" t="inlineStr">
        <is>
          <t>見直し時期を定めないと、初期の前提が変わってもテーラリングが固定され、実態と乖離したプロセスが残り続ける。</t>
        </is>
      </c>
      <c r="H41" s="4" t="inlineStr">
        <is>
          <t>swebok-v4a.pdf ch10 SE Process &gt; 3.1(PDCAによる継続的改善)/ 実務補完</t>
        </is>
      </c>
      <c r="I41" s="4" t="inlineStr">
        <is>
          <t>CORE</t>
        </is>
      </c>
      <c r="J41" s="4" t="inlineStr">
        <is>
          <t>原則適用。案件スコープ・成果物・規制・リスク上非該当の場合はN/A根拠を記録。</t>
        </is>
      </c>
      <c r="K41" s="4" t="inlineStr">
        <is>
          <t>SRC-SWEBOK-V4A;SRC-PRACTICE</t>
        </is>
      </c>
      <c r="L41" s="4" t="inlineStr"/>
      <c r="M41" s="4" t="n"/>
      <c r="N41" s="4" t="n"/>
      <c r="O41" s="4" t="n"/>
      <c r="P41" s="4" t="n"/>
      <c r="Q41" s="4" t="n"/>
      <c r="R41" s="4" t="n"/>
      <c r="S41" s="4" t="n"/>
      <c r="T41" s="4" t="n"/>
      <c r="U41" s="4" t="n"/>
      <c r="V41" s="4" t="n"/>
      <c r="W41" s="4" t="n"/>
    </row>
    <row r="42">
      <c r="A42" s="5" t="inlineStr">
        <is>
          <t>PRC-039</t>
        </is>
      </c>
      <c r="B42" s="5" t="inlineStr">
        <is>
          <t>SWEBOK</t>
        </is>
      </c>
      <c r="C42" s="4" t="inlineStr">
        <is>
          <t>5. プロセス計測(メトリクス)定義(PRC-039〜PRC-050)</t>
        </is>
      </c>
      <c r="D42" s="8" t="inlineStr">
        <is>
          <t>Critical</t>
        </is>
      </c>
      <c r="E42" s="4" t="inlineStr">
        <is>
          <t>測定の目標(Goal)が明示されている</t>
        </is>
      </c>
      <c r="F42" s="4" t="inlineStr">
        <is>
          <t>GQM 等に基づき、測定の目的・対象・視点(誰のための測定か)が目標として文書化されている</t>
        </is>
      </c>
      <c r="G42" s="4" t="inlineStr">
        <is>
          <t>目的のない測定は「測れるものを測るだけ」になり、意思決定に使えないデータの収集にコストを浪費する。測定可能な目標の設定がGQM/品質改善パラダイムの起点。</t>
        </is>
      </c>
      <c r="H42" s="4" t="inlineStr">
        <is>
          <t>swebok-v4a.pdf ch10 SE Process &gt; 3.2 Goal Question Metric (GQM)</t>
        </is>
      </c>
      <c r="I42" s="4" t="inlineStr">
        <is>
          <t>CORE</t>
        </is>
      </c>
      <c r="J42" s="4" t="inlineStr">
        <is>
          <t>原則適用。案件スコープ・成果物・規制・リスク上非該当の場合はN/A根拠を記録。</t>
        </is>
      </c>
      <c r="K42" s="4" t="inlineStr">
        <is>
          <t>SRC-SWEBOK-V4A</t>
        </is>
      </c>
      <c r="L42" s="4" t="inlineStr">
        <is>
          <t>OPS-OBSERVABILITY</t>
        </is>
      </c>
      <c r="M42" s="4" t="n"/>
      <c r="N42" s="4" t="n"/>
      <c r="O42" s="4" t="n"/>
      <c r="P42" s="4" t="n"/>
      <c r="Q42" s="4" t="n"/>
      <c r="R42" s="4" t="n"/>
      <c r="S42" s="4" t="n"/>
      <c r="T42" s="4" t="n"/>
      <c r="U42" s="4" t="n"/>
      <c r="V42" s="4" t="n"/>
      <c r="W42" s="4" t="n"/>
    </row>
    <row r="43">
      <c r="A43" s="5" t="inlineStr">
        <is>
          <t>PRC-040</t>
        </is>
      </c>
      <c r="B43" s="5" t="inlineStr">
        <is>
          <t>SWEBOK</t>
        </is>
      </c>
      <c r="C43" s="4" t="inlineStr">
        <is>
          <t>5. プロセス計測(メトリクス)定義(PRC-039〜PRC-050)</t>
        </is>
      </c>
      <c r="D43" s="8" t="inlineStr">
        <is>
          <t>Critical</t>
        </is>
      </c>
      <c r="E43" s="4" t="inlineStr">
        <is>
          <t>すべてのメトリクスが Goal に遡れる</t>
        </is>
      </c>
      <c r="F43" s="4" t="inlineStr">
        <is>
          <t>Goal→Question→Metric(または同等の目的→指標)の対応表があり、どの目標にも紐づかないメトリクスが存在しない</t>
        </is>
      </c>
      <c r="G43" s="4" t="inlineStr">
        <is>
          <t>Goalに遡れないメトリクスは意思決定に使われず、収集負荷と数値操作の温床だけが残る。</t>
        </is>
      </c>
      <c r="H43" s="4" t="inlineStr">
        <is>
          <t>swebok-v4a.pdf ch10 SE Process &gt; 3.2 GQM</t>
        </is>
      </c>
      <c r="I43" s="4" t="inlineStr">
        <is>
          <t>CORE</t>
        </is>
      </c>
      <c r="J43" s="4" t="inlineStr">
        <is>
          <t>原則適用。案件スコープ・成果物・規制・リスク上非該当の場合はN/A根拠を記録。</t>
        </is>
      </c>
      <c r="K43" s="4" t="inlineStr">
        <is>
          <t>SRC-SWEBOK-V4A</t>
        </is>
      </c>
      <c r="L43" s="4" t="inlineStr">
        <is>
          <t>OPS-OBSERVABILITY</t>
        </is>
      </c>
      <c r="M43" s="4" t="n"/>
      <c r="N43" s="4" t="n"/>
      <c r="O43" s="4" t="n"/>
      <c r="P43" s="4" t="n"/>
      <c r="Q43" s="4" t="n"/>
      <c r="R43" s="4" t="n"/>
      <c r="S43" s="4" t="n"/>
      <c r="T43" s="4" t="n"/>
      <c r="U43" s="4" t="n"/>
      <c r="V43" s="4" t="n"/>
      <c r="W43" s="4" t="n"/>
    </row>
    <row r="44">
      <c r="A44" s="5" t="inlineStr">
        <is>
          <t>PRC-041</t>
        </is>
      </c>
      <c r="B44" s="5" t="inlineStr">
        <is>
          <t>SWEBOK</t>
        </is>
      </c>
      <c r="C44" s="4" t="inlineStr">
        <is>
          <t>5. プロセス計測(メトリクス)定義(PRC-039〜PRC-050)</t>
        </is>
      </c>
      <c r="D44" s="8" t="inlineStr">
        <is>
          <t>Critical</t>
        </is>
      </c>
      <c r="E44" s="4" t="inlineStr">
        <is>
          <t>各メトリクスの定義が再現可能な具体性で書かれている</t>
        </is>
      </c>
      <c r="F44" s="4" t="inlineStr">
        <is>
          <t>名称・定義(数式または算出手順)・単位・データソースが、第三者が同じ値を算出できる粒度で記述されている</t>
        </is>
      </c>
      <c r="G44" s="4" t="inlineStr">
        <is>
          <t>定義が曖昧なメトリクスは算出者によって値が変わり、傾向比較や目標判定が無意味になる。測定はプロセス・製品の状態を正確に伝えるべきというのがSWEBOKの要請。</t>
        </is>
      </c>
      <c r="H44" s="4" t="inlineStr">
        <is>
          <t>swebok-v4a.pdf ch10 SE Process &gt; 2.9 Practical Considerations(正確な測定情報の提供)</t>
        </is>
      </c>
      <c r="I44" s="4" t="inlineStr">
        <is>
          <t>CORE</t>
        </is>
      </c>
      <c r="J44" s="4" t="inlineStr">
        <is>
          <t>原則適用。案件スコープ・成果物・規制・リスク上非該当の場合はN/A根拠を記録。</t>
        </is>
      </c>
      <c r="K44" s="4" t="inlineStr">
        <is>
          <t>SRC-SWEBOK-V4A</t>
        </is>
      </c>
      <c r="L44" s="4" t="inlineStr">
        <is>
          <t>OPS-OBSERVABILITY</t>
        </is>
      </c>
      <c r="M44" s="4" t="n"/>
      <c r="N44" s="4" t="n"/>
      <c r="O44" s="4" t="n"/>
      <c r="P44" s="4" t="n"/>
      <c r="Q44" s="4" t="n"/>
      <c r="R44" s="4" t="n"/>
      <c r="S44" s="4" t="n"/>
      <c r="T44" s="4" t="n"/>
      <c r="U44" s="4" t="n"/>
      <c r="V44" s="4" t="n"/>
      <c r="W44" s="4" t="n"/>
    </row>
    <row r="45">
      <c r="A45" s="5" t="inlineStr">
        <is>
          <t>PRC-042</t>
        </is>
      </c>
      <c r="B45" s="5" t="inlineStr">
        <is>
          <t>SWEBOK</t>
        </is>
      </c>
      <c r="C45" s="4" t="inlineStr">
        <is>
          <t>5. プロセス計測(メトリクス)定義(PRC-039〜PRC-050)</t>
        </is>
      </c>
      <c r="D45" s="9" t="inlineStr">
        <is>
          <t>High</t>
        </is>
      </c>
      <c r="E45" s="4" t="inlineStr">
        <is>
          <t>収集方法・頻度・責任者が定義されている</t>
        </is>
      </c>
      <c r="F45" s="4" t="inlineStr">
        <is>
          <t>各メトリクスに収集手段(手動/自動、使用ツール)、収集頻度、収集責任者が記載されている</t>
        </is>
      </c>
      <c r="G45" s="4" t="inlineStr">
        <is>
          <t>収集の方法・頻度・責任が決まっていないと測定が計画倒れになりデータが揃わず、モニタリングも改善効果の評価も不能になる。</t>
        </is>
      </c>
      <c r="H45" s="4" t="inlineStr">
        <is>
          <t>swebok-v4a.pdf ch10 SE Process &gt; 2.1(技術マネジメント:測定プロセス)/ 実務補完(測定プロセスの運用慣行)</t>
        </is>
      </c>
      <c r="I45" s="4" t="inlineStr">
        <is>
          <t>CORE</t>
        </is>
      </c>
      <c r="J45" s="4" t="inlineStr">
        <is>
          <t>原則適用。案件スコープ・成果物・規制・リスク上非該当の場合はN/A根拠を記録。</t>
        </is>
      </c>
      <c r="K45" s="4" t="inlineStr">
        <is>
          <t>SRC-SWEBOK-V4A;SRC-PRACTICE</t>
        </is>
      </c>
      <c r="L45" s="4" t="inlineStr">
        <is>
          <t>OPS-OBSERVABILITY</t>
        </is>
      </c>
      <c r="M45" s="4" t="n"/>
      <c r="N45" s="4" t="n"/>
      <c r="O45" s="4" t="n"/>
      <c r="P45" s="4" t="n"/>
      <c r="Q45" s="4" t="n"/>
      <c r="R45" s="4" t="n"/>
      <c r="S45" s="4" t="n"/>
      <c r="T45" s="4" t="n"/>
      <c r="U45" s="4" t="n"/>
      <c r="V45" s="4" t="n"/>
      <c r="W45" s="4" t="n"/>
    </row>
    <row r="46">
      <c r="A46" s="5" t="inlineStr">
        <is>
          <t>PRC-043</t>
        </is>
      </c>
      <c r="B46" s="5" t="inlineStr">
        <is>
          <t>SWEBOK</t>
        </is>
      </c>
      <c r="C46" s="4" t="inlineStr">
        <is>
          <t>5. プロセス計測(メトリクス)定義(PRC-039〜PRC-050)</t>
        </is>
      </c>
      <c r="D46" s="9" t="inlineStr">
        <is>
          <t>High</t>
        </is>
      </c>
      <c r="E46" s="4" t="inlineStr">
        <is>
          <t>目標値・閾値または判断基準が設定されている</t>
        </is>
      </c>
      <c r="F46" s="4" t="inlineStr">
        <is>
          <t>各メトリクスに目標値・許容範囲・アラート閾値のいずれか、または「傾向監視のみ」の明示がある</t>
        </is>
      </c>
      <c r="G46" s="4" t="inlineStr">
        <is>
          <t>判断基準のない数値は「集めて眺めるだけ」になり、逸脱に気づいても是正のトリガーとして機能しない。</t>
        </is>
      </c>
      <c r="H46" s="4" t="inlineStr">
        <is>
          <t>swebok-v4a.pdf ch10 SE Process &gt; 2.11(プロセス目標の達成状況の評価)</t>
        </is>
      </c>
      <c r="I46" s="4" t="inlineStr">
        <is>
          <t>CORE</t>
        </is>
      </c>
      <c r="J46" s="4" t="inlineStr">
        <is>
          <t>原則適用。案件スコープ・成果物・規制・リスク上非該当の場合はN/A根拠を記録。</t>
        </is>
      </c>
      <c r="K46" s="4" t="inlineStr">
        <is>
          <t>SRC-SWEBOK-V4A</t>
        </is>
      </c>
      <c r="L46" s="4" t="inlineStr">
        <is>
          <t>OPS-OBSERVABILITY</t>
        </is>
      </c>
      <c r="M46" s="4" t="n"/>
      <c r="N46" s="4" t="n"/>
      <c r="O46" s="4" t="n"/>
      <c r="P46" s="4" t="n"/>
      <c r="Q46" s="4" t="n"/>
      <c r="R46" s="4" t="n"/>
      <c r="S46" s="4" t="n"/>
      <c r="T46" s="4" t="n"/>
      <c r="U46" s="4" t="n"/>
      <c r="V46" s="4" t="n"/>
      <c r="W46" s="4" t="n"/>
    </row>
    <row r="47">
      <c r="A47" s="5" t="inlineStr">
        <is>
          <t>PRC-044</t>
        </is>
      </c>
      <c r="B47" s="5" t="inlineStr">
        <is>
          <t>SWEBOK</t>
        </is>
      </c>
      <c r="C47" s="4" t="inlineStr">
        <is>
          <t>5. プロセス計測(メトリクス)定義(PRC-039〜PRC-050)</t>
        </is>
      </c>
      <c r="D47" s="9" t="inlineStr">
        <is>
          <t>High</t>
        </is>
      </c>
      <c r="E47" s="4" t="inlineStr">
        <is>
          <t>プロセス指標と製品指標の両方が含まれている</t>
        </is>
      </c>
      <c r="F47" s="4" t="inlineStr">
        <is>
          <t>プロセス指標(リードタイム、手戻り率等)と製品指標(欠陥密度等)の双方が定義され、区分が明示されている</t>
        </is>
      </c>
      <c r="G47" s="4" t="inlineStr">
        <is>
          <t>プロセス指標だけではプロセスの目的(ステークホルダーのニーズを満たす製品を得ること)を見失う。プロセスと製品の双方を統合的に評価せよというのが2.11の要請。</t>
        </is>
      </c>
      <c r="H47" s="4" t="inlineStr">
        <is>
          <t>swebok-v4a.pdf ch10 SE Process &gt; 2.11(プロセスと製品の joint, holistic な評価)</t>
        </is>
      </c>
      <c r="I47" s="4" t="inlineStr">
        <is>
          <t>CORE</t>
        </is>
      </c>
      <c r="J47" s="4" t="inlineStr">
        <is>
          <t>原則適用。案件スコープ・成果物・規制・リスク上非該当の場合はN/A根拠を記録。</t>
        </is>
      </c>
      <c r="K47" s="4" t="inlineStr">
        <is>
          <t>SRC-SWEBOK-V4A</t>
        </is>
      </c>
      <c r="L47" s="4" t="inlineStr">
        <is>
          <t>OPS-OBSERVABILITY</t>
        </is>
      </c>
      <c r="M47" s="4" t="n"/>
      <c r="N47" s="4" t="n"/>
      <c r="O47" s="4" t="n"/>
      <c r="P47" s="4" t="n"/>
      <c r="Q47" s="4" t="n"/>
      <c r="R47" s="4" t="n"/>
      <c r="S47" s="4" t="n"/>
      <c r="T47" s="4" t="n"/>
      <c r="U47" s="4" t="n"/>
      <c r="V47" s="4" t="n"/>
      <c r="W47" s="4" t="n"/>
    </row>
    <row r="48">
      <c r="A48" s="5" t="inlineStr">
        <is>
          <t>PRC-045</t>
        </is>
      </c>
      <c r="B48" s="5" t="inlineStr">
        <is>
          <t>SWEBOK</t>
        </is>
      </c>
      <c r="C48" s="4" t="inlineStr">
        <is>
          <t>5. プロセス計測(メトリクス)定義(PRC-039〜PRC-050)</t>
        </is>
      </c>
      <c r="D48" s="10" t="inlineStr">
        <is>
          <t>Medium</t>
        </is>
      </c>
      <c r="E48" s="4" t="inlineStr">
        <is>
          <t>メトリクスの解釈上の注意が記述されている</t>
        </is>
      </c>
      <c r="F48" s="4" t="inlineStr">
        <is>
          <t>単独で判断してはならない指標、ゲーミング(数値操作)されやすい指標について注意書きがある</t>
        </is>
      </c>
      <c r="G48" s="4" t="inlineStr">
        <is>
          <t>単独指標での断定や数値操作(行数稼ぎ等)を放置すると、指標は改善しているのに実態は悪化する乖離が生じる。</t>
        </is>
      </c>
      <c r="H48" s="4" t="inlineStr">
        <is>
          <t>実務補完(測定プログラム運用の一般慣行)</t>
        </is>
      </c>
      <c r="I48" s="4" t="inlineStr">
        <is>
          <t>CORE</t>
        </is>
      </c>
      <c r="J48" s="4" t="inlineStr">
        <is>
          <t>原則適用。案件スコープ・成果物・規制・リスク上非該当の場合はN/A根拠を記録。</t>
        </is>
      </c>
      <c r="K48" s="4" t="inlineStr">
        <is>
          <t>SRC-PRACTICE</t>
        </is>
      </c>
      <c r="L48" s="4" t="inlineStr">
        <is>
          <t>OPS-OBSERVABILITY</t>
        </is>
      </c>
      <c r="M48" s="4" t="n"/>
      <c r="N48" s="4" t="n"/>
      <c r="O48" s="4" t="n"/>
      <c r="P48" s="4" t="n"/>
      <c r="Q48" s="4" t="n"/>
      <c r="R48" s="4" t="n"/>
      <c r="S48" s="4" t="n"/>
      <c r="T48" s="4" t="n"/>
      <c r="U48" s="4" t="n"/>
      <c r="V48" s="4" t="n"/>
      <c r="W48" s="4" t="n"/>
    </row>
    <row r="49">
      <c r="A49" s="5" t="inlineStr">
        <is>
          <t>PRC-046</t>
        </is>
      </c>
      <c r="B49" s="5" t="inlineStr">
        <is>
          <t>SWEBOK</t>
        </is>
      </c>
      <c r="C49" s="4" t="inlineStr">
        <is>
          <t>5. プロセス計測(メトリクス)定義(PRC-039〜PRC-050)</t>
        </is>
      </c>
      <c r="D49" s="10" t="inlineStr">
        <is>
          <t>Medium</t>
        </is>
      </c>
      <c r="E49" s="4" t="inlineStr">
        <is>
          <t>データ品質の確保方法が定義されている</t>
        </is>
      </c>
      <c r="F49" s="4" t="inlineStr">
        <is>
          <t>欠測・異常値・重複データの検出と扱い(除外基準等)が記述されている</t>
        </is>
      </c>
      <c r="G49" s="4" t="inlineStr">
        <is>
          <t>欠測・異常値を放置すると、誤ったデータに基づく誤った改善判断が下される。経験的測定は正確さが前提であり、不正確なら成功しないとSWEBOKは警告する。</t>
        </is>
      </c>
      <c r="H49" s="4" t="inlineStr">
        <is>
          <t>swebok-v4a.pdf ch10 SE Process &gt; 2.9(測定・見積もりの正確性と不確実性)</t>
        </is>
      </c>
      <c r="I49" s="4" t="inlineStr">
        <is>
          <t>CORE</t>
        </is>
      </c>
      <c r="J49" s="4" t="inlineStr">
        <is>
          <t>原則適用。案件スコープ・成果物・規制・リスク上非該当の場合はN/A根拠を記録。</t>
        </is>
      </c>
      <c r="K49" s="4" t="inlineStr">
        <is>
          <t>SRC-SWEBOK-V4A</t>
        </is>
      </c>
      <c r="L49" s="4" t="inlineStr">
        <is>
          <t>OPS-OBSERVABILITY</t>
        </is>
      </c>
      <c r="M49" s="4" t="n"/>
      <c r="N49" s="4" t="n"/>
      <c r="O49" s="4" t="n"/>
      <c r="P49" s="4" t="n"/>
      <c r="Q49" s="4" t="n"/>
      <c r="R49" s="4" t="n"/>
      <c r="S49" s="4" t="n"/>
      <c r="T49" s="4" t="n"/>
      <c r="U49" s="4" t="n"/>
      <c r="V49" s="4" t="n"/>
      <c r="W49" s="4" t="n"/>
    </row>
    <row r="50">
      <c r="A50" s="5" t="inlineStr">
        <is>
          <t>PRC-047</t>
        </is>
      </c>
      <c r="B50" s="5" t="inlineStr">
        <is>
          <t>SWEBOK</t>
        </is>
      </c>
      <c r="C50" s="4" t="inlineStr">
        <is>
          <t>5. プロセス計測(メトリクス)定義(PRC-039〜PRC-050)</t>
        </is>
      </c>
      <c r="D50" s="10" t="inlineStr">
        <is>
          <t>Medium</t>
        </is>
      </c>
      <c r="E50" s="4" t="inlineStr">
        <is>
          <t>報告方法が定義されている</t>
        </is>
      </c>
      <c r="F50" s="4" t="inlineStr">
        <is>
          <t>報告手段(ダッシュボード/レポート)、報告先、報告頻度が記載されている</t>
        </is>
      </c>
      <c r="G50" s="4" t="inlineStr">
        <is>
          <t>報告経路が決まっていないと、収集データが意思決定者に届かず、測定が現場の作業で終わってしまう。</t>
        </is>
      </c>
      <c r="H50" s="4" t="inlineStr">
        <is>
          <t>実務補完(ISO/IEC/IEEE 15939 相当の測定プロセス慣行)</t>
        </is>
      </c>
      <c r="I50" s="4" t="inlineStr">
        <is>
          <t>CORE</t>
        </is>
      </c>
      <c r="J50" s="4" t="inlineStr">
        <is>
          <t>原則適用。案件スコープ・成果物・規制・リスク上非該当の場合はN/A根拠を記録。</t>
        </is>
      </c>
      <c r="K50" s="4" t="inlineStr">
        <is>
          <t>SRC-ISO-GENERAL;SRC-PRACTICE</t>
        </is>
      </c>
      <c r="L50" s="4" t="inlineStr">
        <is>
          <t>OPS-OBSERVABILITY</t>
        </is>
      </c>
      <c r="M50" s="4" t="n"/>
      <c r="N50" s="4" t="n"/>
      <c r="O50" s="4" t="n"/>
      <c r="P50" s="4" t="n"/>
      <c r="Q50" s="4" t="n"/>
      <c r="R50" s="4" t="n"/>
      <c r="S50" s="4" t="n"/>
      <c r="T50" s="4" t="n"/>
      <c r="U50" s="4" t="n"/>
      <c r="V50" s="4" t="n"/>
      <c r="W50" s="4" t="n"/>
    </row>
    <row r="51">
      <c r="A51" s="5" t="inlineStr">
        <is>
          <t>PRC-048</t>
        </is>
      </c>
      <c r="B51" s="5" t="inlineStr">
        <is>
          <t>SWEBOK</t>
        </is>
      </c>
      <c r="C51" s="4" t="inlineStr">
        <is>
          <t>5. プロセス計測(メトリクス)定義(PRC-039〜PRC-050)</t>
        </is>
      </c>
      <c r="D51" s="10" t="inlineStr">
        <is>
          <t>Medium</t>
        </is>
      </c>
      <c r="E51" s="4" t="inlineStr">
        <is>
          <t>見積もりとの関係が扱われている</t>
        </is>
      </c>
      <c r="F51" s="4" t="inlineStr">
        <is>
          <t>見積もり値(工数・期間等)と実績メトリクスの比較・見積もり精度の評価方法が定義されている</t>
        </is>
      </c>
      <c r="G51" s="4" t="inlineStr">
        <is>
          <t>見積もりと実績の比較を怠ると見積もり精度が改善されない。誤った・不確かな見積もりはライフサイクル運営の失敗につながるとSWEBOKは明言する。</t>
        </is>
      </c>
      <c r="H51" s="4" t="inlineStr">
        <is>
          <t>swebok-v4a.pdf ch10 SE Process &gt; 2.9(Wrong or uncertain estimations will lead to failure)</t>
        </is>
      </c>
      <c r="I51" s="4" t="inlineStr">
        <is>
          <t>CORE</t>
        </is>
      </c>
      <c r="J51" s="4" t="inlineStr">
        <is>
          <t>原則適用。案件スコープ・成果物・規制・リスク上非該当の場合はN/A根拠を記録。</t>
        </is>
      </c>
      <c r="K51" s="4" t="inlineStr">
        <is>
          <t>SRC-SWEBOK-V4A</t>
        </is>
      </c>
      <c r="L51" s="4" t="inlineStr">
        <is>
          <t>OPS-OBSERVABILITY</t>
        </is>
      </c>
      <c r="M51" s="4" t="n"/>
      <c r="N51" s="4" t="n"/>
      <c r="O51" s="4" t="n"/>
      <c r="P51" s="4" t="n"/>
      <c r="Q51" s="4" t="n"/>
      <c r="R51" s="4" t="n"/>
      <c r="S51" s="4" t="n"/>
      <c r="T51" s="4" t="n"/>
      <c r="U51" s="4" t="n"/>
      <c r="V51" s="4" t="n"/>
      <c r="W51" s="4" t="n"/>
    </row>
    <row r="52">
      <c r="A52" s="5" t="inlineStr">
        <is>
          <t>PRC-049</t>
        </is>
      </c>
      <c r="B52" s="5" t="inlineStr">
        <is>
          <t>SWEBOK</t>
        </is>
      </c>
      <c r="C52" s="4" t="inlineStr">
        <is>
          <t>5. プロセス計測(メトリクス)定義(PRC-039〜PRC-050)</t>
        </is>
      </c>
      <c r="D52" s="11" t="inlineStr">
        <is>
          <t>Low</t>
        </is>
      </c>
      <c r="E52" s="4" t="inlineStr">
        <is>
          <t>メトリクス自体の見直し手順がある</t>
        </is>
      </c>
      <c r="F52" s="4" t="inlineStr">
        <is>
          <t>目的を失った指標の廃止基準と、メトリクス定義の改訂手順が記述されている</t>
        </is>
      </c>
      <c r="G52" s="4" t="inlineStr">
        <is>
          <t>目的を失った指標が残り続けると、収集負荷だけが積み上がり測定プログラム全体への信頼を損なう。</t>
        </is>
      </c>
      <c r="H52" s="4" t="inlineStr">
        <is>
          <t>swebok-v4a.pdf ch10 SE Process &gt; 3.1(PDCAによる継続的見直し)/ 実務補完</t>
        </is>
      </c>
      <c r="I52" s="4" t="inlineStr">
        <is>
          <t>CORE</t>
        </is>
      </c>
      <c r="J52" s="4" t="inlineStr">
        <is>
          <t>原則適用。案件スコープ・成果物・規制・リスク上非該当の場合はN/A根拠を記録。</t>
        </is>
      </c>
      <c r="K52" s="4" t="inlineStr">
        <is>
          <t>SRC-SWEBOK-V4A;SRC-PRACTICE</t>
        </is>
      </c>
      <c r="L52" s="4" t="inlineStr">
        <is>
          <t>OPS-OBSERVABILITY</t>
        </is>
      </c>
      <c r="M52" s="4" t="n"/>
      <c r="N52" s="4" t="n"/>
      <c r="O52" s="4" t="n"/>
      <c r="P52" s="4" t="n"/>
      <c r="Q52" s="4" t="n"/>
      <c r="R52" s="4" t="n"/>
      <c r="S52" s="4" t="n"/>
      <c r="T52" s="4" t="n"/>
      <c r="U52" s="4" t="n"/>
      <c r="V52" s="4" t="n"/>
      <c r="W52" s="4" t="n"/>
    </row>
    <row r="53">
      <c r="A53" s="5" t="inlineStr">
        <is>
          <t>PRC-050</t>
        </is>
      </c>
      <c r="B53" s="5" t="inlineStr">
        <is>
          <t>SWEBOK</t>
        </is>
      </c>
      <c r="C53" s="4" t="inlineStr">
        <is>
          <t>5. プロセス計測(メトリクス)定義(PRC-039〜PRC-050)</t>
        </is>
      </c>
      <c r="D53" s="11" t="inlineStr">
        <is>
          <t>Low</t>
        </is>
      </c>
      <c r="E53" s="4" t="inlineStr">
        <is>
          <t>測定コストが考慮されている</t>
        </is>
      </c>
      <c r="F53" s="4" t="inlineStr">
        <is>
          <t>収集の自動化方針、または手動収集の場合の負荷見積もりが記述されている</t>
        </is>
      </c>
      <c r="G53" s="4" t="inlineStr">
        <is>
          <t>測定コストを無視すると手動収集の負荷で現場が疲弊し、データの省略・改ざんが始まる。プロセスの自動化は成功するライフサイクル実装の必須要素。</t>
        </is>
      </c>
      <c r="H53" s="4" t="inlineStr">
        <is>
          <t>swebok-v4a.pdf ch10 SE Process &gt; 2.10(プロセス自動化)/ 実務補完(測定の自動化慣行)</t>
        </is>
      </c>
      <c r="I53" s="4" t="inlineStr">
        <is>
          <t>CORE</t>
        </is>
      </c>
      <c r="J53" s="4" t="inlineStr">
        <is>
          <t>原則適用。案件スコープ・成果物・規制・リスク上非該当の場合はN/A根拠を記録。</t>
        </is>
      </c>
      <c r="K53" s="4" t="inlineStr">
        <is>
          <t>SRC-SWEBOK-V4A;SRC-PRACTICE</t>
        </is>
      </c>
      <c r="L53" s="4" t="inlineStr">
        <is>
          <t>OPS-OBSERVABILITY;COST</t>
        </is>
      </c>
      <c r="M53" s="4" t="n"/>
      <c r="N53" s="4" t="n"/>
      <c r="O53" s="4" t="n"/>
      <c r="P53" s="4" t="n"/>
      <c r="Q53" s="4" t="n"/>
      <c r="R53" s="4" t="n"/>
      <c r="S53" s="4" t="n"/>
      <c r="T53" s="4" t="n"/>
      <c r="U53" s="4" t="n"/>
      <c r="V53" s="4" t="n"/>
      <c r="W53" s="4" t="n"/>
    </row>
    <row r="54">
      <c r="A54" s="5" t="inlineStr">
        <is>
          <t>PRC-901</t>
        </is>
      </c>
      <c r="B54" s="5" t="inlineStr">
        <is>
          <t>追加承認</t>
        </is>
      </c>
      <c r="C54" s="4" t="inlineStr">
        <is>
          <t>5. プロセス計測(メトリクス)定義(PRC-039〜PRC-050)</t>
        </is>
      </c>
      <c r="D54" s="10" t="inlineStr">
        <is>
          <t>Medium</t>
        </is>
      </c>
      <c r="E54" s="4" t="inlineStr">
        <is>
          <t>見積もり・測定の精度と不確実性のレベルが定義されている</t>
        </is>
      </c>
      <c r="F54" s="4" t="inlineStr">
        <is>
          <t>主要メトリクスと見積もり値に、精度(誤差範囲・信頼度等)または不確実性の程度の記述があり、不確実性が高い場合の扱い(再見積もり・アプローチ全体の見直し等)が定められている</t>
        </is>
      </c>
      <c r="G54" s="4" t="inlineStr">
        <is>
          <t>精度不明の数値をそのまま計画・判断に使うと、実態と乖離した意思決定を確信を持って下してしまい、ライフサイクル運営の失敗につながる。</t>
        </is>
      </c>
      <c r="H54" s="4" t="inlineStr">
        <is>
          <t>swebok-v4a.pdf ch10 SE Process &gt; 2.9 Practical Considerations(測定・見積もりの精度と不確実性レベルの定義)</t>
        </is>
      </c>
      <c r="I54" s="4" t="inlineStr">
        <is>
          <t>CORE</t>
        </is>
      </c>
      <c r="J54" s="4" t="inlineStr">
        <is>
          <t>原則適用。案件スコープ・成果物・規制・リスク上非該当の場合はN/A根拠を記録。</t>
        </is>
      </c>
      <c r="K54" s="4" t="inlineStr">
        <is>
          <t>SRC-SWEBOK-V4A</t>
        </is>
      </c>
      <c r="L54" s="4" t="inlineStr">
        <is>
          <t>OPS-OBSERVABILITY</t>
        </is>
      </c>
      <c r="M54" s="4" t="n"/>
      <c r="N54" s="4" t="n"/>
      <c r="O54" s="4" t="n"/>
      <c r="P54" s="4" t="n"/>
      <c r="Q54" s="4" t="n"/>
      <c r="R54" s="4" t="n"/>
      <c r="S54" s="4" t="n"/>
      <c r="T54" s="4" t="n"/>
      <c r="U54" s="4" t="n"/>
      <c r="V54" s="4" t="n"/>
      <c r="W54" s="4" t="n"/>
    </row>
    <row r="55">
      <c r="A55" s="5" t="inlineStr">
        <is>
          <t>PRC-051</t>
        </is>
      </c>
      <c r="B55" s="5" t="inlineStr">
        <is>
          <t>SWEBOK</t>
        </is>
      </c>
      <c r="C55" s="4" t="inlineStr">
        <is>
          <t>6. プロセスモニタリング(PRC-051〜PRC-057)</t>
        </is>
      </c>
      <c r="D55" s="8" t="inlineStr">
        <is>
          <t>Critical</t>
        </is>
      </c>
      <c r="E55" s="4" t="inlineStr">
        <is>
          <t>プロセス実行の監視方法が定義されている</t>
        </is>
      </c>
      <c r="F55" s="4" t="inlineStr">
        <is>
          <t>プロセス目標の達成状況を、定義済みメトリクスを用いて評価する仕組み(会議体・頻度・使用データ)が記述されている</t>
        </is>
      </c>
      <c r="G55" s="4" t="inlineStr">
        <is>
          <t>監視の仕組みがないとプロセス目標の未達に誰も気づかず、問題が製品品質の劣化やリリース遅延として顕在化するまで放置される。開発者はプロセス実行を監視し目標達成を評価すべきというのが2.11の要請。</t>
        </is>
      </c>
      <c r="H55" s="4" t="inlineStr">
        <is>
          <t>swebok-v4a.pdf ch10 SE Process &gt; 2.11 Software Engineering Process Monitoring</t>
        </is>
      </c>
      <c r="I55" s="4" t="inlineStr">
        <is>
          <t>CORE</t>
        </is>
      </c>
      <c r="J55" s="4" t="inlineStr">
        <is>
          <t>原則適用。案件スコープ・成果物・規制・リスク上非該当の場合はN/A根拠を記録。</t>
        </is>
      </c>
      <c r="K55" s="4" t="inlineStr">
        <is>
          <t>SRC-SWEBOK-V4A</t>
        </is>
      </c>
      <c r="L55" s="4" t="inlineStr">
        <is>
          <t>OPS-OBSERVABILITY</t>
        </is>
      </c>
      <c r="M55" s="4" t="n"/>
      <c r="N55" s="4" t="n"/>
      <c r="O55" s="4" t="n"/>
      <c r="P55" s="4" t="n"/>
      <c r="Q55" s="4" t="n"/>
      <c r="R55" s="4" t="n"/>
      <c r="S55" s="4" t="n"/>
      <c r="T55" s="4" t="n"/>
      <c r="U55" s="4" t="n"/>
      <c r="V55" s="4" t="n"/>
      <c r="W55" s="4" t="n"/>
    </row>
    <row r="56">
      <c r="A56" s="5" t="inlineStr">
        <is>
          <t>PRC-052</t>
        </is>
      </c>
      <c r="B56" s="5" t="inlineStr">
        <is>
          <t>SWEBOK</t>
        </is>
      </c>
      <c r="C56" s="4" t="inlineStr">
        <is>
          <t>6. プロセスモニタリング(PRC-051〜PRC-057)</t>
        </is>
      </c>
      <c r="D56" s="9" t="inlineStr">
        <is>
          <t>High</t>
        </is>
      </c>
      <c r="E56" s="4" t="inlineStr">
        <is>
          <t>監視の頻度が実効的である</t>
        </is>
      </c>
      <c r="F56" s="4" t="inlineStr">
        <is>
          <t>メトリクスのレビューがイテレーション単位または月次以上の頻度で計画されている</t>
        </is>
      </c>
      <c r="G56" s="4" t="inlineStr">
        <is>
          <t>監視間隔が長すぎると逸脱の発見が遅れ、是正時の手戻り量が大きくなる。イテレーション単位の学習ループが継続的改善の基本。</t>
        </is>
      </c>
      <c r="H56" s="4" t="inlineStr">
        <is>
          <t>swebok-v4a.pdf ch10 SE Process &gt; 2.11 / 3.4(イテレーションごとのレトロスペクティブ)</t>
        </is>
      </c>
      <c r="I56" s="4" t="inlineStr">
        <is>
          <t>CORE</t>
        </is>
      </c>
      <c r="J56" s="4" t="inlineStr">
        <is>
          <t>原則適用。案件スコープ・成果物・規制・リスク上非該当の場合はN/A根拠を記録。</t>
        </is>
      </c>
      <c r="K56" s="4" t="inlineStr">
        <is>
          <t>SRC-SWEBOK-V4A</t>
        </is>
      </c>
      <c r="L56" s="4" t="inlineStr">
        <is>
          <t>OPS-OBSERVABILITY</t>
        </is>
      </c>
      <c r="M56" s="4" t="n"/>
      <c r="N56" s="4" t="n"/>
      <c r="O56" s="4" t="n"/>
      <c r="P56" s="4" t="n"/>
      <c r="Q56" s="4" t="n"/>
      <c r="R56" s="4" t="n"/>
      <c r="S56" s="4" t="n"/>
      <c r="T56" s="4" t="n"/>
      <c r="U56" s="4" t="n"/>
      <c r="V56" s="4" t="n"/>
      <c r="W56" s="4" t="n"/>
    </row>
    <row r="57">
      <c r="A57" s="5" t="inlineStr">
        <is>
          <t>PRC-053</t>
        </is>
      </c>
      <c r="B57" s="5" t="inlineStr">
        <is>
          <t>SWEBOK</t>
        </is>
      </c>
      <c r="C57" s="4" t="inlineStr">
        <is>
          <t>6. プロセスモニタリング(PRC-051〜PRC-057)</t>
        </is>
      </c>
      <c r="D57" s="9" t="inlineStr">
        <is>
          <t>High</t>
        </is>
      </c>
      <c r="E57" s="4" t="inlineStr">
        <is>
          <t>プロセスと製品の両方が監視対象になっている</t>
        </is>
      </c>
      <c r="F57" s="4" t="inlineStr">
        <is>
          <t>プロセス指標のみでなく製品品質の指標も監視項目に含まれている</t>
        </is>
      </c>
      <c r="G57" s="4" t="inlineStr">
        <is>
          <t>プロセス指標だけの監視は「プロセスは順調だが製品は劣化」という事態を見逃す。プロセスモニタリングはプロセスと製品の両方の評価を要する。</t>
        </is>
      </c>
      <c r="H57" s="4" t="inlineStr">
        <is>
          <t>swebok-v4a.pdf ch10 SE Process &gt; 2.11(assessing both process and product)</t>
        </is>
      </c>
      <c r="I57" s="4" t="inlineStr">
        <is>
          <t>CORE</t>
        </is>
      </c>
      <c r="J57" s="4" t="inlineStr">
        <is>
          <t>原則適用。案件スコープ・成果物・規制・リスク上非該当の場合はN/A根拠を記録。</t>
        </is>
      </c>
      <c r="K57" s="4" t="inlineStr">
        <is>
          <t>SRC-SWEBOK-V4A</t>
        </is>
      </c>
      <c r="L57" s="4" t="inlineStr">
        <is>
          <t>OPS-OBSERVABILITY</t>
        </is>
      </c>
      <c r="M57" s="4" t="n"/>
      <c r="N57" s="4" t="n"/>
      <c r="O57" s="4" t="n"/>
      <c r="P57" s="4" t="n"/>
      <c r="Q57" s="4" t="n"/>
      <c r="R57" s="4" t="n"/>
      <c r="S57" s="4" t="n"/>
      <c r="T57" s="4" t="n"/>
      <c r="U57" s="4" t="n"/>
      <c r="V57" s="4" t="n"/>
      <c r="W57" s="4" t="n"/>
    </row>
    <row r="58">
      <c r="A58" s="5" t="inlineStr">
        <is>
          <t>PRC-054</t>
        </is>
      </c>
      <c r="B58" s="5" t="inlineStr">
        <is>
          <t>SWEBOK</t>
        </is>
      </c>
      <c r="C58" s="4" t="inlineStr">
        <is>
          <t>6. プロセスモニタリング(PRC-051〜PRC-057)</t>
        </is>
      </c>
      <c r="D58" s="9" t="inlineStr">
        <is>
          <t>High</t>
        </is>
      </c>
      <c r="E58" s="4" t="inlineStr">
        <is>
          <t>逸脱時の是正手順が定義されている</t>
        </is>
      </c>
      <c r="F58" s="4" t="inlineStr">
        <is>
          <t>閾値超過・目標未達時の是正アクション決定手順と責任者が記述されている</t>
        </is>
      </c>
      <c r="G58" s="4" t="inlineStr">
        <is>
          <t>是正手順のない監視は「気づいたが動けない」状態を生み、逸脱が慢性化する。</t>
        </is>
      </c>
      <c r="H58" s="4" t="inlineStr">
        <is>
          <t>swebok-v4a.pdf ch10 SE Process &gt; 2.11 / 3.1(PDCAのCheck→Act)</t>
        </is>
      </c>
      <c r="I58" s="4" t="inlineStr">
        <is>
          <t>CORE</t>
        </is>
      </c>
      <c r="J58" s="4" t="inlineStr">
        <is>
          <t>原則適用。案件スコープ・成果物・規制・リスク上非該当の場合はN/A根拠を記録。</t>
        </is>
      </c>
      <c r="K58" s="4" t="inlineStr">
        <is>
          <t>SRC-SWEBOK-V4A</t>
        </is>
      </c>
      <c r="L58" s="4" t="inlineStr"/>
      <c r="M58" s="4" t="n"/>
      <c r="N58" s="4" t="n"/>
      <c r="O58" s="4" t="n"/>
      <c r="P58" s="4" t="n"/>
      <c r="Q58" s="4" t="n"/>
      <c r="R58" s="4" t="n"/>
      <c r="S58" s="4" t="n"/>
      <c r="T58" s="4" t="n"/>
      <c r="U58" s="4" t="n"/>
      <c r="V58" s="4" t="n"/>
      <c r="W58" s="4" t="n"/>
    </row>
    <row r="59">
      <c r="A59" s="5" t="inlineStr">
        <is>
          <t>PRC-055</t>
        </is>
      </c>
      <c r="B59" s="5" t="inlineStr">
        <is>
          <t>SWEBOK</t>
        </is>
      </c>
      <c r="C59" s="4" t="inlineStr">
        <is>
          <t>6. プロセスモニタリング(PRC-051〜PRC-057)</t>
        </is>
      </c>
      <c r="D59" s="10" t="inlineStr">
        <is>
          <t>Medium</t>
        </is>
      </c>
      <c r="E59" s="4" t="inlineStr">
        <is>
          <t>リスクの監視がプロセスモニタリングに統合されている</t>
        </is>
      </c>
      <c r="F59" s="4" t="inlineStr">
        <is>
          <t>プロセス実行に伴うリスクの評価がモニタリング項目または会議体アジェンダに含まれている</t>
        </is>
      </c>
      <c r="G59" s="4" t="inlineStr">
        <is>
          <t>リスク評価を監視に組み込まないと、監視が過去実績の確認だけになり将来の障害を予防できない。プロセス監視はリスクの評価を含むと2.11は明記する。</t>
        </is>
      </c>
      <c r="H59" s="4" t="inlineStr">
        <is>
          <t>swebok-v4a.pdf ch10 SE Process &gt; 2.11(assess risks)</t>
        </is>
      </c>
      <c r="I59" s="4" t="inlineStr">
        <is>
          <t>CORE</t>
        </is>
      </c>
      <c r="J59" s="4" t="inlineStr">
        <is>
          <t>原則適用。案件スコープ・成果物・規制・リスク上非該当の場合はN/A根拠を記録。</t>
        </is>
      </c>
      <c r="K59" s="4" t="inlineStr">
        <is>
          <t>SRC-SWEBOK-V4A</t>
        </is>
      </c>
      <c r="L59" s="4" t="inlineStr">
        <is>
          <t>OPS-OBSERVABILITY</t>
        </is>
      </c>
      <c r="M59" s="4" t="n"/>
      <c r="N59" s="4" t="n"/>
      <c r="O59" s="4" t="n"/>
      <c r="P59" s="4" t="n"/>
      <c r="Q59" s="4" t="n"/>
      <c r="R59" s="4" t="n"/>
      <c r="S59" s="4" t="n"/>
      <c r="T59" s="4" t="n"/>
      <c r="U59" s="4" t="n"/>
      <c r="V59" s="4" t="n"/>
      <c r="W59" s="4" t="n"/>
    </row>
    <row r="60">
      <c r="A60" s="5" t="inlineStr">
        <is>
          <t>PRC-056</t>
        </is>
      </c>
      <c r="B60" s="5" t="inlineStr">
        <is>
          <t>SWEBOK</t>
        </is>
      </c>
      <c r="C60" s="4" t="inlineStr">
        <is>
          <t>6. プロセスモニタリング(PRC-051〜PRC-057)</t>
        </is>
      </c>
      <c r="D60" s="10" t="inlineStr">
        <is>
          <t>Medium</t>
        </is>
      </c>
      <c r="E60" s="4" t="inlineStr">
        <is>
          <t>定義されたプロセスと実施されたプロセスの乖離を検出する手段がある</t>
        </is>
      </c>
      <c r="F60" s="4" t="inlineStr">
        <is>
          <t>プロセス遵守状況の確認方法(監査、チェックリスト、ツールログ等)が定義されている</t>
        </is>
      </c>
      <c r="G60" s="4" t="inlineStr">
        <is>
          <t>定義されたプロセスと実施されたプロセスの乖離を検出しないと、文書上のプロセスが形骸化し、測定データも実態を反映しなくなる。</t>
        </is>
      </c>
      <c r="H60" s="4" t="inlineStr">
        <is>
          <t>swebok-v4a.pdf ch10 SE Process &gt; 2.11 / 実務補完(プロセス監査・遵守確認の慣行)</t>
        </is>
      </c>
      <c r="I60" s="4" t="inlineStr">
        <is>
          <t>CORE</t>
        </is>
      </c>
      <c r="J60" s="4" t="inlineStr">
        <is>
          <t>原則適用。案件スコープ・成果物・規制・リスク上非該当の場合はN/A根拠を記録。</t>
        </is>
      </c>
      <c r="K60" s="4" t="inlineStr">
        <is>
          <t>SRC-SWEBOK-V4A;SRC-PRACTICE</t>
        </is>
      </c>
      <c r="L60" s="4" t="inlineStr"/>
      <c r="M60" s="4" t="n"/>
      <c r="N60" s="4" t="n"/>
      <c r="O60" s="4" t="n"/>
      <c r="P60" s="4" t="n"/>
      <c r="Q60" s="4" t="n"/>
      <c r="R60" s="4" t="n"/>
      <c r="S60" s="4" t="n"/>
      <c r="T60" s="4" t="n"/>
      <c r="U60" s="4" t="n"/>
      <c r="V60" s="4" t="n"/>
      <c r="W60" s="4" t="n"/>
    </row>
    <row r="61">
      <c r="A61" s="5" t="inlineStr">
        <is>
          <t>PRC-057</t>
        </is>
      </c>
      <c r="B61" s="5" t="inlineStr">
        <is>
          <t>SWEBOK</t>
        </is>
      </c>
      <c r="C61" s="4" t="inlineStr">
        <is>
          <t>6. プロセスモニタリング(PRC-051〜PRC-057)</t>
        </is>
      </c>
      <c r="D61" s="11" t="inlineStr">
        <is>
          <t>Low</t>
        </is>
      </c>
      <c r="E61" s="4" t="inlineStr">
        <is>
          <t>モニタリング結果の記録・保管方法が定義されている</t>
        </is>
      </c>
      <c r="F61" s="4" t="inlineStr">
        <is>
          <t>監視結果の記録先と保管期間が記述されている</t>
        </is>
      </c>
      <c r="G61" s="4" t="inlineStr">
        <is>
          <t>監視結果の記録がないと改善効果の検証やアセスメントの証拠が失われ、同じ問題の再分析に工数を浪費する。</t>
        </is>
      </c>
      <c r="H61" s="4" t="inlineStr">
        <is>
          <t>実務補完(記録管理の一般慣行)/ 2.1(情報管理プロセス)</t>
        </is>
      </c>
      <c r="I61" s="4" t="inlineStr">
        <is>
          <t>CORE</t>
        </is>
      </c>
      <c r="J61" s="4" t="inlineStr">
        <is>
          <t>原則適用。案件スコープ・成果物・規制・リスク上非該当の場合はN/A根拠を記録。</t>
        </is>
      </c>
      <c r="K61" s="4" t="inlineStr">
        <is>
          <t>SRC-PRACTICE</t>
        </is>
      </c>
      <c r="L61" s="4" t="inlineStr"/>
      <c r="M61" s="4" t="n"/>
      <c r="N61" s="4" t="n"/>
      <c r="O61" s="4" t="n"/>
      <c r="P61" s="4" t="n"/>
      <c r="Q61" s="4" t="n"/>
      <c r="R61" s="4" t="n"/>
      <c r="S61" s="4" t="n"/>
      <c r="T61" s="4" t="n"/>
      <c r="U61" s="4" t="n"/>
      <c r="V61" s="4" t="n"/>
      <c r="W61" s="4" t="n"/>
    </row>
    <row r="62">
      <c r="A62" s="5" t="inlineStr">
        <is>
          <t>PRC-058</t>
        </is>
      </c>
      <c r="B62" s="5" t="inlineStr">
        <is>
          <t>SWEBOK</t>
        </is>
      </c>
      <c r="C62" s="4" t="inlineStr">
        <is>
          <t>7. プロセスアセスメントと改善計画(PRC-058〜PRC-069)</t>
        </is>
      </c>
      <c r="D62" s="8" t="inlineStr">
        <is>
          <t>Critical</t>
        </is>
      </c>
      <c r="E62" s="4" t="inlineStr">
        <is>
          <t>改善目標が測定可能に定義されている</t>
        </is>
      </c>
      <c r="F62" s="4" t="inlineStr">
        <is>
          <t>改善計画の目標に定量的な目標値(または検証可能な状態記述)と期限が付いている</t>
        </is>
      </c>
      <c r="G62" s="4" t="inlineStr">
        <is>
          <t>測定不能な改善目標は達成判定ができず、改善活動が「やった感」で終わる。測定可能な目標を設定し変更の効果を評価するのがGQM/品質改善パラダイムの中核。</t>
        </is>
      </c>
      <c r="H62" s="4" t="inlineStr">
        <is>
          <t>swebok-v4a.pdf ch10 SE Process &gt; 3.2 GQM(measurable goals)</t>
        </is>
      </c>
      <c r="I62" s="4" t="inlineStr">
        <is>
          <t>CORE</t>
        </is>
      </c>
      <c r="J62" s="4" t="inlineStr">
        <is>
          <t>原則適用。案件スコープ・成果物・規制・リスク上非該当の場合はN/A根拠を記録。</t>
        </is>
      </c>
      <c r="K62" s="4" t="inlineStr">
        <is>
          <t>SRC-SWEBOK-V4A</t>
        </is>
      </c>
      <c r="L62" s="4" t="inlineStr"/>
      <c r="M62" s="4" t="n"/>
      <c r="N62" s="4" t="n"/>
      <c r="O62" s="4" t="n"/>
      <c r="P62" s="4" t="n"/>
      <c r="Q62" s="4" t="n"/>
      <c r="R62" s="4" t="n"/>
      <c r="S62" s="4" t="n"/>
      <c r="T62" s="4" t="n"/>
      <c r="U62" s="4" t="n"/>
      <c r="V62" s="4" t="n"/>
      <c r="W62" s="4" t="n"/>
    </row>
    <row r="63">
      <c r="A63" s="5" t="inlineStr">
        <is>
          <t>PRC-059</t>
        </is>
      </c>
      <c r="B63" s="5" t="inlineStr">
        <is>
          <t>SWEBOK</t>
        </is>
      </c>
      <c r="C63" s="4" t="inlineStr">
        <is>
          <t>7. プロセスアセスメントと改善計画(PRC-058〜PRC-069)</t>
        </is>
      </c>
      <c r="D63" s="8" t="inlineStr">
        <is>
          <t>Critical</t>
        </is>
      </c>
      <c r="E63" s="4" t="inlineStr">
        <is>
          <t>現状アセスメントに基づいて施策が導出されている</t>
        </is>
      </c>
      <c r="F63" s="4" t="inlineStr">
        <is>
          <t>現状の課題が計測データ・アセスメント結果・ふりかえり結果のいずれかの証拠と対応づけられており、根拠のない施策がない</t>
        </is>
      </c>
      <c r="G63" s="4" t="inlineStr">
        <is>
          <t>証拠のない施策は思い込み駆動の改善となり、効果のない変更で現場負荷だけを増やす。意思決定には経験的証拠が必要というのがSWEBOKの一貫した立場。</t>
        </is>
      </c>
      <c r="H63" s="4" t="inlineStr">
        <is>
          <t>swebok-v4a.pdf ch10 SE Process &gt; 3.1(意思決定のための経験的証拠の必要性)</t>
        </is>
      </c>
      <c r="I63" s="4" t="inlineStr">
        <is>
          <t>CORE</t>
        </is>
      </c>
      <c r="J63" s="4" t="inlineStr">
        <is>
          <t>原則適用。案件スコープ・成果物・規制・リスク上非該当の場合はN/A根拠を記録。</t>
        </is>
      </c>
      <c r="K63" s="4" t="inlineStr">
        <is>
          <t>SRC-SWEBOK-V4A</t>
        </is>
      </c>
      <c r="L63" s="4" t="inlineStr"/>
      <c r="M63" s="4" t="n"/>
      <c r="N63" s="4" t="n"/>
      <c r="O63" s="4" t="n"/>
      <c r="P63" s="4" t="n"/>
      <c r="Q63" s="4" t="n"/>
      <c r="R63" s="4" t="n"/>
      <c r="S63" s="4" t="n"/>
      <c r="T63" s="4" t="n"/>
      <c r="U63" s="4" t="n"/>
      <c r="V63" s="4" t="n"/>
      <c r="W63" s="4" t="n"/>
    </row>
    <row r="64">
      <c r="A64" s="5" t="inlineStr">
        <is>
          <t>PRC-060</t>
        </is>
      </c>
      <c r="B64" s="5" t="inlineStr">
        <is>
          <t>SWEBOK</t>
        </is>
      </c>
      <c r="C64" s="4" t="inlineStr">
        <is>
          <t>7. プロセスアセスメントと改善計画(PRC-058〜PRC-069)</t>
        </is>
      </c>
      <c r="D64" s="9" t="inlineStr">
        <is>
          <t>High</t>
        </is>
      </c>
      <c r="E64" s="4" t="inlineStr">
        <is>
          <t>アセスメント手法が明示されている</t>
        </is>
      </c>
      <c r="F64" s="4" t="inlineStr">
        <is>
          <t>GQM、CMMI、ISO/IEC 33000 シリーズ(SPICE)、自己評価等、使用した手法と評価範囲が記述されている</t>
        </is>
      </c>
      <c r="G64" s="4" t="inlineStr">
        <is>
          <t>手法が不明なアセスメントは再現も比較もできず、次回評価との差分が改善の効果か測り方の違いか判別できない。</t>
        </is>
      </c>
      <c r="H64" s="4" t="inlineStr">
        <is>
          <t>swebok-v4a.pdf ch10 SE Process &gt; 3.1〜3.3(GQM、CMMI、ISO/IEC 33000 等の手法)</t>
        </is>
      </c>
      <c r="I64" s="4" t="inlineStr">
        <is>
          <t>CORE</t>
        </is>
      </c>
      <c r="J64" s="4" t="inlineStr">
        <is>
          <t>原則適用。案件スコープ・成果物・規制・リスク上非該当の場合はN/A根拠を記録。</t>
        </is>
      </c>
      <c r="K64" s="4" t="inlineStr">
        <is>
          <t>SRC-SWEBOK-V4A;SRC-ISO-GENERAL</t>
        </is>
      </c>
      <c r="L64" s="4" t="inlineStr"/>
      <c r="M64" s="4" t="n"/>
      <c r="N64" s="4" t="n"/>
      <c r="O64" s="4" t="n"/>
      <c r="P64" s="4" t="n"/>
      <c r="Q64" s="4" t="n"/>
      <c r="R64" s="4" t="n"/>
      <c r="S64" s="4" t="n"/>
      <c r="T64" s="4" t="n"/>
      <c r="U64" s="4" t="n"/>
      <c r="V64" s="4" t="n"/>
      <c r="W64" s="4" t="n"/>
    </row>
    <row r="65">
      <c r="A65" s="5" t="inlineStr">
        <is>
          <t>PRC-061</t>
        </is>
      </c>
      <c r="B65" s="5" t="inlineStr">
        <is>
          <t>SWEBOK</t>
        </is>
      </c>
      <c r="C65" s="4" t="inlineStr">
        <is>
          <t>7. プロセスアセスメントと改善計画(PRC-058〜PRC-069)</t>
        </is>
      </c>
      <c r="D65" s="9" t="inlineStr">
        <is>
          <t>High</t>
        </is>
      </c>
      <c r="E65" s="4" t="inlineStr">
        <is>
          <t>フレームワーク使用時に参照モデルが特定されている</t>
        </is>
      </c>
      <c r="F65" s="4" t="inlineStr">
        <is>
          <t>フレームワークベースの手法を用いる場合、プロセス参照モデルとアセスメントモデル(またはCMMIの対象領域)が特定されている。用いない場合は N/A</t>
        </is>
      </c>
      <c r="G65" s="4" t="inlineStr">
        <is>
          <t>参照モデルが特定されていないフレームワーク評価は、何に対する能力・成熟度なのかが曖昧になり、評価結果の解釈を誤る。フレームワーク手法はプロセス参照モデルとアセスメントモデルの両方を用いる。</t>
        </is>
      </c>
      <c r="H65" s="4" t="inlineStr">
        <is>
          <t>swebok-v4a.pdf ch10 SE Process &gt; 3.3 Framework-Based Methods(process reference model / process assessment model)</t>
        </is>
      </c>
      <c r="I65" s="4" t="inlineStr">
        <is>
          <t>CORE</t>
        </is>
      </c>
      <c r="J65" s="4" t="inlineStr">
        <is>
          <t>原則適用。案件スコープ・成果物・規制・リスク上非該当の場合はN/A根拠を記録。</t>
        </is>
      </c>
      <c r="K65" s="4" t="inlineStr">
        <is>
          <t>SRC-SWEBOK-V4A</t>
        </is>
      </c>
      <c r="L65" s="4" t="inlineStr"/>
      <c r="M65" s="4" t="n"/>
      <c r="N65" s="4" t="n"/>
      <c r="O65" s="4" t="n"/>
      <c r="P65" s="4" t="n"/>
      <c r="Q65" s="4" t="n"/>
      <c r="R65" s="4" t="n"/>
      <c r="S65" s="4" t="n"/>
      <c r="T65" s="4" t="n"/>
      <c r="U65" s="4" t="n"/>
      <c r="V65" s="4" t="n"/>
      <c r="W65" s="4" t="n"/>
    </row>
    <row r="66">
      <c r="A66" s="5" t="inlineStr">
        <is>
          <t>PRC-062</t>
        </is>
      </c>
      <c r="B66" s="5" t="inlineStr">
        <is>
          <t>SWEBOK</t>
        </is>
      </c>
      <c r="C66" s="4" t="inlineStr">
        <is>
          <t>7. プロセスアセスメントと改善計画(PRC-058〜PRC-069)</t>
        </is>
      </c>
      <c r="D66" s="8" t="inlineStr">
        <is>
          <t>Critical</t>
        </is>
      </c>
      <c r="E66" s="4" t="inlineStr">
        <is>
          <t>施策の効果測定方法が定義されている</t>
        </is>
      </c>
      <c r="F66" s="4" t="inlineStr">
        <is>
          <t>各施策に導入前ベースライン値・目標値・測定メトリクス・判定時期が設定されている</t>
        </is>
      </c>
      <c r="G66" s="4" t="inlineStr">
        <is>
          <t>導入前ベースラインなしで施策を実施すると効果を評価できず、効果のない施策が継続される。「変更し、効果を評価し、肯定的なら改善」がGQM/QIPの改善成立条件。</t>
        </is>
      </c>
      <c r="H66" s="4" t="inlineStr">
        <is>
          <t>swebok-v4a.pdf ch10 SE Process &gt; 3.2 GQM(changing something and evaluating the effect)</t>
        </is>
      </c>
      <c r="I66" s="4" t="inlineStr">
        <is>
          <t>CORE</t>
        </is>
      </c>
      <c r="J66" s="4" t="inlineStr">
        <is>
          <t>原則適用。案件スコープ・成果物・規制・リスク上非該当の場合はN/A根拠を記録。</t>
        </is>
      </c>
      <c r="K66" s="4" t="inlineStr">
        <is>
          <t>SRC-SWEBOK-V4A</t>
        </is>
      </c>
      <c r="L66" s="4" t="inlineStr"/>
      <c r="M66" s="4" t="n"/>
      <c r="N66" s="4" t="n"/>
      <c r="O66" s="4" t="n"/>
      <c r="P66" s="4" t="n"/>
      <c r="Q66" s="4" t="n"/>
      <c r="R66" s="4" t="n"/>
      <c r="S66" s="4" t="n"/>
      <c r="T66" s="4" t="n"/>
      <c r="U66" s="4" t="n"/>
      <c r="V66" s="4" t="n"/>
      <c r="W66" s="4" t="n"/>
    </row>
    <row r="67">
      <c r="A67" s="5" t="inlineStr">
        <is>
          <t>PRC-063</t>
        </is>
      </c>
      <c r="B67" s="5" t="inlineStr">
        <is>
          <t>SWEBOK</t>
        </is>
      </c>
      <c r="C67" s="4" t="inlineStr">
        <is>
          <t>7. プロセスアセスメントと改善計画(PRC-058〜PRC-069)</t>
        </is>
      </c>
      <c r="D67" s="9" t="inlineStr">
        <is>
          <t>High</t>
        </is>
      </c>
      <c r="E67" s="4" t="inlineStr">
        <is>
          <t>施策に優先度・担当・期限が付いている</t>
        </is>
      </c>
      <c r="F67" s="4" t="inlineStr">
        <is>
          <t>改善施策一覧のすべての施策に優先度、担当者(役割)、期限が記載されている</t>
        </is>
      </c>
      <c r="G67" s="4" t="inlineStr">
        <is>
          <t>優先度・担当・期限のない施策一覧は誰も着手せず、改善計画が棚上げされる。</t>
        </is>
      </c>
      <c r="H67" s="4" t="inlineStr">
        <is>
          <t>swebok-v4a.pdf ch10 SE Process &gt; 3.1 PDCA(Doの計画)/ 実務補完(改善計画運営の一般慣行)</t>
        </is>
      </c>
      <c r="I67" s="4" t="inlineStr">
        <is>
          <t>CORE</t>
        </is>
      </c>
      <c r="J67" s="4" t="inlineStr">
        <is>
          <t>原則適用。案件スコープ・成果物・規制・リスク上非該当の場合はN/A根拠を記録。</t>
        </is>
      </c>
      <c r="K67" s="4" t="inlineStr">
        <is>
          <t>SRC-SWEBOK-V4A;SRC-PRACTICE</t>
        </is>
      </c>
      <c r="L67" s="4" t="inlineStr"/>
      <c r="M67" s="4" t="n"/>
      <c r="N67" s="4" t="n"/>
      <c r="O67" s="4" t="n"/>
      <c r="P67" s="4" t="n"/>
      <c r="Q67" s="4" t="n"/>
      <c r="R67" s="4" t="n"/>
      <c r="S67" s="4" t="n"/>
      <c r="T67" s="4" t="n"/>
      <c r="U67" s="4" t="n"/>
      <c r="V67" s="4" t="n"/>
      <c r="W67" s="4" t="n"/>
    </row>
    <row r="68">
      <c r="A68" s="5" t="inlineStr">
        <is>
          <t>PRC-064</t>
        </is>
      </c>
      <c r="B68" s="5" t="inlineStr">
        <is>
          <t>SWEBOK</t>
        </is>
      </c>
      <c r="C68" s="4" t="inlineStr">
        <is>
          <t>7. プロセスアセスメントと改善計画(PRC-058〜PRC-069)</t>
        </is>
      </c>
      <c r="D68" s="9" t="inlineStr">
        <is>
          <t>High</t>
        </is>
      </c>
      <c r="E68" s="4" t="inlineStr">
        <is>
          <t>PDCA サイクルとして計画されている</t>
        </is>
      </c>
      <c r="F68" s="4" t="inlineStr">
        <is>
          <t>Check(効果確認)と Act(定着・修正・中止)の実施タイミングと、計画自体の改訂手順が記述されている</t>
        </is>
      </c>
      <c r="G68" s="4" t="inlineStr">
        <is>
          <t>CheckとActを計画しないと改善がPlan-Doのやりっぱなしになり、定着せず元に戻る。PDCAは1950年代から適用されてきたプロセス改善の基本パラダイム。</t>
        </is>
      </c>
      <c r="H68" s="4" t="inlineStr">
        <is>
          <t>swebok-v4a.pdf ch10 SE Process &gt; 3.1(Shewhart-Deming の PDCA パラダイム)</t>
        </is>
      </c>
      <c r="I68" s="4" t="inlineStr">
        <is>
          <t>CORE</t>
        </is>
      </c>
      <c r="J68" s="4" t="inlineStr">
        <is>
          <t>原則適用。案件スコープ・成果物・規制・リスク上非該当の場合はN/A根拠を記録。</t>
        </is>
      </c>
      <c r="K68" s="4" t="inlineStr">
        <is>
          <t>SRC-SWEBOK-V4A</t>
        </is>
      </c>
      <c r="L68" s="4" t="inlineStr"/>
      <c r="M68" s="4" t="n"/>
      <c r="N68" s="4" t="n"/>
      <c r="O68" s="4" t="n"/>
      <c r="P68" s="4" t="n"/>
      <c r="Q68" s="4" t="n"/>
      <c r="R68" s="4" t="n"/>
      <c r="S68" s="4" t="n"/>
      <c r="T68" s="4" t="n"/>
      <c r="U68" s="4" t="n"/>
      <c r="V68" s="4" t="n"/>
      <c r="W68" s="4" t="n"/>
    </row>
    <row r="69">
      <c r="A69" s="5" t="inlineStr">
        <is>
          <t>PRC-065</t>
        </is>
      </c>
      <c r="B69" s="5" t="inlineStr">
        <is>
          <t>SWEBOK</t>
        </is>
      </c>
      <c r="C69" s="4" t="inlineStr">
        <is>
          <t>7. プロセスアセスメントと改善計画(PRC-058〜PRC-069)</t>
        </is>
      </c>
      <c r="D69" s="10" t="inlineStr">
        <is>
          <t>Medium</t>
        </is>
      </c>
      <c r="E69" s="4" t="inlineStr">
        <is>
          <t>改善の推進体制が定義されている</t>
        </is>
      </c>
      <c r="F69" s="4" t="inlineStr">
        <is>
          <t>推進責任者とレビュー会議体(頻度含む)が記載されている</t>
        </is>
      </c>
      <c r="G69" s="4" t="inlineStr">
        <is>
          <t>推進体制がないと改善活動は日常業務に押し流されて停止する。</t>
        </is>
      </c>
      <c r="H69" s="4" t="inlineStr">
        <is>
          <t>実務補完(プロセス改善推進体制の一般慣行)</t>
        </is>
      </c>
      <c r="I69" s="4" t="inlineStr">
        <is>
          <t>CORE</t>
        </is>
      </c>
      <c r="J69" s="4" t="inlineStr">
        <is>
          <t>原則適用。案件スコープ・成果物・規制・リスク上非該当の場合はN/A根拠を記録。</t>
        </is>
      </c>
      <c r="K69" s="4" t="inlineStr">
        <is>
          <t>SRC-PRACTICE</t>
        </is>
      </c>
      <c r="L69" s="4" t="inlineStr"/>
      <c r="M69" s="4" t="n"/>
      <c r="N69" s="4" t="n"/>
      <c r="O69" s="4" t="n"/>
      <c r="P69" s="4" t="n"/>
      <c r="Q69" s="4" t="n"/>
      <c r="R69" s="4" t="n"/>
      <c r="S69" s="4" t="n"/>
      <c r="T69" s="4" t="n"/>
      <c r="U69" s="4" t="n"/>
      <c r="V69" s="4" t="n"/>
      <c r="W69" s="4" t="n"/>
    </row>
    <row r="70">
      <c r="A70" s="5" t="inlineStr">
        <is>
          <t>PRC-066</t>
        </is>
      </c>
      <c r="B70" s="5" t="inlineStr">
        <is>
          <t>SWEBOK</t>
        </is>
      </c>
      <c r="C70" s="4" t="inlineStr">
        <is>
          <t>7. プロセスアセスメントと改善計画(PRC-058〜PRC-069)</t>
        </is>
      </c>
      <c r="D70" s="10" t="inlineStr">
        <is>
          <t>Medium</t>
        </is>
      </c>
      <c r="E70" s="4" t="inlineStr">
        <is>
          <t>改善施策のリスクと前提条件が記述されている</t>
        </is>
      </c>
      <c r="F70" s="4" t="inlineStr">
        <is>
          <t>施策実施を阻害しうる要因(工数確保、ツール制約等)と前提が列挙されている</t>
        </is>
      </c>
      <c r="G70" s="4" t="inlineStr">
        <is>
          <t>阻害要因を洗い出さないと、工数不足など予見可能な理由で施策が頓挫し、改善活動そのものへの信頼を失う。</t>
        </is>
      </c>
      <c r="H70" s="4" t="inlineStr">
        <is>
          <t>実務補完(改善計画のリスク管理慣行)</t>
        </is>
      </c>
      <c r="I70" s="4" t="inlineStr">
        <is>
          <t>CORE</t>
        </is>
      </c>
      <c r="J70" s="4" t="inlineStr">
        <is>
          <t>原則適用。案件スコープ・成果物・規制・リスク上非該当の場合はN/A根拠を記録。</t>
        </is>
      </c>
      <c r="K70" s="4" t="inlineStr">
        <is>
          <t>SRC-PRACTICE</t>
        </is>
      </c>
      <c r="L70" s="4" t="inlineStr"/>
      <c r="M70" s="4" t="n"/>
      <c r="N70" s="4" t="n"/>
      <c r="O70" s="4" t="n"/>
      <c r="P70" s="4" t="n"/>
      <c r="Q70" s="4" t="n"/>
      <c r="R70" s="4" t="n"/>
      <c r="S70" s="4" t="n"/>
      <c r="T70" s="4" t="n"/>
      <c r="U70" s="4" t="n"/>
      <c r="V70" s="4" t="n"/>
      <c r="W70" s="4" t="n"/>
    </row>
    <row r="71">
      <c r="A71" s="5" t="inlineStr">
        <is>
          <t>PRC-067</t>
        </is>
      </c>
      <c r="B71" s="5" t="inlineStr">
        <is>
          <t>SWEBOK</t>
        </is>
      </c>
      <c r="C71" s="4" t="inlineStr">
        <is>
          <t>7. プロセスアセスメントと改善計画(PRC-058〜PRC-069)</t>
        </is>
      </c>
      <c r="D71" s="10" t="inlineStr">
        <is>
          <t>Medium</t>
        </is>
      </c>
      <c r="E71" s="4" t="inlineStr">
        <is>
          <t>効果が出なかった場合の扱いが決まっている</t>
        </is>
      </c>
      <c r="F71" s="4" t="inlineStr">
        <is>
          <t>効果判定が否定的だった施策の中止・修正の判断手順が記述されている</t>
        </is>
      </c>
      <c r="G71" s="4" t="inlineStr">
        <is>
          <t>効果のない施策の扱いを決めないと、否定的な評価結果が握りつぶされ無効な施策が惰性で続く。評価が肯定的なときにのみ改善が成立したといえる、がGQMの立場。</t>
        </is>
      </c>
      <c r="H71" s="4" t="inlineStr">
        <is>
          <t>swebok-v4a.pdf ch10 SE Process &gt; 3.2 GQM / 3.1 PDCA(Act)</t>
        </is>
      </c>
      <c r="I71" s="4" t="inlineStr">
        <is>
          <t>CORE</t>
        </is>
      </c>
      <c r="J71" s="4" t="inlineStr">
        <is>
          <t>原則適用。案件スコープ・成果物・規制・リスク上非該当の場合はN/A根拠を記録。</t>
        </is>
      </c>
      <c r="K71" s="4" t="inlineStr">
        <is>
          <t>SRC-SWEBOK-V4A</t>
        </is>
      </c>
      <c r="L71" s="4" t="inlineStr"/>
      <c r="M71" s="4" t="n"/>
      <c r="N71" s="4" t="n"/>
      <c r="O71" s="4" t="n"/>
      <c r="P71" s="4" t="n"/>
      <c r="Q71" s="4" t="n"/>
      <c r="R71" s="4" t="n"/>
      <c r="S71" s="4" t="n"/>
      <c r="T71" s="4" t="n"/>
      <c r="U71" s="4" t="n"/>
      <c r="V71" s="4" t="n"/>
      <c r="W71" s="4" t="n"/>
    </row>
    <row r="72">
      <c r="A72" s="5" t="inlineStr">
        <is>
          <t>PRC-068</t>
        </is>
      </c>
      <c r="B72" s="5" t="inlineStr">
        <is>
          <t>SWEBOK</t>
        </is>
      </c>
      <c r="C72" s="4" t="inlineStr">
        <is>
          <t>7. プロセスアセスメントと改善計画(PRC-058〜PRC-069)</t>
        </is>
      </c>
      <c r="D72" s="11" t="inlineStr">
        <is>
          <t>Low</t>
        </is>
      </c>
      <c r="E72" s="4" t="inlineStr">
        <is>
          <t>改善のスコープが過大でない</t>
        </is>
      </c>
      <c r="F72" s="4" t="inlineStr">
        <is>
          <t>同時実施の施策数が体制に照らして妥当である根拠(工数見積もり等)があり、全施策一斉着手になっていない</t>
        </is>
      </c>
      <c r="G72" s="4" t="inlineStr">
        <is>
          <t>施策を一斉着手すると、どれも中途半端になるうえ、効果の因果関係を切り分けられなくなる。</t>
        </is>
      </c>
      <c r="H72" s="4" t="inlineStr">
        <is>
          <t>実務補完(改善の段階的導入の一般慣行)</t>
        </is>
      </c>
      <c r="I72" s="4" t="inlineStr">
        <is>
          <t>CORE</t>
        </is>
      </c>
      <c r="J72" s="4" t="inlineStr">
        <is>
          <t>原則適用。案件スコープ・成果物・規制・リスク上非該当の場合はN/A根拠を記録。</t>
        </is>
      </c>
      <c r="K72" s="4" t="inlineStr">
        <is>
          <t>SRC-PRACTICE</t>
        </is>
      </c>
      <c r="L72" s="4" t="inlineStr"/>
      <c r="M72" s="4" t="n"/>
      <c r="N72" s="4" t="n"/>
      <c r="O72" s="4" t="n"/>
      <c r="P72" s="4" t="n"/>
      <c r="Q72" s="4" t="n"/>
      <c r="R72" s="4" t="n"/>
      <c r="S72" s="4" t="n"/>
      <c r="T72" s="4" t="n"/>
      <c r="U72" s="4" t="n"/>
      <c r="V72" s="4" t="n"/>
      <c r="W72" s="4" t="n"/>
    </row>
    <row r="73">
      <c r="A73" s="5" t="inlineStr">
        <is>
          <t>PRC-069</t>
        </is>
      </c>
      <c r="B73" s="5" t="inlineStr">
        <is>
          <t>SWEBOK</t>
        </is>
      </c>
      <c r="C73" s="4" t="inlineStr">
        <is>
          <t>7. プロセスアセスメントと改善計画(PRC-058〜PRC-069)</t>
        </is>
      </c>
      <c r="D73" s="11" t="inlineStr">
        <is>
          <t>Low</t>
        </is>
      </c>
      <c r="E73" s="4" t="inlineStr">
        <is>
          <t>ツール導入が単独の改善施策になっていない</t>
        </is>
      </c>
      <c r="F73" s="4" t="inlineStr">
        <is>
          <t>ツール導入施策がある場合、対象プロセスの課題とプロセス側の変更がセットで記述されている</t>
        </is>
      </c>
      <c r="G73" s="4" t="inlineStr">
        <is>
          <t>ツール導入単独ではプロセスの課題は解決しない。1980〜90年代にCASEツールがソフトウェア危機の万能薬として過剰に売り込まれ失敗した教訓をSWEBOKは明記している。</t>
        </is>
      </c>
      <c r="H73" s="4" t="inlineStr">
        <is>
          <t>swebok-v4a.pdf ch10 SE Process &gt; 2.10(CASEツール過剰宣伝の教訓、ツールと手法の統合)</t>
        </is>
      </c>
      <c r="I73" s="4" t="inlineStr">
        <is>
          <t>CORE</t>
        </is>
      </c>
      <c r="J73" s="4" t="inlineStr">
        <is>
          <t>原則適用。案件スコープ・成果物・規制・リスク上非該当の場合はN/A根拠を記録。</t>
        </is>
      </c>
      <c r="K73" s="4" t="inlineStr">
        <is>
          <t>SRC-SWEBOK-V4A</t>
        </is>
      </c>
      <c r="L73" s="4" t="inlineStr"/>
      <c r="M73" s="4" t="n"/>
      <c r="N73" s="4" t="n"/>
      <c r="O73" s="4" t="n"/>
      <c r="P73" s="4" t="n"/>
      <c r="Q73" s="4" t="n"/>
      <c r="R73" s="4" t="n"/>
      <c r="S73" s="4" t="n"/>
      <c r="T73" s="4" t="n"/>
      <c r="U73" s="4" t="n"/>
      <c r="V73" s="4" t="n"/>
      <c r="W73" s="4" t="n"/>
    </row>
    <row r="74">
      <c r="A74" s="5" t="inlineStr">
        <is>
          <t>PRC-070</t>
        </is>
      </c>
      <c r="B74" s="5" t="inlineStr">
        <is>
          <t>SWEBOK</t>
        </is>
      </c>
      <c r="C74" s="4" t="inlineStr">
        <is>
          <t>8. ふりかえり(レトロスペクティブ)(PRC-070〜PRC-078)</t>
        </is>
      </c>
      <c r="D74" s="9" t="inlineStr">
        <is>
          <t>High</t>
        </is>
      </c>
      <c r="E74" s="4" t="inlineStr">
        <is>
          <t>基本情報が記録されている</t>
        </is>
      </c>
      <c r="F74" s="4" t="inlineStr">
        <is>
          <t>対象イテレーション/期間、実施日、参加者、ファシリテーターが記載されている</t>
        </is>
      </c>
      <c r="G74" s="4" t="inlineStr">
        <is>
          <t>対象期間・参加者等の基本情報がないと、後からふりかえり結果を参照する際に文脈が失われ、改善の追跡やアセスメントの証拠として使えない。</t>
        </is>
      </c>
      <c r="H74" s="4" t="inlineStr">
        <is>
          <t>実務補完(会議記録の一般慣行)/ 3.4</t>
        </is>
      </c>
      <c r="I74" s="4" t="inlineStr">
        <is>
          <t>CORE</t>
        </is>
      </c>
      <c r="J74" s="4" t="inlineStr">
        <is>
          <t>原則適用。案件スコープ・成果物・規制・リスク上非該当の場合はN/A根拠を記録。</t>
        </is>
      </c>
      <c r="K74" s="4" t="inlineStr">
        <is>
          <t>SRC-PRACTICE</t>
        </is>
      </c>
      <c r="L74" s="4" t="inlineStr"/>
      <c r="M74" s="4" t="n"/>
      <c r="N74" s="4" t="n"/>
      <c r="O74" s="4" t="n"/>
      <c r="P74" s="4" t="n"/>
      <c r="Q74" s="4" t="n"/>
      <c r="R74" s="4" t="n"/>
      <c r="S74" s="4" t="n"/>
      <c r="T74" s="4" t="n"/>
      <c r="U74" s="4" t="n"/>
      <c r="V74" s="4" t="n"/>
      <c r="W74" s="4" t="n"/>
    </row>
    <row r="75">
      <c r="A75" s="5" t="inlineStr">
        <is>
          <t>PRC-071</t>
        </is>
      </c>
      <c r="B75" s="5" t="inlineStr">
        <is>
          <t>SWEBOK</t>
        </is>
      </c>
      <c r="C75" s="4" t="inlineStr">
        <is>
          <t>8. ふりかえり(レトロスペクティブ)(PRC-070〜PRC-078)</t>
        </is>
      </c>
      <c r="D75" s="8" t="inlineStr">
        <is>
          <t>Critical</t>
        </is>
      </c>
      <c r="E75" s="4" t="inlineStr">
        <is>
          <t>前回アクションの実施状況が検証されている</t>
        </is>
      </c>
      <c r="F75" s="4" t="inlineStr">
        <is>
          <t>前回設定した各アクションについて完了/未完了と、未完了の場合の理由・扱いが記録されている(初回は N/A)</t>
        </is>
      </c>
      <c r="G75" s="4" t="inlineStr">
        <is>
          <t>前回アクションの検証を怠るとアクションが出しっぱなしになり、ふりかえりが「言うだけの場」に形骸化して継続的学習ループが途切れる。</t>
        </is>
      </c>
      <c r="H75" s="4" t="inlineStr">
        <is>
          <t>swebok-v4a.pdf ch10 SE Process &gt; 3.4(continuous learning loop)</t>
        </is>
      </c>
      <c r="I75" s="4" t="inlineStr">
        <is>
          <t>CORE</t>
        </is>
      </c>
      <c r="J75" s="4" t="inlineStr">
        <is>
          <t>原則適用。案件スコープ・成果物・規制・リスク上非該当の場合はN/A根拠を記録。</t>
        </is>
      </c>
      <c r="K75" s="4" t="inlineStr">
        <is>
          <t>SRC-SWEBOK-V4A</t>
        </is>
      </c>
      <c r="L75" s="4" t="inlineStr"/>
      <c r="M75" s="4" t="n"/>
      <c r="N75" s="4" t="n"/>
      <c r="O75" s="4" t="n"/>
      <c r="P75" s="4" t="n"/>
      <c r="Q75" s="4" t="n"/>
      <c r="R75" s="4" t="n"/>
      <c r="S75" s="4" t="n"/>
      <c r="T75" s="4" t="n"/>
      <c r="U75" s="4" t="n"/>
      <c r="V75" s="4" t="n"/>
      <c r="W75" s="4" t="n"/>
    </row>
    <row r="76">
      <c r="A76" s="5" t="inlineStr">
        <is>
          <t>PRC-072</t>
        </is>
      </c>
      <c r="B76" s="5" t="inlineStr">
        <is>
          <t>SWEBOK</t>
        </is>
      </c>
      <c r="C76" s="4" t="inlineStr">
        <is>
          <t>8. ふりかえり(レトロスペクティブ)(PRC-070〜PRC-078)</t>
        </is>
      </c>
      <c r="D76" s="9" t="inlineStr">
        <is>
          <t>High</t>
        </is>
      </c>
      <c r="E76" s="4" t="inlineStr">
        <is>
          <t>うまくいった点といかなかった点の両方が記録されている</t>
        </is>
      </c>
      <c r="F76" s="4" t="inlineStr">
        <is>
          <t>継続すべき事項と問題事項がそれぞれ1件以上、事実に基づいて記述されている</t>
        </is>
      </c>
      <c r="G76" s="4" t="inlineStr">
        <is>
          <t>問題だけを挙げると良い実践が継承されず、良かった点だけだと改善機会を失う。「何がうまくいき、何がうまくいかなかったかの分析」がレトロスペクティブの目的そのもの。</t>
        </is>
      </c>
      <c r="H76" s="4" t="inlineStr">
        <is>
          <t>swebok-v4a.pdf ch10 SE Process &gt; 3.4 Process Assessment and Improvement in Agile</t>
        </is>
      </c>
      <c r="I76" s="4" t="inlineStr">
        <is>
          <t>CORE</t>
        </is>
      </c>
      <c r="J76" s="4" t="inlineStr">
        <is>
          <t>原則適用。案件スコープ・成果物・規制・リスク上非該当の場合はN/A根拠を記録。</t>
        </is>
      </c>
      <c r="K76" s="4" t="inlineStr">
        <is>
          <t>SRC-SWEBOK-V4A</t>
        </is>
      </c>
      <c r="L76" s="4" t="inlineStr"/>
      <c r="M76" s="4" t="n"/>
      <c r="N76" s="4" t="n"/>
      <c r="O76" s="4" t="n"/>
      <c r="P76" s="4" t="n"/>
      <c r="Q76" s="4" t="n"/>
      <c r="R76" s="4" t="n"/>
      <c r="S76" s="4" t="n"/>
      <c r="T76" s="4" t="n"/>
      <c r="U76" s="4" t="n"/>
      <c r="V76" s="4" t="n"/>
      <c r="W76" s="4" t="n"/>
    </row>
    <row r="77">
      <c r="A77" s="5" t="inlineStr">
        <is>
          <t>PRC-073</t>
        </is>
      </c>
      <c r="B77" s="5" t="inlineStr">
        <is>
          <t>SWEBOK</t>
        </is>
      </c>
      <c r="C77" s="4" t="inlineStr">
        <is>
          <t>8. ふりかえり(レトロスペクティブ)(PRC-070〜PRC-078)</t>
        </is>
      </c>
      <c r="D77" s="9" t="inlineStr">
        <is>
          <t>High</t>
        </is>
      </c>
      <c r="E77" s="4" t="inlineStr">
        <is>
          <t>問題の理由(原因)が分析されている</t>
        </is>
      </c>
      <c r="F77" s="4" t="inlineStr">
        <is>
          <t>問題事項に対し、事象の列挙で終わらず原因の分析(なぜ起きたか)が記述されている</t>
        </is>
      </c>
      <c r="G77" s="4" t="inlineStr">
        <is>
          <t>原因分析を欠くと対症療法的なアクションになり、同じ問題が繰り返される。「なぜかを理解する(understand why)」がレトロスペクティブの中核要素。</t>
        </is>
      </c>
      <c r="H77" s="4" t="inlineStr">
        <is>
          <t>swebok-v4a.pdf ch10 SE Process &gt; 3.4(analyze what went well/not well, understand why)</t>
        </is>
      </c>
      <c r="I77" s="4" t="inlineStr">
        <is>
          <t>CORE</t>
        </is>
      </c>
      <c r="J77" s="4" t="inlineStr">
        <is>
          <t>原則適用。案件スコープ・成果物・規制・リスク上非該当の場合はN/A根拠を記録。</t>
        </is>
      </c>
      <c r="K77" s="4" t="inlineStr">
        <is>
          <t>SRC-SWEBOK-V4A</t>
        </is>
      </c>
      <c r="L77" s="4" t="inlineStr"/>
      <c r="M77" s="4" t="n"/>
      <c r="N77" s="4" t="n"/>
      <c r="O77" s="4" t="n"/>
      <c r="P77" s="4" t="n"/>
      <c r="Q77" s="4" t="n"/>
      <c r="R77" s="4" t="n"/>
      <c r="S77" s="4" t="n"/>
      <c r="T77" s="4" t="n"/>
      <c r="U77" s="4" t="n"/>
      <c r="V77" s="4" t="n"/>
      <c r="W77" s="4" t="n"/>
    </row>
    <row r="78">
      <c r="A78" s="5" t="inlineStr">
        <is>
          <t>PRC-074</t>
        </is>
      </c>
      <c r="B78" s="5" t="inlineStr">
        <is>
          <t>SWEBOK</t>
        </is>
      </c>
      <c r="C78" s="4" t="inlineStr">
        <is>
          <t>8. ふりかえり(レトロスペクティブ)(PRC-070〜PRC-078)</t>
        </is>
      </c>
      <c r="D78" s="8" t="inlineStr">
        <is>
          <t>Critical</t>
        </is>
      </c>
      <c r="E78" s="4" t="inlineStr">
        <is>
          <t>改善アクションに担当者・期限・完了判定基準が付いている</t>
        </is>
      </c>
      <c r="F78" s="4" t="inlineStr">
        <is>
          <t>設定された全アクションに担当者、期限、完了と判定できる基準が記載されている</t>
        </is>
      </c>
      <c r="G78" s="4" t="inlineStr">
        <is>
          <t>担当・期限・完了基準のないアクションは実行されず、次回ふりかえりでの検証もできない。学習と改善のためのアクション設定がレトロスペクティブの成果物。</t>
        </is>
      </c>
      <c r="H78" s="4" t="inlineStr">
        <is>
          <t>swebok-v4a.pdf ch10 SE Process &gt; 3.4(set a number of actions for learning and improvement)</t>
        </is>
      </c>
      <c r="I78" s="4" t="inlineStr">
        <is>
          <t>CORE</t>
        </is>
      </c>
      <c r="J78" s="4" t="inlineStr">
        <is>
          <t>原則適用。案件スコープ・成果物・規制・リスク上非該当の場合はN/A根拠を記録。</t>
        </is>
      </c>
      <c r="K78" s="4" t="inlineStr">
        <is>
          <t>SRC-SWEBOK-V4A</t>
        </is>
      </c>
      <c r="L78" s="4" t="inlineStr"/>
      <c r="M78" s="4" t="n"/>
      <c r="N78" s="4" t="n"/>
      <c r="O78" s="4" t="n"/>
      <c r="P78" s="4" t="n"/>
      <c r="Q78" s="4" t="n"/>
      <c r="R78" s="4" t="n"/>
      <c r="S78" s="4" t="n"/>
      <c r="T78" s="4" t="n"/>
      <c r="U78" s="4" t="n"/>
      <c r="V78" s="4" t="n"/>
      <c r="W78" s="4" t="n"/>
    </row>
    <row r="79">
      <c r="A79" s="5" t="inlineStr">
        <is>
          <t>PRC-075</t>
        </is>
      </c>
      <c r="B79" s="5" t="inlineStr">
        <is>
          <t>SWEBOK</t>
        </is>
      </c>
      <c r="C79" s="4" t="inlineStr">
        <is>
          <t>8. ふりかえり(レトロスペクティブ)(PRC-070〜PRC-078)</t>
        </is>
      </c>
      <c r="D79" s="10" t="inlineStr">
        <is>
          <t>Medium</t>
        </is>
      </c>
      <c r="E79" s="4" t="inlineStr">
        <is>
          <t>議論にデータが用いられている</t>
        </is>
      </c>
      <c r="F79" s="4" t="inlineStr">
        <is>
          <t>ベロシティ・欠陥件数・リードタイム等の実測値が少なくとも1つ参照されている</t>
        </is>
      </c>
      <c r="G79" s="4" t="inlineStr">
        <is>
          <t>データなしの議論は声の大きい人の印象論に流れ、実態と異なる問題設定をしてしまう。議論は現実的な測定に支えられるべきというのがSWEBOKの要請。</t>
        </is>
      </c>
      <c r="H79" s="4" t="inlineStr">
        <is>
          <t>swebok-v4a.pdf ch10 SE Process &gt; 2.9 / 3.1(経験的証拠に基づく議論)</t>
        </is>
      </c>
      <c r="I79" s="4" t="inlineStr">
        <is>
          <t>CORE</t>
        </is>
      </c>
      <c r="J79" s="4" t="inlineStr">
        <is>
          <t>原則適用。案件スコープ・成果物・規制・リスク上非該当の場合はN/A根拠を記録。</t>
        </is>
      </c>
      <c r="K79" s="4" t="inlineStr">
        <is>
          <t>SRC-SWEBOK-V4A</t>
        </is>
      </c>
      <c r="L79" s="4" t="inlineStr"/>
      <c r="M79" s="4" t="n"/>
      <c r="N79" s="4" t="n"/>
      <c r="O79" s="4" t="n"/>
      <c r="P79" s="4" t="n"/>
      <c r="Q79" s="4" t="n"/>
      <c r="R79" s="4" t="n"/>
      <c r="S79" s="4" t="n"/>
      <c r="T79" s="4" t="n"/>
      <c r="U79" s="4" t="n"/>
      <c r="V79" s="4" t="n"/>
      <c r="W79" s="4" t="n"/>
    </row>
    <row r="80">
      <c r="A80" s="5" t="inlineStr">
        <is>
          <t>PRC-076</t>
        </is>
      </c>
      <c r="B80" s="5" t="inlineStr">
        <is>
          <t>SWEBOK</t>
        </is>
      </c>
      <c r="C80" s="4" t="inlineStr">
        <is>
          <t>8. ふりかえり(レトロスペクティブ)(PRC-070〜PRC-078)</t>
        </is>
      </c>
      <c r="D80" s="10" t="inlineStr">
        <is>
          <t>Medium</t>
        </is>
      </c>
      <c r="E80" s="4" t="inlineStr">
        <is>
          <t>アクションが実行可能な粒度である</t>
        </is>
      </c>
      <c r="F80" s="4" t="inlineStr">
        <is>
          <t>各アクションが次回ふりかえりまでに完了検証できる大きさに分割されている(「品質を上げる」等の抽象的アクションがない)</t>
        </is>
      </c>
      <c r="G80" s="4" t="inlineStr">
        <is>
          <t>「品質を上げる」のような抽象的アクションは完了判定ができず、未達成のまま繰り越され続けて改善が進まない。</t>
        </is>
      </c>
      <c r="H80" s="4" t="inlineStr">
        <is>
          <t>実務補完(レトロスペクティブ運営の一般慣行)</t>
        </is>
      </c>
      <c r="I80" s="4" t="inlineStr">
        <is>
          <t>CORE</t>
        </is>
      </c>
      <c r="J80" s="4" t="inlineStr">
        <is>
          <t>原則適用。案件スコープ・成果物・規制・リスク上非該当の場合はN/A根拠を記録。</t>
        </is>
      </c>
      <c r="K80" s="4" t="inlineStr">
        <is>
          <t>SRC-PRACTICE</t>
        </is>
      </c>
      <c r="L80" s="4" t="inlineStr"/>
      <c r="M80" s="4" t="n"/>
      <c r="N80" s="4" t="n"/>
      <c r="O80" s="4" t="n"/>
      <c r="P80" s="4" t="n"/>
      <c r="Q80" s="4" t="n"/>
      <c r="R80" s="4" t="n"/>
      <c r="S80" s="4" t="n"/>
      <c r="T80" s="4" t="n"/>
      <c r="U80" s="4" t="n"/>
      <c r="V80" s="4" t="n"/>
      <c r="W80" s="4" t="n"/>
    </row>
    <row r="81">
      <c r="A81" s="5" t="inlineStr">
        <is>
          <t>PRC-077</t>
        </is>
      </c>
      <c r="B81" s="5" t="inlineStr">
        <is>
          <t>SWEBOK</t>
        </is>
      </c>
      <c r="C81" s="4" t="inlineStr">
        <is>
          <t>8. ふりかえり(レトロスペクティブ)(PRC-070〜PRC-078)</t>
        </is>
      </c>
      <c r="D81" s="10" t="inlineStr">
        <is>
          <t>Medium</t>
        </is>
      </c>
      <c r="E81" s="4" t="inlineStr">
        <is>
          <t>ふりかえりが定期的に実施されている</t>
        </is>
      </c>
      <c r="F81" s="4" t="inlineStr">
        <is>
          <t>実施間隔がイテレーション単位(または定義された定期間隔)であることが記録から確認できる</t>
        </is>
      </c>
      <c r="G81" s="4" t="inlineStr">
        <is>
          <t>実施間隔が空くと記憶が薄れて事実に基づく分析ができず、学習ループが途切れる。レトロスペクティブは各イテレーション終了時に行うのが定義。</t>
        </is>
      </c>
      <c r="H81" s="4" t="inlineStr">
        <is>
          <t>swebok-v4a.pdf ch10 SE Process &gt; 3.4(at the end of each iteration)</t>
        </is>
      </c>
      <c r="I81" s="4" t="inlineStr">
        <is>
          <t>CORE</t>
        </is>
      </c>
      <c r="J81" s="4" t="inlineStr">
        <is>
          <t>原則適用。案件スコープ・成果物・規制・リスク上非該当の場合はN/A根拠を記録。</t>
        </is>
      </c>
      <c r="K81" s="4" t="inlineStr">
        <is>
          <t>SRC-SWEBOK-V4A</t>
        </is>
      </c>
      <c r="L81" s="4" t="inlineStr"/>
      <c r="M81" s="4" t="n"/>
      <c r="N81" s="4" t="n"/>
      <c r="O81" s="4" t="n"/>
      <c r="P81" s="4" t="n"/>
      <c r="Q81" s="4" t="n"/>
      <c r="R81" s="4" t="n"/>
      <c r="S81" s="4" t="n"/>
      <c r="T81" s="4" t="n"/>
      <c r="U81" s="4" t="n"/>
      <c r="V81" s="4" t="n"/>
      <c r="W81" s="4" t="n"/>
    </row>
    <row r="82">
      <c r="A82" s="5" t="inlineStr">
        <is>
          <t>PRC-078</t>
        </is>
      </c>
      <c r="B82" s="5" t="inlineStr">
        <is>
          <t>SWEBOK</t>
        </is>
      </c>
      <c r="C82" s="4" t="inlineStr">
        <is>
          <t>8. ふりかえり(レトロスペクティブ)(PRC-070〜PRC-078)</t>
        </is>
      </c>
      <c r="D82" s="11" t="inlineStr">
        <is>
          <t>Low</t>
        </is>
      </c>
      <c r="E82" s="4" t="inlineStr">
        <is>
          <t>個人攻撃でなくプロセスに焦点が当たっている</t>
        </is>
      </c>
      <c r="F82" s="4" t="inlineStr">
        <is>
          <t>問題の記述が特定個人の非難でなく、プロセス・仕組みの改善として書かれている</t>
        </is>
      </c>
      <c r="G82" s="4" t="inlineStr">
        <is>
          <t>個人非難の場になると参加者が事実を隠すようになり、原因分析に必要な情報が出てこなくなって改善が止まる。</t>
        </is>
      </c>
      <c r="H82" s="4" t="inlineStr">
        <is>
          <t>実務補完(レトロスペクティブにおける心理的安全性の慣行)</t>
        </is>
      </c>
      <c r="I82" s="4" t="inlineStr">
        <is>
          <t>CORE</t>
        </is>
      </c>
      <c r="J82" s="4" t="inlineStr">
        <is>
          <t>原則適用。案件スコープ・成果物・規制・リスク上非該当の場合はN/A根拠を記録。</t>
        </is>
      </c>
      <c r="K82" s="4" t="inlineStr">
        <is>
          <t>SRC-PRACTICE</t>
        </is>
      </c>
      <c r="L82" s="4" t="inlineStr"/>
      <c r="M82" s="4" t="n"/>
      <c r="N82" s="4" t="n"/>
      <c r="O82" s="4" t="n"/>
      <c r="P82" s="4" t="n"/>
      <c r="Q82" s="4" t="n"/>
      <c r="R82" s="4" t="n"/>
      <c r="S82" s="4" t="n"/>
      <c r="T82" s="4" t="n"/>
      <c r="U82" s="4" t="n"/>
      <c r="V82" s="4" t="n"/>
      <c r="W82" s="4" t="n"/>
    </row>
    <row r="83">
      <c r="A83" s="5" t="inlineStr">
        <is>
          <t>PRC-079</t>
        </is>
      </c>
      <c r="B83" s="5" t="inlineStr">
        <is>
          <t>SWEBOK</t>
        </is>
      </c>
      <c r="C83" s="4" t="inlineStr">
        <is>
          <t>9. プロセスインフラ・ツール(PRC-079〜PRC-085)</t>
        </is>
      </c>
      <c r="D83" s="8" t="inlineStr">
        <is>
          <t>Critical</t>
        </is>
      </c>
      <c r="E83" s="4" t="inlineStr">
        <is>
          <t>構成管理・バージョン管理の仕組みが定義されている</t>
        </is>
      </c>
      <c r="F83" s="4" t="inlineStr">
        <is>
          <t>使用ツールと管理対象(コード、文書、設定)、ブランチ/ベースライン運用が記述されている</t>
        </is>
      </c>
      <c r="G83" s="4" t="inlineStr">
        <is>
          <t>構成管理・バージョン管理の欠如は版の混乱や変更の喪失を招く。SWEBOKは構成管理(少なくとも版管理)の自動化を成功するライフサイクル実装の必須要素とする。</t>
        </is>
      </c>
      <c r="H83" s="4" t="inlineStr">
        <is>
          <t>swebok-v4a.pdf ch10 SE Process &gt; 2.10 Software Process Infrastructure, Tools, Methods</t>
        </is>
      </c>
      <c r="I83" s="4" t="inlineStr">
        <is>
          <t>CORE</t>
        </is>
      </c>
      <c r="J83" s="4" t="inlineStr">
        <is>
          <t>原則適用。案件スコープ・成果物・規制・リスク上非該当の場合はN/A根拠を記録。</t>
        </is>
      </c>
      <c r="K83" s="4" t="inlineStr">
        <is>
          <t>SRC-SWEBOK-V4A</t>
        </is>
      </c>
      <c r="L83" s="4" t="inlineStr"/>
      <c r="M83" s="4" t="n"/>
      <c r="N83" s="4" t="n"/>
      <c r="O83" s="4" t="n"/>
      <c r="P83" s="4" t="n"/>
      <c r="Q83" s="4" t="n"/>
      <c r="R83" s="4" t="n"/>
      <c r="S83" s="4" t="n"/>
      <c r="T83" s="4" t="n"/>
      <c r="U83" s="4" t="n"/>
      <c r="V83" s="4" t="n"/>
      <c r="W83" s="4" t="n"/>
    </row>
    <row r="84">
      <c r="A84" s="5" t="inlineStr">
        <is>
          <t>PRC-080</t>
        </is>
      </c>
      <c r="B84" s="5" t="inlineStr">
        <is>
          <t>SWEBOK</t>
        </is>
      </c>
      <c r="C84" s="4" t="inlineStr">
        <is>
          <t>9. プロセスインフラ・ツール(PRC-079〜PRC-085)</t>
        </is>
      </c>
      <c r="D84" s="9" t="inlineStr">
        <is>
          <t>High</t>
        </is>
      </c>
      <c r="E84" s="4" t="inlineStr">
        <is>
          <t>テストの自動化方針が定義されている</t>
        </is>
      </c>
      <c r="F84" s="4" t="inlineStr">
        <is>
          <t>自動化するテストの範囲と使用ツール、実行タイミング(CI 連携等)が記述されている</t>
        </is>
      </c>
      <c r="G84" s="4" t="inlineStr">
        <is>
          <t>テスト自動化の方針がないと、リリースのたびに手動テスト負荷が増大し、頻繁なリリース(継続的開発)が成立しない。テスト自動化も2.10が必須級に挙げる項目。</t>
        </is>
      </c>
      <c r="H84" s="4" t="inlineStr">
        <is>
          <t>swebok-v4a.pdf ch10 SE Process &gt; 2.10(テスト自動化)/ 2.4(継続的開発)</t>
        </is>
      </c>
      <c r="I84" s="4" t="inlineStr">
        <is>
          <t>CORE</t>
        </is>
      </c>
      <c r="J84" s="4" t="inlineStr">
        <is>
          <t>原則適用。案件スコープ・成果物・規制・リスク上非該当の場合はN/A根拠を記録。</t>
        </is>
      </c>
      <c r="K84" s="4" t="inlineStr">
        <is>
          <t>SRC-SWEBOK-V4A</t>
        </is>
      </c>
      <c r="L84" s="4" t="inlineStr"/>
      <c r="M84" s="4" t="n"/>
      <c r="N84" s="4" t="n"/>
      <c r="O84" s="4" t="n"/>
      <c r="P84" s="4" t="n"/>
      <c r="Q84" s="4" t="n"/>
      <c r="R84" s="4" t="n"/>
      <c r="S84" s="4" t="n"/>
      <c r="T84" s="4" t="n"/>
      <c r="U84" s="4" t="n"/>
      <c r="V84" s="4" t="n"/>
      <c r="W84" s="4" t="n"/>
    </row>
    <row r="85">
      <c r="A85" s="5" t="inlineStr">
        <is>
          <t>PRC-081</t>
        </is>
      </c>
      <c r="B85" s="5" t="inlineStr">
        <is>
          <t>SWEBOK</t>
        </is>
      </c>
      <c r="C85" s="4" t="inlineStr">
        <is>
          <t>9. プロセスインフラ・ツール(PRC-079〜PRC-085)</t>
        </is>
      </c>
      <c r="D85" s="9" t="inlineStr">
        <is>
          <t>High</t>
        </is>
      </c>
      <c r="E85" s="4" t="inlineStr">
        <is>
          <t>チケット管理(課題・作業管理)の仕組みが定義されている</t>
        </is>
      </c>
      <c r="F85" s="4" t="inlineStr">
        <is>
          <t>使用ツールと、作業項目のライフサイクル(状態遷移)が記述されている</t>
        </is>
      </c>
      <c r="G85" s="4" t="inlineStr">
        <is>
          <t>チケット管理がないと作業の状態が見えず、リードタイム等のプロセスデータも採取できないため監視・改善の土台を欠く。チケット管理の自動化も2.10が挙げる必須要素。</t>
        </is>
      </c>
      <c r="H85" s="4" t="inlineStr">
        <is>
          <t>swebok-v4a.pdf ch10 SE Process &gt; 2.10(ticket management の自動化)</t>
        </is>
      </c>
      <c r="I85" s="4" t="inlineStr">
        <is>
          <t>CORE</t>
        </is>
      </c>
      <c r="J85" s="4" t="inlineStr">
        <is>
          <t>原則適用。案件スコープ・成果物・規制・リスク上非該当の場合はN/A根拠を記録。</t>
        </is>
      </c>
      <c r="K85" s="4" t="inlineStr">
        <is>
          <t>SRC-SWEBOK-V4A</t>
        </is>
      </c>
      <c r="L85" s="4" t="inlineStr"/>
      <c r="M85" s="4" t="n"/>
      <c r="N85" s="4" t="n"/>
      <c r="O85" s="4" t="n"/>
      <c r="P85" s="4" t="n"/>
      <c r="Q85" s="4" t="n"/>
      <c r="R85" s="4" t="n"/>
      <c r="S85" s="4" t="n"/>
      <c r="T85" s="4" t="n"/>
      <c r="U85" s="4" t="n"/>
      <c r="V85" s="4" t="n"/>
      <c r="W85" s="4" t="n"/>
    </row>
    <row r="86">
      <c r="A86" s="5" t="inlineStr">
        <is>
          <t>PRC-082</t>
        </is>
      </c>
      <c r="B86" s="5" t="inlineStr">
        <is>
          <t>SWEBOK</t>
        </is>
      </c>
      <c r="C86" s="4" t="inlineStr">
        <is>
          <t>9. プロセスインフラ・ツール(PRC-079〜PRC-085)</t>
        </is>
      </c>
      <c r="D86" s="9" t="inlineStr">
        <is>
          <t>High</t>
        </is>
      </c>
      <c r="E86" s="4" t="inlineStr">
        <is>
          <t>ツールがプロセス・手法と整合している</t>
        </is>
      </c>
      <c r="F86" s="4" t="inlineStr">
        <is>
          <t>プロセス定義書に記載された各活動が、記載されたツールチェーン上で実施可能である(活動とツールの対応に欠落がない)</t>
        </is>
      </c>
      <c r="G86" s="4" t="inlineStr">
        <is>
          <t>プロセス・手法とツールが不整合だと、定義された活動が実施できないか、ツール外の手作業で行われ記録が残らない。ツールは手法を支援しかつ統合されるべきというのが2.10の要請。</t>
        </is>
      </c>
      <c r="H86" s="4" t="inlineStr">
        <is>
          <t>swebok-v4a.pdf ch10 SE Process &gt; 2.10(ツールは手法を支援し統合される)</t>
        </is>
      </c>
      <c r="I86" s="4" t="inlineStr">
        <is>
          <t>CORE</t>
        </is>
      </c>
      <c r="J86" s="4" t="inlineStr">
        <is>
          <t>原則適用。案件スコープ・成果物・規制・リスク上非該当の場合はN/A根拠を記録。</t>
        </is>
      </c>
      <c r="K86" s="4" t="inlineStr">
        <is>
          <t>SRC-SWEBOK-V4A</t>
        </is>
      </c>
      <c r="L86" s="4" t="inlineStr"/>
      <c r="M86" s="4" t="n"/>
      <c r="N86" s="4" t="n"/>
      <c r="O86" s="4" t="n"/>
      <c r="P86" s="4" t="n"/>
      <c r="Q86" s="4" t="n"/>
      <c r="R86" s="4" t="n"/>
      <c r="S86" s="4" t="n"/>
      <c r="T86" s="4" t="n"/>
      <c r="U86" s="4" t="n"/>
      <c r="V86" s="4" t="n"/>
      <c r="W86" s="4" t="n"/>
    </row>
    <row r="87">
      <c r="A87" s="5" t="inlineStr">
        <is>
          <t>PRC-083</t>
        </is>
      </c>
      <c r="B87" s="5" t="inlineStr">
        <is>
          <t>SWEBOK</t>
        </is>
      </c>
      <c r="C87" s="4" t="inlineStr">
        <is>
          <t>9. プロセスインフラ・ツール(PRC-079〜PRC-085)</t>
        </is>
      </c>
      <c r="D87" s="10" t="inlineStr">
        <is>
          <t>Medium</t>
        </is>
      </c>
      <c r="E87" s="4" t="inlineStr">
        <is>
          <t>ツール間の連携が考慮されている</t>
        </is>
      </c>
      <c r="F87" s="4" t="inlineStr">
        <is>
          <t>テストツールと構成管理ツール、チケットとバージョン管理の紐づけ等、主要な連携方法が記述されている</t>
        </is>
      </c>
      <c r="G87" s="4" t="inlineStr">
        <is>
          <t>ツール間連携がないと、テスト合格などの情報がチームに共有されず、状態の二重管理や転記ミスが発生する。SWEBOKはテストツールと構成管理ツールの統合を具体例として挙げる。</t>
        </is>
      </c>
      <c r="H87" s="4" t="inlineStr">
        <is>
          <t>swebok-v4a.pdf ch10 SE Process &gt; 2.10(テストツールと構成管理ツールの統合、ソフトウェアエンジニアリング環境)</t>
        </is>
      </c>
      <c r="I87" s="4" t="inlineStr">
        <is>
          <t>CORE</t>
        </is>
      </c>
      <c r="J87" s="4" t="inlineStr">
        <is>
          <t>原則適用。案件スコープ・成果物・規制・リスク上非該当の場合はN/A根拠を記録。</t>
        </is>
      </c>
      <c r="K87" s="4" t="inlineStr">
        <is>
          <t>SRC-SWEBOK-V4A</t>
        </is>
      </c>
      <c r="L87" s="4" t="inlineStr"/>
      <c r="M87" s="4" t="n"/>
      <c r="N87" s="4" t="n"/>
      <c r="O87" s="4" t="n"/>
      <c r="P87" s="4" t="n"/>
      <c r="Q87" s="4" t="n"/>
      <c r="R87" s="4" t="n"/>
      <c r="S87" s="4" t="n"/>
      <c r="T87" s="4" t="n"/>
      <c r="U87" s="4" t="n"/>
      <c r="V87" s="4" t="n"/>
      <c r="W87" s="4" t="n"/>
    </row>
    <row r="88">
      <c r="A88" s="5" t="inlineStr">
        <is>
          <t>PRC-084</t>
        </is>
      </c>
      <c r="B88" s="5" t="inlineStr">
        <is>
          <t>SWEBOK</t>
        </is>
      </c>
      <c r="C88" s="4" t="inlineStr">
        <is>
          <t>9. プロセスインフラ・ツール(PRC-079〜PRC-085)</t>
        </is>
      </c>
      <c r="D88" s="10" t="inlineStr">
        <is>
          <t>Medium</t>
        </is>
      </c>
      <c r="E88" s="4" t="inlineStr">
        <is>
          <t>プロセス記述の表記法が適切に使われている</t>
        </is>
      </c>
      <c r="F88" s="4" t="inlineStr">
        <is>
          <t>アクティビティ図・BPMN・IDEF0 等を用いる場合、表記法の名称が明示され、図と本文の記述が矛盾しない</t>
        </is>
      </c>
      <c r="G88" s="4" t="inlineStr">
        <is>
          <t>表記法が不明・不統一だと図の解釈が読み手に依存し、プロセス仕様が関係者間のコミュニケーション手段として機能しない。SWEBOKは自然言語・IDEF0・UMLアクティビティ図・BPMN等を列挙する。</t>
        </is>
      </c>
      <c r="H88" s="4" t="inlineStr">
        <is>
          <t>swebok-v4a.pdf ch10 SE Process &gt; 2.10(プロセス定義の表記法)/ 2.2(仕様は理解容易・正確であるべき)</t>
        </is>
      </c>
      <c r="I88" s="4" t="inlineStr">
        <is>
          <t>CORE</t>
        </is>
      </c>
      <c r="J88" s="4" t="inlineStr">
        <is>
          <t>原則適用。案件スコープ・成果物・規制・リスク上非該当の場合はN/A根拠を記録。</t>
        </is>
      </c>
      <c r="K88" s="4" t="inlineStr">
        <is>
          <t>SRC-SWEBOK-V4A</t>
        </is>
      </c>
      <c r="L88" s="4" t="inlineStr"/>
      <c r="M88" s="4" t="n"/>
      <c r="N88" s="4" t="n"/>
      <c r="O88" s="4" t="n"/>
      <c r="P88" s="4" t="n"/>
      <c r="Q88" s="4" t="n"/>
      <c r="R88" s="4" t="n"/>
      <c r="S88" s="4" t="n"/>
      <c r="T88" s="4" t="n"/>
      <c r="U88" s="4" t="n"/>
      <c r="V88" s="4" t="n"/>
      <c r="W88" s="4" t="n"/>
    </row>
    <row r="89">
      <c r="A89" s="5" t="inlineStr">
        <is>
          <t>PRC-085</t>
        </is>
      </c>
      <c r="B89" s="5" t="inlineStr">
        <is>
          <t>SWEBOK</t>
        </is>
      </c>
      <c r="C89" s="4" t="inlineStr">
        <is>
          <t>9. プロセスインフラ・ツール(PRC-079〜PRC-085)</t>
        </is>
      </c>
      <c r="D89" s="11" t="inlineStr">
        <is>
          <t>Low</t>
        </is>
      </c>
      <c r="E89" s="4" t="inlineStr">
        <is>
          <t>環境(ソフトウェアエンジニアリング環境)の管理責任が明確である</t>
        </is>
      </c>
      <c r="F89" s="4" t="inlineStr">
        <is>
          <t>ツール・環境の管理者(役割)と、変更時の手続きが記述されている</t>
        </is>
      </c>
      <c r="G89" s="4" t="inlineStr">
        <is>
          <t>環境の管理責任が曖昧だと、ツールの無断変更やEOL放置により開発環境自体が障害源になる。</t>
        </is>
      </c>
      <c r="H89" s="4" t="inlineStr">
        <is>
          <t>swebok-v4a.pdf ch10 SE Process &gt; 2.1(インフラ管理プロセス)/ 2.10(software engineering environment)</t>
        </is>
      </c>
      <c r="I89" s="4" t="inlineStr">
        <is>
          <t>CORE</t>
        </is>
      </c>
      <c r="J89" s="4" t="inlineStr">
        <is>
          <t>原則適用。案件スコープ・成果物・規制・リスク上非該当の場合はN/A根拠を記録。</t>
        </is>
      </c>
      <c r="K89" s="4" t="inlineStr">
        <is>
          <t>SRC-SWEBOK-V4A</t>
        </is>
      </c>
      <c r="L89" s="4" t="inlineStr"/>
      <c r="M89" s="4" t="n"/>
      <c r="N89" s="4" t="n"/>
      <c r="O89" s="4" t="n"/>
      <c r="P89" s="4" t="n"/>
      <c r="Q89" s="4" t="n"/>
      <c r="R89" s="4" t="n"/>
      <c r="S89" s="4" t="n"/>
      <c r="T89" s="4" t="n"/>
      <c r="U89" s="4" t="n"/>
      <c r="V89" s="4" t="n"/>
      <c r="W89" s="4" t="n"/>
    </row>
    <row r="90">
      <c r="A90" s="5" t="inlineStr">
        <is>
          <t>PRC-086</t>
        </is>
      </c>
      <c r="B90" s="5" t="inlineStr">
        <is>
          <t>SWEBOK</t>
        </is>
      </c>
      <c r="C90" s="4" t="inlineStr">
        <is>
          <t>10. 整合性・実行可能性(PRC-086〜PRC-092)</t>
        </is>
      </c>
      <c r="D90" s="8" t="inlineStr">
        <is>
          <t>Critical</t>
        </is>
      </c>
      <c r="E90" s="4" t="inlineStr">
        <is>
          <t>成果物間で矛盾がない</t>
        </is>
      </c>
      <c r="F90" s="4" t="inlineStr">
        <is>
          <t>プロセス定義書・テーラリング記録・メトリクス定義・改善計画の間で、ライフサイクルモデル名、プロセス名、役割名が一致している</t>
        </is>
      </c>
      <c r="G90" s="4" t="inlineStr">
        <is>
          <t>成果物間で用語・名称が食い違うと、どれが正か確認する作業と誤った成果物への準拠が発生する。ライフサイクル仕様は関係者のコミュニケーション基盤であり、正確さと一貫性が前提。</t>
        </is>
      </c>
      <c r="H90" s="4" t="inlineStr">
        <is>
          <t>swebok-v4a.pdf ch10 SE Process &gt; 2.2(仕様は理解容易かつ正確であるべき)</t>
        </is>
      </c>
      <c r="I90" s="4" t="inlineStr">
        <is>
          <t>CORE</t>
        </is>
      </c>
      <c r="J90" s="4" t="inlineStr">
        <is>
          <t>原則適用。案件スコープ・成果物・規制・リスク上非該当の場合はN/A根拠を記録。</t>
        </is>
      </c>
      <c r="K90" s="4" t="inlineStr">
        <is>
          <t>SRC-SWEBOK-V4A</t>
        </is>
      </c>
      <c r="L90" s="4" t="inlineStr"/>
      <c r="M90" s="4" t="n"/>
      <c r="N90" s="4" t="n"/>
      <c r="O90" s="4" t="n"/>
      <c r="P90" s="4" t="n"/>
      <c r="Q90" s="4" t="n"/>
      <c r="R90" s="4" t="n"/>
      <c r="S90" s="4" t="n"/>
      <c r="T90" s="4" t="n"/>
      <c r="U90" s="4" t="n"/>
      <c r="V90" s="4" t="n"/>
      <c r="W90" s="4" t="n"/>
    </row>
    <row r="91">
      <c r="A91" s="5" t="inlineStr">
        <is>
          <t>PRC-087</t>
        </is>
      </c>
      <c r="B91" s="5" t="inlineStr">
        <is>
          <t>SWEBOK</t>
        </is>
      </c>
      <c r="C91" s="4" t="inlineStr">
        <is>
          <t>10. 整合性・実行可能性(PRC-086〜PRC-092)</t>
        </is>
      </c>
      <c r="D91" s="9" t="inlineStr">
        <is>
          <t>High</t>
        </is>
      </c>
      <c r="E91" s="4" t="inlineStr">
        <is>
          <t>定義されたプロセスが現実の体制で実行可能である</t>
        </is>
      </c>
      <c r="F91" s="4" t="inlineStr">
        <is>
          <t>定義された役割・活動が、実際のチーム人数・スキルで担える根拠(体制表との対応等)がある</t>
        </is>
      </c>
      <c r="G91" s="4" t="inlineStr">
        <is>
          <t>実際の体制で担えないプロセス定義は最初から実行されず、定義と実施の乖離(形骸化)が確定する。</t>
        </is>
      </c>
      <c r="H91" s="4" t="inlineStr">
        <is>
          <t>swebok-v4a.pdf ch10 SE Process &gt; 2.9 Practical Considerations / 2.1(人的資源管理)</t>
        </is>
      </c>
      <c r="I91" s="4" t="inlineStr">
        <is>
          <t>CORE</t>
        </is>
      </c>
      <c r="J91" s="4" t="inlineStr">
        <is>
          <t>原則適用。案件スコープ・成果物・規制・リスク上非該当の場合はN/A根拠を記録。</t>
        </is>
      </c>
      <c r="K91" s="4" t="inlineStr">
        <is>
          <t>SRC-SWEBOK-V4A</t>
        </is>
      </c>
      <c r="L91" s="4" t="inlineStr"/>
      <c r="M91" s="4" t="n"/>
      <c r="N91" s="4" t="n"/>
      <c r="O91" s="4" t="n"/>
      <c r="P91" s="4" t="n"/>
      <c r="Q91" s="4" t="n"/>
      <c r="R91" s="4" t="n"/>
      <c r="S91" s="4" t="n"/>
      <c r="T91" s="4" t="n"/>
      <c r="U91" s="4" t="n"/>
      <c r="V91" s="4" t="n"/>
      <c r="W91" s="4" t="n"/>
    </row>
    <row r="92">
      <c r="A92" s="5" t="inlineStr">
        <is>
          <t>PRC-088</t>
        </is>
      </c>
      <c r="B92" s="5" t="inlineStr">
        <is>
          <t>SWEBOK</t>
        </is>
      </c>
      <c r="C92" s="4" t="inlineStr">
        <is>
          <t>10. 整合性・実行可能性(PRC-086〜PRC-092)</t>
        </is>
      </c>
      <c r="D92" s="9" t="inlineStr">
        <is>
          <t>High</t>
        </is>
      </c>
      <c r="E92" s="4" t="inlineStr">
        <is>
          <t>成果物を出さない長期区間がない</t>
        </is>
      </c>
      <c r="F92" s="4" t="inlineStr">
        <is>
          <t>ライフサイクル計画上、検証可能な成果物(動くソフトウェア、レビュー済み文書)なしに進む期間が1フェーズ/複数イテレーション分を超えない</t>
        </is>
      </c>
      <c r="G92" s="4" t="inlineStr">
        <is>
          <t>成果物を出さずに長期間進むと不確実性が増大し、問題の発見が遅れる。「途中で成果物を出さない大きなプロセスは不確実性を増す」とSWEBOKは明言する。</t>
        </is>
      </c>
      <c r="H92" s="4" t="inlineStr">
        <is>
          <t>swebok-v4a.pdf ch10 SE Process &gt; 2.9(working with large processes without producing any deliverables increases uncertainty)</t>
        </is>
      </c>
      <c r="I92" s="4" t="inlineStr">
        <is>
          <t>CORE</t>
        </is>
      </c>
      <c r="J92" s="4" t="inlineStr">
        <is>
          <t>原則適用。案件スコープ・成果物・規制・リスク上非該当の場合はN/A根拠を記録。</t>
        </is>
      </c>
      <c r="K92" s="4" t="inlineStr">
        <is>
          <t>SRC-SWEBOK-V4A</t>
        </is>
      </c>
      <c r="L92" s="4" t="inlineStr"/>
      <c r="M92" s="4" t="n"/>
      <c r="N92" s="4" t="n"/>
      <c r="O92" s="4" t="n"/>
      <c r="P92" s="4" t="n"/>
      <c r="Q92" s="4" t="n"/>
      <c r="R92" s="4" t="n"/>
      <c r="S92" s="4" t="n"/>
      <c r="T92" s="4" t="n"/>
      <c r="U92" s="4" t="n"/>
      <c r="V92" s="4" t="n"/>
      <c r="W92" s="4" t="n"/>
    </row>
    <row r="93">
      <c r="A93" s="5" t="inlineStr">
        <is>
          <t>PRC-089</t>
        </is>
      </c>
      <c r="B93" s="5" t="inlineStr">
        <is>
          <t>SWEBOK</t>
        </is>
      </c>
      <c r="C93" s="4" t="inlineStr">
        <is>
          <t>10. 整合性・実行可能性(PRC-086〜PRC-092)</t>
        </is>
      </c>
      <c r="D93" s="10" t="inlineStr">
        <is>
          <t>Medium</t>
        </is>
      </c>
      <c r="E93" s="4" t="inlineStr">
        <is>
          <t>他KAの成果物との接続が定義されている</t>
        </is>
      </c>
      <c r="F93" s="4" t="inlineStr">
        <is>
          <t>要求(SRS)、アーキテクチャ、テスト計画、品質保証計画など他工程の成果物との入出力関係が特定されている</t>
        </is>
      </c>
      <c r="G93" s="4" t="inlineStr">
        <is>
          <t>他KA成果物との入出力関係が不明だと、プロセスの出力が次工程の入力要件を満たさず工程間で手戻りが発生する。本KAはマネジメント・品質・テスト等の各KAと密接に関連する。</t>
        </is>
      </c>
      <c r="H93" s="4" t="inlineStr">
        <is>
          <t>swebok-v4a.pdf ch10 SE Process &gt; 1.1(他KAとの関連)/ 2.2(プロセスの相互関連性)</t>
        </is>
      </c>
      <c r="I93" s="4" t="inlineStr">
        <is>
          <t>CORE</t>
        </is>
      </c>
      <c r="J93" s="4" t="inlineStr">
        <is>
          <t>原則適用。案件スコープ・成果物・規制・リスク上非該当の場合はN/A根拠を記録。</t>
        </is>
      </c>
      <c r="K93" s="4" t="inlineStr">
        <is>
          <t>SRC-SWEBOK-V4A</t>
        </is>
      </c>
      <c r="L93" s="4" t="inlineStr"/>
      <c r="M93" s="4" t="n"/>
      <c r="N93" s="4" t="n"/>
      <c r="O93" s="4" t="n"/>
      <c r="P93" s="4" t="n"/>
      <c r="Q93" s="4" t="n"/>
      <c r="R93" s="4" t="n"/>
      <c r="S93" s="4" t="n"/>
      <c r="T93" s="4" t="n"/>
      <c r="U93" s="4" t="n"/>
      <c r="V93" s="4" t="n"/>
      <c r="W93" s="4" t="n"/>
    </row>
    <row r="94">
      <c r="A94" s="5" t="inlineStr">
        <is>
          <t>PRC-090</t>
        </is>
      </c>
      <c r="B94" s="5" t="inlineStr">
        <is>
          <t>SWEBOK</t>
        </is>
      </c>
      <c r="C94" s="4" t="inlineStr">
        <is>
          <t>10. 整合性・実行可能性(PRC-086〜PRC-092)</t>
        </is>
      </c>
      <c r="D94" s="10" t="inlineStr">
        <is>
          <t>Medium</t>
        </is>
      </c>
      <c r="E94" s="4" t="inlineStr">
        <is>
          <t>用語が SWEBOK/JIS の定訳と一致している</t>
        </is>
      </c>
      <c r="F94" s="4" t="inlineStr">
        <is>
          <t>造語・独自の和製英語が使われておらず、標準用語(検証/妥当性確認、構成管理等)が正しく使い分けられている</t>
        </is>
      </c>
      <c r="G94" s="4" t="inlineStr">
        <is>
          <t>造語・独自用語は読み手の誤解と外部レビュー時の信頼低下を招く。標準用語の正しい使い分けが関係者間コミュニケーションの前提。</t>
        </is>
      </c>
      <c r="H94" s="4" t="inlineStr">
        <is>
          <t>swebok-v4a.pdf ch10 SE Process &gt; 2.1(用語の定義)/ 実務補完(プロジェクト文書規約)</t>
        </is>
      </c>
      <c r="I94" s="4" t="inlineStr">
        <is>
          <t>CORE</t>
        </is>
      </c>
      <c r="J94" s="4" t="inlineStr">
        <is>
          <t>原則適用。案件スコープ・成果物・規制・リスク上非該当の場合はN/A根拠を記録。</t>
        </is>
      </c>
      <c r="K94" s="4" t="inlineStr">
        <is>
          <t>SRC-SWEBOK-V4A;SRC-PRACTICE</t>
        </is>
      </c>
      <c r="L94" s="4" t="inlineStr"/>
      <c r="M94" s="4" t="n"/>
      <c r="N94" s="4" t="n"/>
      <c r="O94" s="4" t="n"/>
      <c r="P94" s="4" t="n"/>
      <c r="Q94" s="4" t="n"/>
      <c r="R94" s="4" t="n"/>
      <c r="S94" s="4" t="n"/>
      <c r="T94" s="4" t="n"/>
      <c r="U94" s="4" t="n"/>
      <c r="V94" s="4" t="n"/>
      <c r="W94" s="4" t="n"/>
    </row>
    <row r="95">
      <c r="A95" s="5" t="inlineStr">
        <is>
          <t>PRC-091</t>
        </is>
      </c>
      <c r="B95" s="5" t="inlineStr">
        <is>
          <t>SWEBOK</t>
        </is>
      </c>
      <c r="C95" s="4" t="inlineStr">
        <is>
          <t>10. 整合性・実行可能性(PRC-086〜PRC-092)</t>
        </is>
      </c>
      <c r="D95" s="10" t="inlineStr">
        <is>
          <t>Medium</t>
        </is>
      </c>
      <c r="E95" s="4" t="inlineStr">
        <is>
          <t>実在しない標準・ツールへの参照がない</t>
        </is>
      </c>
      <c r="F95" s="4" t="inlineStr">
        <is>
          <t>参照される標準番号・ツール名がすべて実在し、番号・名称の誤記がない</t>
        </is>
      </c>
      <c r="G95" s="4" t="inlineStr">
        <is>
          <t>実在しない標準番号・ツール名への参照は文書全体の信頼性を毀損し、読者による準拠確認を不可能にする。</t>
        </is>
      </c>
      <c r="H95" s="4" t="inlineStr">
        <is>
          <t>実務補完(文書レビューの一般慣行)</t>
        </is>
      </c>
      <c r="I95" s="4" t="inlineStr">
        <is>
          <t>CORE</t>
        </is>
      </c>
      <c r="J95" s="4" t="inlineStr">
        <is>
          <t>原則適用。案件スコープ・成果物・規制・リスク上非該当の場合はN/A根拠を記録。</t>
        </is>
      </c>
      <c r="K95" s="4" t="inlineStr">
        <is>
          <t>SRC-PRACTICE</t>
        </is>
      </c>
      <c r="L95" s="4" t="inlineStr"/>
      <c r="M95" s="4" t="n"/>
      <c r="N95" s="4" t="n"/>
      <c r="O95" s="4" t="n"/>
      <c r="P95" s="4" t="n"/>
      <c r="Q95" s="4" t="n"/>
      <c r="R95" s="4" t="n"/>
      <c r="S95" s="4" t="n"/>
      <c r="T95" s="4" t="n"/>
      <c r="U95" s="4" t="n"/>
      <c r="V95" s="4" t="n"/>
      <c r="W95" s="4" t="n"/>
    </row>
    <row r="96">
      <c r="A96" s="5" t="inlineStr">
        <is>
          <t>PRC-092</t>
        </is>
      </c>
      <c r="B96" s="5" t="inlineStr">
        <is>
          <t>SWEBOK</t>
        </is>
      </c>
      <c r="C96" s="4" t="inlineStr">
        <is>
          <t>10. 整合性・実行可能性(PRC-086〜PRC-092)</t>
        </is>
      </c>
      <c r="D96" s="11" t="inlineStr">
        <is>
          <t>Low</t>
        </is>
      </c>
      <c r="E96" s="4" t="inlineStr">
        <is>
          <t>文書がマークダウン/文書形式として整形されている</t>
        </is>
      </c>
      <c r="F96" s="4" t="inlineStr">
        <is>
          <t>見出し階層が正しく、表が壊れておらず、参照先(章番号・ファイル)のリンク切れがない</t>
        </is>
      </c>
      <c r="G96" s="4" t="inlineStr">
        <is>
          <t>整形の崩れやリンク切れは参照性を損ない、プロセス仕様が「使われない文書」になる。</t>
        </is>
      </c>
      <c r="H96" s="4" t="inlineStr">
        <is>
          <t>実務補完(文書品質の一般慣行)</t>
        </is>
      </c>
      <c r="I96" s="4" t="inlineStr">
        <is>
          <t>CORE</t>
        </is>
      </c>
      <c r="J96" s="4" t="inlineStr">
        <is>
          <t>原則適用。案件スコープ・成果物・規制・リスク上非該当の場合はN/A根拠を記録。</t>
        </is>
      </c>
      <c r="K96" s="4" t="inlineStr">
        <is>
          <t>SRC-PRACTICE</t>
        </is>
      </c>
      <c r="L96" s="4" t="inlineStr"/>
      <c r="M96" s="4" t="n"/>
      <c r="N96" s="4" t="n"/>
      <c r="O96" s="4" t="n"/>
      <c r="P96" s="4" t="n"/>
      <c r="Q96" s="4" t="n"/>
      <c r="R96" s="4" t="n"/>
      <c r="S96" s="4" t="n"/>
      <c r="T96" s="4" t="n"/>
      <c r="U96" s="4" t="n"/>
      <c r="V96" s="4" t="n"/>
      <c r="W96" s="4" t="n"/>
    </row>
  </sheetData>
  <autoFilter ref="A1:W96"/>
  <conditionalFormatting sqref="O2:O2000">
    <cfRule type="cellIs" priority="1" operator="equal" dxfId="0">
      <formula>"Fail"</formula>
    </cfRule>
    <cfRule type="cellIs" priority="2" operator="equal" dxfId="1">
      <formula>"Pass"</formula>
    </cfRule>
    <cfRule type="cellIs" priority="4" operator="equal" dxfId="0">
      <formula>"Fail"</formula>
    </cfRule>
    <cfRule type="cellIs" priority="5" operator="equal" dxfId="1">
      <formula>"Pass"</formula>
    </cfRule>
    <cfRule type="cellIs" priority="7" operator="equal" dxfId="0">
      <formula>"Fail"</formula>
    </cfRule>
    <cfRule type="cellIs" priority="8" operator="equal" dxfId="1">
      <formula>"Pass"</formula>
    </cfRule>
    <cfRule type="cellIs" priority="10" operator="equal" dxfId="0">
      <formula>"Fail"</formula>
    </cfRule>
    <cfRule type="cellIs" priority="11" operator="equal" dxfId="1">
      <formula>"Pass"</formula>
    </cfRule>
    <cfRule type="cellIs" priority="13" operator="equal" dxfId="0">
      <formula>"Fail"</formula>
    </cfRule>
    <cfRule type="cellIs" priority="14" operator="equal" dxfId="1">
      <formula>"Pass"</formula>
    </cfRule>
  </conditionalFormatting>
  <conditionalFormatting sqref="N2:N2000">
    <cfRule type="cellIs" priority="3" operator="equal" dxfId="2">
      <formula>"N/A"</formula>
    </cfRule>
    <cfRule type="cellIs" priority="6" operator="equal" dxfId="2">
      <formula>"N/A"</formula>
    </cfRule>
    <cfRule type="cellIs" priority="9" operator="equal" dxfId="2">
      <formula>"N/A"</formula>
    </cfRule>
    <cfRule type="cellIs" priority="12" operator="equal" dxfId="2">
      <formula>"N/A"</formula>
    </cfRule>
    <cfRule type="cellIs" priority="15" operator="equal" dxfId="2">
      <formula>"N/A"</formula>
    </cfRule>
  </conditionalFormatting>
  <dataValidations count="20">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s>
  <pageMargins left="0.75" right="0.75" top="1" bottom="1" header="0.5" footer="0.5"/>
  <pageSetup orientation="landscape" fitToWidth="1"/>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W92"/>
  <sheetViews>
    <sheetView workbookViewId="0">
      <pane xSplit="4" ySplit="1" topLeftCell="E2"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4" customWidth="1" min="1" max="1"/>
    <col width="14" customWidth="1" min="2" max="2"/>
    <col width="28" customWidth="1" min="3" max="3"/>
    <col width="12" customWidth="1" min="4" max="4"/>
    <col width="46" customWidth="1" min="5" max="5"/>
    <col width="52" customWidth="1" min="6" max="6"/>
    <col width="48" customWidth="1" min="7" max="7"/>
    <col width="46" customWidth="1" min="8" max="8"/>
    <col width="18" customWidth="1" min="9" max="9"/>
    <col width="38" customWidth="1" min="10" max="10"/>
    <col width="28" customWidth="1" min="11" max="11"/>
    <col width="25" customWidth="1" min="12" max="12"/>
    <col width="13" customWidth="1" min="13" max="13"/>
    <col width="12" customWidth="1" min="14" max="14"/>
    <col width="12" customWidth="1" min="15" max="15"/>
    <col width="38" customWidth="1" min="16" max="16"/>
    <col width="24" customWidth="1" min="17" max="17"/>
    <col width="30" customWidth="1" min="18" max="18"/>
    <col width="23" customWidth="1" min="19" max="19"/>
    <col width="15" customWidth="1" min="20" max="20"/>
    <col width="18" customWidth="1" min="21" max="21"/>
    <col width="15" customWidth="1" min="22" max="22"/>
    <col width="15" customWidth="1" min="23" max="23"/>
  </cols>
  <sheetData>
    <row r="1">
      <c r="A1" s="3" t="inlineStr">
        <is>
          <t>ID</t>
        </is>
      </c>
      <c r="B1" s="3" t="inlineStr">
        <is>
          <t>区分</t>
        </is>
      </c>
      <c r="C1" s="3" t="inlineStr">
        <is>
          <t>カテゴリ</t>
        </is>
      </c>
      <c r="D1" s="3" t="inlineStr">
        <is>
          <t>基準重要度</t>
        </is>
      </c>
      <c r="E1" s="3" t="inlineStr">
        <is>
          <t>チェック項目</t>
        </is>
      </c>
      <c r="F1" s="3" t="inlineStr">
        <is>
          <t>合格基準</t>
        </is>
      </c>
      <c r="G1" s="3" t="inlineStr">
        <is>
          <t>意図(なぜ確認するか)</t>
        </is>
      </c>
      <c r="H1" s="3" t="inlineStr">
        <is>
          <t>対象ドキュメント(参照箇所)</t>
        </is>
      </c>
      <c r="I1" s="21" t="inlineStr">
        <is>
          <t>適用プロファイル</t>
        </is>
      </c>
      <c r="J1" s="21" t="inlineStr">
        <is>
          <t>適用条件</t>
        </is>
      </c>
      <c r="K1" s="21" t="inlineStr">
        <is>
          <t>出典ID</t>
        </is>
      </c>
      <c r="L1" s="21" t="inlineStr">
        <is>
          <t>重複統制グループ</t>
        </is>
      </c>
      <c r="M1" s="21" t="inlineStr">
        <is>
          <t>案件重要度</t>
        </is>
      </c>
      <c r="N1" s="21" t="inlineStr">
        <is>
          <t>適用判定</t>
        </is>
      </c>
      <c r="O1" s="21" t="inlineStr">
        <is>
          <t>判定</t>
        </is>
      </c>
      <c r="P1" s="21" t="inlineStr">
        <is>
          <t>証跡・参照箇所</t>
        </is>
      </c>
      <c r="Q1" s="21" t="inlineStr">
        <is>
          <t>指摘・Issue ID</t>
        </is>
      </c>
      <c r="R1" s="21" t="inlineStr">
        <is>
          <t>対応方針</t>
        </is>
      </c>
      <c r="S1" s="21" t="inlineStr">
        <is>
          <t>例外・リスク受容承認者</t>
        </is>
      </c>
      <c r="T1" s="21" t="inlineStr">
        <is>
          <t>是正期限</t>
        </is>
      </c>
      <c r="U1" s="21" t="inlineStr">
        <is>
          <t>レビュアー</t>
        </is>
      </c>
      <c r="V1" s="21" t="inlineStr">
        <is>
          <t>レビュー日</t>
        </is>
      </c>
      <c r="W1" s="21" t="inlineStr">
        <is>
          <t>再確認結果</t>
        </is>
      </c>
    </row>
    <row r="2">
      <c r="A2" s="5" t="inlineStr">
        <is>
          <t>QUA-001</t>
        </is>
      </c>
      <c r="B2" s="5" t="inlineStr">
        <is>
          <t>SWEBOK</t>
        </is>
      </c>
      <c r="C2" s="4" t="inlineStr">
        <is>
          <t>1. 品質基礎・全体整合(Quality Fundamentals)</t>
        </is>
      </c>
      <c r="D2" s="8" t="inlineStr">
        <is>
          <t>Critical</t>
        </is>
      </c>
      <c r="E2" s="4" t="inlineStr">
        <is>
          <t>製品品質・プロセス品質・品質要求の観点が区別されているか</t>
        </is>
      </c>
      <c r="F2" s="4" t="inlineStr">
        <is>
          <t>成果物中で3観点のどれを扱うかが明示され、混同した記述(例: プロセス遵守を製品品質の証拠とする)がない</t>
        </is>
      </c>
      <c r="G2" s="4" t="inlineStr">
        <is>
          <t>プロセス遵守の証跡だけで製品品質を主張するなど観点の混同があると、実際の製品欠陥が見過ごされたまま品質達成と誤認される。3観点を区別させ、評価対象と証拠の対応ずれを防ぐ。</t>
        </is>
      </c>
      <c r="H2" s="4" t="inlineStr">
        <is>
          <t>swebok-v4a.pdf ch12 Software Quality &gt; Introduction / 1. Software Quality Fundamentals(product quality と process quality の区別)</t>
        </is>
      </c>
      <c r="I2" s="4" t="inlineStr">
        <is>
          <t>CORE</t>
        </is>
      </c>
      <c r="J2" s="4" t="inlineStr">
        <is>
          <t>原則適用。案件スコープ・成果物・規制・リスク上非該当の場合はN/A根拠を記録。</t>
        </is>
      </c>
      <c r="K2" s="4" t="inlineStr">
        <is>
          <t>SRC-SWEBOK-V4A</t>
        </is>
      </c>
      <c r="L2" s="4" t="inlineStr"/>
      <c r="M2" s="4" t="n"/>
      <c r="N2" s="4" t="n"/>
      <c r="O2" s="4" t="n"/>
      <c r="P2" s="4" t="n"/>
      <c r="Q2" s="4" t="n"/>
      <c r="R2" s="4" t="n"/>
      <c r="S2" s="4" t="n"/>
      <c r="T2" s="4" t="n"/>
      <c r="U2" s="4" t="n"/>
      <c r="V2" s="4" t="n"/>
      <c r="W2" s="4" t="n"/>
    </row>
    <row r="3">
      <c r="A3" s="5" t="inlineStr">
        <is>
          <t>QUA-002</t>
        </is>
      </c>
      <c r="B3" s="5" t="inlineStr">
        <is>
          <t>SWEBOK</t>
        </is>
      </c>
      <c r="C3" s="4" t="inlineStr">
        <is>
          <t>1. 品質基礎・全体整合(Quality Fundamentals)</t>
        </is>
      </c>
      <c r="D3" s="8" t="inlineStr">
        <is>
          <t>Critical</t>
        </is>
      </c>
      <c r="E3" s="4" t="inlineStr">
        <is>
          <t>品質活動がライフサイクル早期から計画されているか</t>
        </is>
      </c>
      <c r="F3" s="4" t="inlineStr">
        <is>
          <t>品質計画の策定時期が要求定義フェーズ以前に設定され、各マイルストーンでの品質評価タイミングが定義されている</t>
        </is>
      </c>
      <c r="G3" s="4" t="inlineStr">
        <is>
          <t>品質活動を後工程で初めて計画すると、要求・設計段階の欠陥が終盤まで潜伏し、修正コストが数倍に膨らむ。早期計画とマイルストーンごとの評価で後戻りを最小化する。</t>
        </is>
      </c>
      <c r="H3" s="4" t="inlineStr">
        <is>
          <t>swebok-v4a.pdf ch12 Software Quality &gt; 1. Software Quality Fundamentals(quality should be planned early and assessed at many milestones)</t>
        </is>
      </c>
      <c r="I3" s="4" t="inlineStr">
        <is>
          <t>CORE</t>
        </is>
      </c>
      <c r="J3" s="4" t="inlineStr">
        <is>
          <t>原則適用。案件スコープ・成果物・規制・リスク上非該当の場合はN/A根拠を記録。</t>
        </is>
      </c>
      <c r="K3" s="4" t="inlineStr">
        <is>
          <t>SRC-SWEBOK-V4A</t>
        </is>
      </c>
      <c r="L3" s="4" t="inlineStr"/>
      <c r="M3" s="4" t="n"/>
      <c r="N3" s="4" t="n"/>
      <c r="O3" s="4" t="n"/>
      <c r="P3" s="4" t="n"/>
      <c r="Q3" s="4" t="n"/>
      <c r="R3" s="4" t="n"/>
      <c r="S3" s="4" t="n"/>
      <c r="T3" s="4" t="n"/>
      <c r="U3" s="4" t="n"/>
      <c r="V3" s="4" t="n"/>
      <c r="W3" s="4" t="n"/>
    </row>
    <row r="4">
      <c r="A4" s="5" t="inlineStr">
        <is>
          <t>QUA-003</t>
        </is>
      </c>
      <c r="B4" s="5" t="inlineStr">
        <is>
          <t>SWEBOK</t>
        </is>
      </c>
      <c r="C4" s="4" t="inlineStr">
        <is>
          <t>1. 品質基礎・全体整合(Quality Fundamentals)</t>
        </is>
      </c>
      <c r="D4" s="9" t="inlineStr">
        <is>
          <t>High</t>
        </is>
      </c>
      <c r="E4" s="4" t="inlineStr">
        <is>
          <t>Error/Defect/Failure の用語が定義どおり使い分けられているか</t>
        </is>
      </c>
      <c r="F4" s="4" t="inlineStr">
        <is>
          <t>記録様式・報告書で3用語が定義され、誤り(人の行動)・欠陥(成果物の不備)・故障(実行時の逸脱)が別項目として記録される設計になっている</t>
        </is>
      </c>
      <c r="G4" s="4" t="inlineStr">
        <is>
          <t>誤り・欠陥・故障を混同して記録すると、混入原因の分析(誰の行動か、どの成果物か、どの実行時挙動か)が不可能になり、RCAや欠陥予防が機能しなくなる。</t>
        </is>
      </c>
      <c r="H4" s="4" t="inlineStr">
        <is>
          <t>swebok-v4a.pdf ch12 Software Quality &gt; 1. Software Quality Fundamentals(Error/Defect/Failure の定義)</t>
        </is>
      </c>
      <c r="I4" s="4" t="inlineStr">
        <is>
          <t>CORE</t>
        </is>
      </c>
      <c r="J4" s="4" t="inlineStr">
        <is>
          <t>原則適用。案件スコープ・成果物・規制・リスク上非該当の場合はN/A根拠を記録。</t>
        </is>
      </c>
      <c r="K4" s="4" t="inlineStr">
        <is>
          <t>SRC-SWEBOK-V4A</t>
        </is>
      </c>
      <c r="L4" s="4" t="inlineStr"/>
      <c r="M4" s="4" t="n"/>
      <c r="N4" s="4" t="n"/>
      <c r="O4" s="4" t="n"/>
      <c r="P4" s="4" t="n"/>
      <c r="Q4" s="4" t="n"/>
      <c r="R4" s="4" t="n"/>
      <c r="S4" s="4" t="n"/>
      <c r="T4" s="4" t="n"/>
      <c r="U4" s="4" t="n"/>
      <c r="V4" s="4" t="n"/>
      <c r="W4" s="4" t="n"/>
    </row>
    <row r="5">
      <c r="A5" s="5" t="inlineStr">
        <is>
          <t>QUA-004</t>
        </is>
      </c>
      <c r="B5" s="5" t="inlineStr">
        <is>
          <t>SWEBOK</t>
        </is>
      </c>
      <c r="C5" s="4" t="inlineStr">
        <is>
          <t>1. 品質基礎・全体整合(Quality Fundamentals)</t>
        </is>
      </c>
      <c r="D5" s="9" t="inlineStr">
        <is>
          <t>High</t>
        </is>
      </c>
      <c r="E5" s="4" t="inlineStr">
        <is>
          <t>品質に関する報告の正確性(倫理)が担保される仕組みがあるか</t>
        </is>
      </c>
      <c r="F5" s="4" t="inlineStr">
        <is>
          <t>品質情報・状況・結果を改変せず報告する旨の規定、または独立した報告経路が文書化されている</t>
        </is>
      </c>
      <c r="G5" s="4" t="inlineStr">
        <is>
          <t>品質情報の改変・隠蔽が起きると、経営判断やリリース判定が誤ったデータに基づいて行われ、市場での重大障害につながる。正確な報告を制度として担保する。</t>
        </is>
      </c>
      <c r="H5" s="4" t="inlineStr">
        <is>
          <t>swebok-v4a.pdf ch12 Software Quality &gt; 1.1 Software Engineering Culture and Ethics(engineers accurately report information, conditions and outcomes)</t>
        </is>
      </c>
      <c r="I5" s="4" t="inlineStr">
        <is>
          <t>CORE</t>
        </is>
      </c>
      <c r="J5" s="4" t="inlineStr">
        <is>
          <t>原則適用。案件スコープ・成果物・規制・リスク上非該当の場合はN/A根拠を記録。</t>
        </is>
      </c>
      <c r="K5" s="4" t="inlineStr">
        <is>
          <t>SRC-SWEBOK-V4A</t>
        </is>
      </c>
      <c r="L5" s="4" t="inlineStr"/>
      <c r="M5" s="4" t="n"/>
      <c r="N5" s="4" t="n"/>
      <c r="O5" s="4" t="n"/>
      <c r="P5" s="4" t="n"/>
      <c r="Q5" s="4" t="n"/>
      <c r="R5" s="4" t="n"/>
      <c r="S5" s="4" t="n"/>
      <c r="T5" s="4" t="n"/>
      <c r="U5" s="4" t="n"/>
      <c r="V5" s="4" t="n"/>
      <c r="W5" s="4" t="n"/>
    </row>
    <row r="6">
      <c r="A6" s="5" t="inlineStr">
        <is>
          <t>QUA-005</t>
        </is>
      </c>
      <c r="B6" s="5" t="inlineStr">
        <is>
          <t>SWEBOK</t>
        </is>
      </c>
      <c r="C6" s="4" t="inlineStr">
        <is>
          <t>1. 品質基礎・全体整合(Quality Fundamentals)</t>
        </is>
      </c>
      <c r="D6" s="10" t="inlineStr">
        <is>
          <t>Medium</t>
        </is>
      </c>
      <c r="E6" s="4" t="inlineStr">
        <is>
          <t>業種・ビジネスモデルに応じた品質実践の調整が記述されているか</t>
        </is>
      </c>
      <c r="F6" s="4" t="inlineStr">
        <is>
          <t>対象システムの業種特性(カスタム/商用/組込み等)と、それに応じた品質活動の調整理由が1箇所以上に記述されている</t>
        </is>
      </c>
      <c r="G6" s="4" t="inlineStr">
        <is>
          <t>カスタム開発・マスマーケット・組込み等で適切な品質実践は異なるため、他業種の実践を無調整で流用すると過剰・過少な品質活動になる。業種特性に応じた調整根拠を残させる。</t>
        </is>
      </c>
      <c r="H6" s="4" t="inlineStr">
        <is>
          <t>swebok-v4a.pdf ch12 Software Quality &gt; 1.1 Software Engineering Culture and Ethics(Iberle: practices vary by business model and industry)</t>
        </is>
      </c>
      <c r="I6" s="4" t="inlineStr">
        <is>
          <t>CORE</t>
        </is>
      </c>
      <c r="J6" s="4" t="inlineStr">
        <is>
          <t>原則適用。案件スコープ・成果物・規制・リスク上非該当の場合はN/A根拠を記録。</t>
        </is>
      </c>
      <c r="K6" s="4" t="inlineStr">
        <is>
          <t>SRC-SWEBOK-V4A</t>
        </is>
      </c>
      <c r="L6" s="4" t="inlineStr"/>
      <c r="M6" s="4" t="n"/>
      <c r="N6" s="4" t="n"/>
      <c r="O6" s="4" t="n"/>
      <c r="P6" s="4" t="n"/>
      <c r="Q6" s="4" t="n"/>
      <c r="R6" s="4" t="n"/>
      <c r="S6" s="4" t="n"/>
      <c r="T6" s="4" t="n"/>
      <c r="U6" s="4" t="n"/>
      <c r="V6" s="4" t="n"/>
      <c r="W6" s="4" t="n"/>
    </row>
    <row r="7">
      <c r="A7" s="5" t="inlineStr">
        <is>
          <t>QUA-006</t>
        </is>
      </c>
      <c r="B7" s="5" t="inlineStr">
        <is>
          <t>SWEBOK</t>
        </is>
      </c>
      <c r="C7" s="4" t="inlineStr">
        <is>
          <t>1. 品質基礎・全体整合(Quality Fundamentals)</t>
        </is>
      </c>
      <c r="D7" s="10" t="inlineStr">
        <is>
          <t>Medium</t>
        </is>
      </c>
      <c r="E7" s="4" t="inlineStr">
        <is>
          <t>コスト・スケジュール・品質のトレードオフが明示されているか</t>
        </is>
      </c>
      <c r="F7" s="4" t="inlineStr">
        <is>
          <t>品質目標とコスト/スケジュール制約の関係(何を優先し何を許容するか)が記述され、承認者が明記されている</t>
        </is>
      </c>
      <c r="G7" s="4" t="inlineStr">
        <is>
          <t>コスト・スケジュール・品質のトレードオフを暗黙にすると、納期圧力で品質活動が無断で削られ、責任の所在も不明になる。優先順位と承認者を明示させ、恣意的な品質切り下げを防ぐ。</t>
        </is>
      </c>
      <c r="H7" s="4" t="inlineStr">
        <is>
          <t>swebok-v4a.pdf ch12 Software Quality &gt; 1.1 Software Engineering Culture and Ethics(trade-offs among cost, schedule and quality)</t>
        </is>
      </c>
      <c r="I7" s="4" t="inlineStr">
        <is>
          <t>CORE</t>
        </is>
      </c>
      <c r="J7" s="4" t="inlineStr">
        <is>
          <t>原則適用。案件スコープ・成果物・規制・リスク上非該当の場合はN/A根拠を記録。</t>
        </is>
      </c>
      <c r="K7" s="4" t="inlineStr">
        <is>
          <t>SRC-SWEBOK-V4A</t>
        </is>
      </c>
      <c r="L7" s="4" t="inlineStr">
        <is>
          <t>COST</t>
        </is>
      </c>
      <c r="M7" s="4" t="n"/>
      <c r="N7" s="4" t="n"/>
      <c r="O7" s="4" t="n"/>
      <c r="P7" s="4" t="n"/>
      <c r="Q7" s="4" t="n"/>
      <c r="R7" s="4" t="n"/>
      <c r="S7" s="4" t="n"/>
      <c r="T7" s="4" t="n"/>
      <c r="U7" s="4" t="n"/>
      <c r="V7" s="4" t="n"/>
      <c r="W7" s="4" t="n"/>
    </row>
    <row r="8">
      <c r="A8" s="5" t="inlineStr">
        <is>
          <t>QUA-007</t>
        </is>
      </c>
      <c r="B8" s="5" t="inlineStr">
        <is>
          <t>SWEBOK</t>
        </is>
      </c>
      <c r="C8" s="4" t="inlineStr">
        <is>
          <t>1. 品質基礎・全体整合(Quality Fundamentals)</t>
        </is>
      </c>
      <c r="D8" s="11" t="inlineStr">
        <is>
          <t>Low</t>
        </is>
      </c>
      <c r="E8" s="4" t="inlineStr">
        <is>
          <t>用語集または用語定義への参照があるか</t>
        </is>
      </c>
      <c r="F8" s="4" t="inlineStr">
        <is>
          <t>SQA/SQC/V&amp;V/QMS 等の略語が初出時に定義されるか、用語集への参照がある</t>
        </is>
      </c>
      <c r="G8" s="4" t="inlineStr">
        <is>
          <t>SQA/SQC/V&amp;V等の略語は組織により解釈が揺れるため、定義参照がないと読者間で活動範囲の認識齟齬(例: SQA=テストと誤解)が生じる。</t>
        </is>
      </c>
      <c r="H8" s="4" t="inlineStr">
        <is>
          <t>swebok-v4a.pdf ch12 Software Quality &gt; Acronyms / 3.1 Prepare for Quality Assurance(SQAはテストのみではない、という誤解の指摘)</t>
        </is>
      </c>
      <c r="I8" s="4" t="inlineStr">
        <is>
          <t>CORE</t>
        </is>
      </c>
      <c r="J8" s="4" t="inlineStr">
        <is>
          <t>原則適用。案件スコープ・成果物・規制・リスク上非該当の場合はN/A根拠を記録。</t>
        </is>
      </c>
      <c r="K8" s="4" t="inlineStr">
        <is>
          <t>SRC-SWEBOK-V4A</t>
        </is>
      </c>
      <c r="L8" s="4" t="inlineStr"/>
      <c r="M8" s="4" t="n"/>
      <c r="N8" s="4" t="n"/>
      <c r="O8" s="4" t="n"/>
      <c r="P8" s="4" t="n"/>
      <c r="Q8" s="4" t="n"/>
      <c r="R8" s="4" t="n"/>
      <c r="S8" s="4" t="n"/>
      <c r="T8" s="4" t="n"/>
      <c r="U8" s="4" t="n"/>
      <c r="V8" s="4" t="n"/>
      <c r="W8" s="4" t="n"/>
    </row>
    <row r="9">
      <c r="A9" s="5" t="inlineStr">
        <is>
          <t>QUA-010</t>
        </is>
      </c>
      <c r="B9" s="5" t="inlineStr">
        <is>
          <t>SWEBOK</t>
        </is>
      </c>
      <c r="C9" s="4" t="inlineStr">
        <is>
          <t>2. 品質コスト(Value and Costs of Quality)</t>
        </is>
      </c>
      <c r="D9" s="9" t="inlineStr">
        <is>
          <t>High</t>
        </is>
      </c>
      <c r="E9" s="4" t="inlineStr">
        <is>
          <t>品質コスト(CoSQ)の区分が定義されているか</t>
        </is>
      </c>
      <c r="F9" s="4" t="inlineStr">
        <is>
          <t>予防コスト・評価コスト・内部故障コスト・外部故障コストの4区分(または適合/不適合コストの2大別)が定義され、集計対象の活動が対応付けられている</t>
        </is>
      </c>
      <c r="G9" s="4" t="inlineStr">
        <is>
          <t>品質コストの区分が未定義だと、品質投資と障害対応費用が混在し、SQA予算の妥当性を経営層に説明できず品質活動が削減対象になる。CoSQ区分で投資対効果を可視化する。</t>
        </is>
      </c>
      <c r="H9" s="4" t="inlineStr">
        <is>
          <t>swebok-v4a.pdf ch12 Software Quality &gt; 1.2 Value and Costs of Quality(CoSQ: 予防・評価・適合/不適合コストの区分)</t>
        </is>
      </c>
      <c r="I9" s="4" t="inlineStr">
        <is>
          <t>CORE</t>
        </is>
      </c>
      <c r="J9" s="4" t="inlineStr">
        <is>
          <t>原則適用。案件スコープ・成果物・規制・リスク上非該当の場合はN/A根拠を記録。</t>
        </is>
      </c>
      <c r="K9" s="4" t="inlineStr">
        <is>
          <t>SRC-SWEBOK-V4A</t>
        </is>
      </c>
      <c r="L9" s="4" t="inlineStr">
        <is>
          <t>COST</t>
        </is>
      </c>
      <c r="M9" s="4" t="n"/>
      <c r="N9" s="4" t="n"/>
      <c r="O9" s="4" t="n"/>
      <c r="P9" s="4" t="n"/>
      <c r="Q9" s="4" t="n"/>
      <c r="R9" s="4" t="n"/>
      <c r="S9" s="4" t="n"/>
      <c r="T9" s="4" t="n"/>
      <c r="U9" s="4" t="n"/>
      <c r="V9" s="4" t="n"/>
      <c r="W9" s="4" t="n"/>
    </row>
    <row r="10">
      <c r="A10" s="5" t="inlineStr">
        <is>
          <t>QUA-011</t>
        </is>
      </c>
      <c r="B10" s="5" t="inlineStr">
        <is>
          <t>SWEBOK</t>
        </is>
      </c>
      <c r="C10" s="4" t="inlineStr">
        <is>
          <t>2. 品質コスト(Value and Costs of Quality)</t>
        </is>
      </c>
      <c r="D10" s="10" t="inlineStr">
        <is>
          <t>Medium</t>
        </is>
      </c>
      <c r="E10" s="4" t="inlineStr">
        <is>
          <t>外部故障コストに顧客影響が含まれているか</t>
        </is>
      </c>
      <c r="F10" s="4" t="inlineStr">
        <is>
          <t>納品後コストの定義に、障害対応費用に加えて顧客の生産性損失・データ損失・評判低下のうち少なくとも1つが考慮事項として記載されている</t>
        </is>
      </c>
      <c r="G10" s="4" t="inlineStr">
        <is>
          <t>外部故障コストを自社の修正工数だけで見積もると、顧客の生産性損失・データ損失・評判低下という最大のコスト要因が抜け、品質投資が過少に判断される。</t>
        </is>
      </c>
      <c r="H10" s="4" t="inlineStr">
        <is>
          <t>swebok-v4a.pdf ch12 Software Quality &gt; 1.2 Value and Costs of Quality(customer's lost productivity, lost data, loss of reputation)</t>
        </is>
      </c>
      <c r="I10" s="4" t="inlineStr">
        <is>
          <t>CORE</t>
        </is>
      </c>
      <c r="J10" s="4" t="inlineStr">
        <is>
          <t>原則適用。案件スコープ・成果物・規制・リスク上非該当の場合はN/A根拠を記録。</t>
        </is>
      </c>
      <c r="K10" s="4" t="inlineStr">
        <is>
          <t>SRC-SWEBOK-V4A</t>
        </is>
      </c>
      <c r="L10" s="4" t="inlineStr">
        <is>
          <t>COST</t>
        </is>
      </c>
      <c r="M10" s="4" t="n"/>
      <c r="N10" s="4" t="n"/>
      <c r="O10" s="4" t="n"/>
      <c r="P10" s="4" t="n"/>
      <c r="Q10" s="4" t="n"/>
      <c r="R10" s="4" t="n"/>
      <c r="S10" s="4" t="n"/>
      <c r="T10" s="4" t="n"/>
      <c r="U10" s="4" t="n"/>
      <c r="V10" s="4" t="n"/>
      <c r="W10" s="4" t="n"/>
    </row>
    <row r="11">
      <c r="A11" s="5" t="inlineStr">
        <is>
          <t>QUA-012</t>
        </is>
      </c>
      <c r="B11" s="5" t="inlineStr">
        <is>
          <t>SWEBOK</t>
        </is>
      </c>
      <c r="C11" s="4" t="inlineStr">
        <is>
          <t>2. 品質コスト(Value and Costs of Quality)</t>
        </is>
      </c>
      <c r="D11" s="10" t="inlineStr">
        <is>
          <t>Medium</t>
        </is>
      </c>
      <c r="E11" s="4" t="inlineStr">
        <is>
          <t>品質投資の妥当性説明があるか</t>
        </is>
      </c>
      <c r="F11" s="4" t="inlineStr">
        <is>
          <t>予防・評価活動の工数/費用見積りと、期待される不適合コスト削減効果の説明が記載されている</t>
        </is>
      </c>
      <c r="G11" s="4" t="inlineStr">
        <is>
          <t>SQA導入への最大の抵抗要因は「コストが高い」という認識であり、予防・評価投資と不適合コスト削減効果の対比を示さないと、品質活動の予算が確保できない。</t>
        </is>
      </c>
      <c r="H11" s="4" t="inlineStr">
        <is>
          <t>swebok-v4a.pdf ch12 Software Quality &gt; 1.2 Value and Costs of Quality(SQA不実施のリスクをCoSQで経営層に説明する)</t>
        </is>
      </c>
      <c r="I11" s="4" t="inlineStr">
        <is>
          <t>CORE</t>
        </is>
      </c>
      <c r="J11" s="4" t="inlineStr">
        <is>
          <t>原則適用。案件スコープ・成果物・規制・リスク上非該当の場合はN/A根拠を記録。</t>
        </is>
      </c>
      <c r="K11" s="4" t="inlineStr">
        <is>
          <t>SRC-SWEBOK-V4A</t>
        </is>
      </c>
      <c r="L11" s="4" t="inlineStr">
        <is>
          <t>COST</t>
        </is>
      </c>
      <c r="M11" s="4" t="n"/>
      <c r="N11" s="4" t="n"/>
      <c r="O11" s="4" t="n"/>
      <c r="P11" s="4" t="n"/>
      <c r="Q11" s="4" t="n"/>
      <c r="R11" s="4" t="n"/>
      <c r="S11" s="4" t="n"/>
      <c r="T11" s="4" t="n"/>
      <c r="U11" s="4" t="n"/>
      <c r="V11" s="4" t="n"/>
      <c r="W11" s="4" t="n"/>
    </row>
    <row r="12">
      <c r="A12" s="5" t="inlineStr">
        <is>
          <t>QUA-013</t>
        </is>
      </c>
      <c r="B12" s="5" t="inlineStr">
        <is>
          <t>SWEBOK</t>
        </is>
      </c>
      <c r="C12" s="4" t="inlineStr">
        <is>
          <t>2. 品質コスト(Value and Costs of Quality)</t>
        </is>
      </c>
      <c r="D12" s="11" t="inlineStr">
        <is>
          <t>Low</t>
        </is>
      </c>
      <c r="E12" s="4" t="inlineStr">
        <is>
          <t>最適CoSQの考え方が反映されているか</t>
        </is>
      </c>
      <c r="F12" s="4" t="inlineStr">
        <is>
          <t>品質レベルとコストの関係(過剰品質・過少品質の双方を避ける方針)が記述されている</t>
        </is>
      </c>
      <c r="G12" s="4" t="inlineStr">
        <is>
          <t>品質レベルとコストの関係を考えないと、低リスク部分への過剰な検証や高リスク部分への過少投資が起き、総コストが最小化されない。最適CoSQの方針で配分を規律づける。</t>
        </is>
      </c>
      <c r="H12" s="4" t="inlineStr">
        <is>
          <t>swebok-v4a.pdf ch12 Software Quality &gt; 1.2 Value and Costs of Quality(optimal CoSQ — minimal total cost for a specified quality level)</t>
        </is>
      </c>
      <c r="I12" s="4" t="inlineStr">
        <is>
          <t>CORE</t>
        </is>
      </c>
      <c r="J12" s="4" t="inlineStr">
        <is>
          <t>原則適用。案件スコープ・成果物・規制・リスク上非該当の場合はN/A根拠を記録。</t>
        </is>
      </c>
      <c r="K12" s="4" t="inlineStr">
        <is>
          <t>SRC-SWEBOK-V4A</t>
        </is>
      </c>
      <c r="L12" s="4" t="inlineStr">
        <is>
          <t>COST</t>
        </is>
      </c>
      <c r="M12" s="4" t="n"/>
      <c r="N12" s="4" t="n"/>
      <c r="O12" s="4" t="n"/>
      <c r="P12" s="4" t="n"/>
      <c r="Q12" s="4" t="n"/>
      <c r="R12" s="4" t="n"/>
      <c r="S12" s="4" t="n"/>
      <c r="T12" s="4" t="n"/>
      <c r="U12" s="4" t="n"/>
      <c r="V12" s="4" t="n"/>
      <c r="W12" s="4" t="n"/>
    </row>
    <row r="13">
      <c r="A13" s="5" t="inlineStr">
        <is>
          <t>QUA-020</t>
        </is>
      </c>
      <c r="B13" s="5" t="inlineStr">
        <is>
          <t>SWEBOK</t>
        </is>
      </c>
      <c r="C13" s="4" t="inlineStr">
        <is>
          <t>3. 標準・インテグリティレベル(Standards and Integrity Levels)</t>
        </is>
      </c>
      <c r="D13" s="8" t="inlineStr">
        <is>
          <t>Critical</t>
        </is>
      </c>
      <c r="E13" s="4" t="inlineStr">
        <is>
          <t>適用標準が実在し、版が特定されているか</t>
        </is>
      </c>
      <c r="F13" s="4" t="inlineStr">
        <is>
          <t>参照される標準(ISO/IEC 25010, IEEE 730, IEEE 1012, ISO/IEC 20246 等)がすべて実在し、規格番号と発行年(版)が明記されている</t>
        </is>
      </c>
      <c r="G13" s="4" t="inlineStr">
        <is>
          <t>実在しない規格や版数不明の標準参照は、監査・認証時に指摘となるだけでなく、旧版準拠による要求漏れ(例: 25010の特性追加を見落とす)を招く。</t>
        </is>
      </c>
      <c r="H13" s="4" t="inlineStr">
        <is>
          <t>swebok-v4a.pdf ch12 Software Quality &gt; 1.3 Standards, Models, and Certifications</t>
        </is>
      </c>
      <c r="I13" s="4" t="inlineStr">
        <is>
          <t>CORE</t>
        </is>
      </c>
      <c r="J13" s="4" t="inlineStr">
        <is>
          <t>原則適用。案件スコープ・成果物・規制・リスク上非該当の場合はN/A根拠を記録。</t>
        </is>
      </c>
      <c r="K13" s="4" t="inlineStr">
        <is>
          <t>SRC-SWEBOK-V4A</t>
        </is>
      </c>
      <c r="L13" s="4" t="inlineStr"/>
      <c r="M13" s="4" t="n"/>
      <c r="N13" s="4" t="n"/>
      <c r="O13" s="4" t="n"/>
      <c r="P13" s="4" t="n"/>
      <c r="Q13" s="4" t="n"/>
      <c r="R13" s="4" t="n"/>
      <c r="S13" s="4" t="n"/>
      <c r="T13" s="4" t="n"/>
      <c r="U13" s="4" t="n"/>
      <c r="V13" s="4" t="n"/>
      <c r="W13" s="4" t="n"/>
    </row>
    <row r="14">
      <c r="A14" s="5" t="inlineStr">
        <is>
          <t>QUA-021</t>
        </is>
      </c>
      <c r="B14" s="5" t="inlineStr">
        <is>
          <t>SWEBOK</t>
        </is>
      </c>
      <c r="C14" s="4" t="inlineStr">
        <is>
          <t>3. 標準・インテグリティレベル(Standards and Integrity Levels)</t>
        </is>
      </c>
      <c r="D14" s="8" t="inlineStr">
        <is>
          <t>Critical</t>
        </is>
      </c>
      <c r="E14" s="4" t="inlineStr">
        <is>
          <t>インテグリティレベルが設定・記録されているか</t>
        </is>
      </c>
      <c r="F14" s="4" t="inlineStr">
        <is>
          <t>対象システム(または構成要素ごと)のインテグリティレベルが、決定根拠(複雑性・重要性・リスク・安全性等)と合意者(取得者・供給者等)とともに記録されている</t>
        </is>
      </c>
      <c r="G14" s="4" t="inlineStr">
        <is>
          <t>インテグリティレベル未設定だと、V&amp;Vの厳格度やSQA独立性の要否を決める基準がなく、全部位に一律の(過剰または過少な)品質活動を適用してしまう。関係者合意と根拠の記録で恣意性を排除する。</t>
        </is>
      </c>
      <c r="H14" s="4" t="inlineStr">
        <is>
          <t>swebok-v4a.pdf ch12 Software Quality &gt; 1.4.2 Integrity Levels of Software(integrity level scheme、取得者・供給者・開発者・独立保証機関の合意)</t>
        </is>
      </c>
      <c r="I14" s="4" t="inlineStr">
        <is>
          <t>CORE</t>
        </is>
      </c>
      <c r="J14" s="4" t="inlineStr">
        <is>
          <t>原則適用。案件スコープ・成果物・規制・リスク上非該当の場合はN/A根拠を記録。</t>
        </is>
      </c>
      <c r="K14" s="4" t="inlineStr">
        <is>
          <t>SRC-SWEBOK-V4A</t>
        </is>
      </c>
      <c r="L14" s="4" t="inlineStr"/>
      <c r="M14" s="4" t="n"/>
      <c r="N14" s="4" t="n"/>
      <c r="O14" s="4" t="n"/>
      <c r="P14" s="4" t="n"/>
      <c r="Q14" s="4" t="n"/>
      <c r="R14" s="4" t="n"/>
      <c r="S14" s="4" t="n"/>
      <c r="T14" s="4" t="n"/>
      <c r="U14" s="4" t="n"/>
      <c r="V14" s="4" t="n"/>
      <c r="W14" s="4" t="n"/>
    </row>
    <row r="15">
      <c r="A15" s="5" t="inlineStr">
        <is>
          <t>QUA-022</t>
        </is>
      </c>
      <c r="B15" s="5" t="inlineStr">
        <is>
          <t>SWEBOK</t>
        </is>
      </c>
      <c r="C15" s="4" t="inlineStr">
        <is>
          <t>3. 標準・インテグリティレベル(Standards and Integrity Levels)</t>
        </is>
      </c>
      <c r="D15" s="8" t="inlineStr">
        <is>
          <t>Critical</t>
        </is>
      </c>
      <c r="E15" s="4" t="inlineStr">
        <is>
          <t>安全クリティカル該当性が判定されているか</t>
        </is>
      </c>
      <c r="F15" s="4" t="inlineStr">
        <is>
          <t>故障が人命・環境に危害を及ぼしうるかの判定結果が記録され、該当する場合は業種安全標準(DO-178C、EN 50128 等)の適用要否が明記されている</t>
        </is>
      </c>
      <c r="G15" s="4" t="inlineStr">
        <is>
          <t>安全クリティカル該当性の判定漏れは、DO-178C等の業種標準の適用漏れに直結し、認証不能・人命に関わる事故・法的責任という最悪の結果を招く。</t>
        </is>
      </c>
      <c r="H15" s="4" t="inlineStr">
        <is>
          <t>swebok-v4a.pdf ch12 Software Quality &gt; 1.4 Software Dependability and Integrity Levels(safety-critical systems、DO-178C、EN 50128)</t>
        </is>
      </c>
      <c r="I15" s="4" t="inlineStr">
        <is>
          <t>CORE</t>
        </is>
      </c>
      <c r="J15" s="4" t="inlineStr">
        <is>
          <t>原則適用。案件スコープ・成果物・規制・リスク上非該当の場合はN/A根拠を記録。</t>
        </is>
      </c>
      <c r="K15" s="4" t="inlineStr">
        <is>
          <t>SRC-SWEBOK-V4A</t>
        </is>
      </c>
      <c r="L15" s="4" t="inlineStr"/>
      <c r="M15" s="4" t="n"/>
      <c r="N15" s="4" t="n"/>
      <c r="O15" s="4" t="n"/>
      <c r="P15" s="4" t="n"/>
      <c r="Q15" s="4" t="n"/>
      <c r="R15" s="4" t="n"/>
      <c r="S15" s="4" t="n"/>
      <c r="T15" s="4" t="n"/>
      <c r="U15" s="4" t="n"/>
      <c r="V15" s="4" t="n"/>
      <c r="W15" s="4" t="n"/>
    </row>
    <row r="16">
      <c r="A16" s="5" t="inlineStr">
        <is>
          <t>QUA-023</t>
        </is>
      </c>
      <c r="B16" s="5" t="inlineStr">
        <is>
          <t>SWEBOK</t>
        </is>
      </c>
      <c r="C16" s="4" t="inlineStr">
        <is>
          <t>3. 標準・インテグリティレベル(Standards and Integrity Levels)</t>
        </is>
      </c>
      <c r="D16" s="9" t="inlineStr">
        <is>
          <t>High</t>
        </is>
      </c>
      <c r="E16" s="4" t="inlineStr">
        <is>
          <t>インテグリティレベルとV&amp;V厳格度が整合しているか</t>
        </is>
      </c>
      <c r="F16" s="4" t="inlineStr">
        <is>
          <t>インテグリティレベルごとに適用するV&amp;V技法・レビュー方式の対応表があり、高レベルほど厳格な技法が割り当てられている</t>
        </is>
      </c>
      <c r="G16" s="4" t="inlineStr">
        <is>
          <t>リスクの高い部位ほど厳格なレビュー・V&amp;V技法(インスペクション、形式手法等)を割り当てるのがSWEBOKの原則であり、対応表がないと高リスク部位が軽い技法で素通りする。</t>
        </is>
      </c>
      <c r="H16" s="4" t="inlineStr">
        <is>
          <t>swebok-v4a.pdf ch12 Software Quality &gt; 1.4 / 1.4.2(Increasing risk implies increasing SQA and more rigorous review techniques、レベル別最小V&amp;V技法)</t>
        </is>
      </c>
      <c r="I16" s="4" t="inlineStr">
        <is>
          <t>CORE</t>
        </is>
      </c>
      <c r="J16" s="4" t="inlineStr">
        <is>
          <t>原則適用。案件スコープ・成果物・規制・リスク上非該当の場合はN/A根拠を記録。</t>
        </is>
      </c>
      <c r="K16" s="4" t="inlineStr">
        <is>
          <t>SRC-SWEBOK-V4A</t>
        </is>
      </c>
      <c r="L16" s="4" t="inlineStr"/>
      <c r="M16" s="4" t="n"/>
      <c r="N16" s="4" t="n"/>
      <c r="O16" s="4" t="n"/>
      <c r="P16" s="4" t="n"/>
      <c r="Q16" s="4" t="n"/>
      <c r="R16" s="4" t="n"/>
      <c r="S16" s="4" t="n"/>
      <c r="T16" s="4" t="n"/>
      <c r="U16" s="4" t="n"/>
      <c r="V16" s="4" t="n"/>
      <c r="W16" s="4" t="n"/>
    </row>
    <row r="17">
      <c r="A17" s="5" t="inlineStr">
        <is>
          <t>QUA-024</t>
        </is>
      </c>
      <c r="B17" s="5" t="inlineStr">
        <is>
          <t>SWEBOK</t>
        </is>
      </c>
      <c r="C17" s="4" t="inlineStr">
        <is>
          <t>3. 標準・インテグリティレベル(Standards and Integrity Levels)</t>
        </is>
      </c>
      <c r="D17" s="9" t="inlineStr">
        <is>
          <t>High</t>
        </is>
      </c>
      <c r="E17" s="4" t="inlineStr">
        <is>
          <t>安全クリティカルシステムでリスク低減技法が計画されているか</t>
        </is>
      </c>
      <c r="F17" s="4" t="inlineStr">
        <is>
          <t>回避・検出と除去・被害限定の3技法のうち、採用するものと適用箇所が記述されている(非クリティカルなら N/A)</t>
        </is>
      </c>
      <c r="G17" s="4" t="inlineStr">
        <is>
          <t>故障リスク低減は回避・検出と除去・被害限定の3技法の組合せで達成される。採用技法と適用箇所が未計画だと、検出偏重で被害限定機構(フォールトトレランス等)が抜ける。</t>
        </is>
      </c>
      <c r="H17" s="4" t="inlineStr">
        <is>
          <t>swebok-v4a.pdf ch12 Software Quality &gt; 1.4 Software Dependability and Integrity Levels(avoidance, detection and removal, damage limitation)</t>
        </is>
      </c>
      <c r="I17" s="4" t="inlineStr">
        <is>
          <t>CORE</t>
        </is>
      </c>
      <c r="J17" s="4" t="inlineStr">
        <is>
          <t>原則適用。案件スコープ・成果物・規制・リスク上非該当の場合はN/A根拠を記録。</t>
        </is>
      </c>
      <c r="K17" s="4" t="inlineStr">
        <is>
          <t>SRC-SWEBOK-V4A</t>
        </is>
      </c>
      <c r="L17" s="4" t="inlineStr"/>
      <c r="M17" s="4" t="n"/>
      <c r="N17" s="4" t="n"/>
      <c r="O17" s="4" t="n"/>
      <c r="P17" s="4" t="n"/>
      <c r="Q17" s="4" t="n"/>
      <c r="R17" s="4" t="n"/>
      <c r="S17" s="4" t="n"/>
      <c r="T17" s="4" t="n"/>
      <c r="U17" s="4" t="n"/>
      <c r="V17" s="4" t="n"/>
      <c r="W17" s="4" t="n"/>
    </row>
    <row r="18">
      <c r="A18" s="5" t="inlineStr">
        <is>
          <t>QUA-025</t>
        </is>
      </c>
      <c r="B18" s="5" t="inlineStr">
        <is>
          <t>SWEBOK</t>
        </is>
      </c>
      <c r="C18" s="4" t="inlineStr">
        <is>
          <t>3. 標準・インテグリティレベル(Standards and Integrity Levels)</t>
        </is>
      </c>
      <c r="D18" s="10" t="inlineStr">
        <is>
          <t>Medium</t>
        </is>
      </c>
      <c r="E18" s="4" t="inlineStr">
        <is>
          <t>インテグリティレベルの見直し時期が定義されているか</t>
        </is>
      </c>
      <c r="F18" s="4" t="inlineStr">
        <is>
          <t>レベル再評価のトリガー(要求変更、アーキテクチャ変更、フェーズゲート等)が明記されている</t>
        </is>
      </c>
      <c r="G18" s="4" t="inlineStr">
        <is>
          <t>インテグリティレベルはソフトウェアの進化(設計・技術要素の変更)で上下しうるとSWEBOKは明記しており、見直しトリガーがないと初期判定のまま実態と乖離したV&amp;V厳格度が続く。</t>
        </is>
      </c>
      <c r="H18" s="4" t="inlineStr">
        <is>
          <t>swebok-v4a.pdf ch12 Software Quality &gt; 1.4.2 Integrity Levels of Software(assigned software integrity levels might change as the software evolves)</t>
        </is>
      </c>
      <c r="I18" s="4" t="inlineStr">
        <is>
          <t>CORE</t>
        </is>
      </c>
      <c r="J18" s="4" t="inlineStr">
        <is>
          <t>原則適用。案件スコープ・成果物・規制・リスク上非該当の場合はN/A根拠を記録。</t>
        </is>
      </c>
      <c r="K18" s="4" t="inlineStr">
        <is>
          <t>SRC-SWEBOK-V4A</t>
        </is>
      </c>
      <c r="L18" s="4" t="inlineStr"/>
      <c r="M18" s="4" t="n"/>
      <c r="N18" s="4" t="n"/>
      <c r="O18" s="4" t="n"/>
      <c r="P18" s="4" t="n"/>
      <c r="Q18" s="4" t="n"/>
      <c r="R18" s="4" t="n"/>
      <c r="S18" s="4" t="n"/>
      <c r="T18" s="4" t="n"/>
      <c r="U18" s="4" t="n"/>
      <c r="V18" s="4" t="n"/>
      <c r="W18" s="4" t="n"/>
    </row>
    <row r="19">
      <c r="A19" s="5" t="inlineStr">
        <is>
          <t>QUA-026</t>
        </is>
      </c>
      <c r="B19" s="5" t="inlineStr">
        <is>
          <t>SWEBOK</t>
        </is>
      </c>
      <c r="C19" s="4" t="inlineStr">
        <is>
          <t>3. 標準・インテグリティレベル(Standards and Integrity Levels)</t>
        </is>
      </c>
      <c r="D19" s="10" t="inlineStr">
        <is>
          <t>Medium</t>
        </is>
      </c>
      <c r="E19" s="4" t="inlineStr">
        <is>
          <t>アシュアランスケースの要否が判断されているか</t>
        </is>
      </c>
      <c r="F19" s="4" t="inlineStr">
        <is>
          <t>高インテグリティシステムで、claim・argument・evidence 構造のアシュアランスケース作成要否と担当が記述されている(低リスクなら N/A 可)</t>
        </is>
      </c>
      <c r="G19" s="4" t="inlineStr">
        <is>
          <t>高インテグリティシステムでは「安全である」という主張を claim-argument-evidence の構造で監査可能に示す必要があり、要否判断を怠ると認証・受入段階で証拠体系の欠如が発覚し大規模手戻りになる。</t>
        </is>
      </c>
      <c r="H19" s="4" t="inlineStr">
        <is>
          <t>swebok-v4a.pdf ch12 Software Quality &gt; 1.4 Software Dependability and Integrity Levels(assurance case)</t>
        </is>
      </c>
      <c r="I19" s="4" t="inlineStr">
        <is>
          <t>CORE</t>
        </is>
      </c>
      <c r="J19" s="4" t="inlineStr">
        <is>
          <t>原則適用。案件スコープ・成果物・規制・リスク上非該当の場合はN/A根拠を記録。</t>
        </is>
      </c>
      <c r="K19" s="4" t="inlineStr">
        <is>
          <t>SRC-SWEBOK-V4A</t>
        </is>
      </c>
      <c r="L19" s="4" t="inlineStr"/>
      <c r="M19" s="4" t="n"/>
      <c r="N19" s="4" t="n"/>
      <c r="O19" s="4" t="n"/>
      <c r="P19" s="4" t="n"/>
      <c r="Q19" s="4" t="n"/>
      <c r="R19" s="4" t="n"/>
      <c r="S19" s="4" t="n"/>
      <c r="T19" s="4" t="n"/>
      <c r="U19" s="4" t="n"/>
      <c r="V19" s="4" t="n"/>
      <c r="W19" s="4" t="n"/>
    </row>
    <row r="20">
      <c r="A20" s="5" t="inlineStr">
        <is>
          <t>QUA-903</t>
        </is>
      </c>
      <c r="B20" s="5" t="inlineStr">
        <is>
          <t>追加承認</t>
        </is>
      </c>
      <c r="C20" s="4" t="inlineStr">
        <is>
          <t>3. 標準・インテグリティレベル(Standards and Integrity Levels)</t>
        </is>
      </c>
      <c r="D20" s="9" t="inlineStr">
        <is>
          <t>High</t>
        </is>
      </c>
      <c r="E20" s="4" t="inlineStr">
        <is>
          <t>安全クリティカルシステムでハザード分析・故障モード分析が実施されているか</t>
        </is>
      </c>
      <c r="F20" s="4" t="inlineStr">
        <is>
          <t>FMEA・FTA等の分析技法を用いたハザード/故障モードの識別結果が記録され、識別されたハザードがリスク低減技法(QUA-024)や安全要求に対応付けられている(非クリティカルなら N/A)</t>
        </is>
      </c>
      <c r="G20" s="4" t="inlineStr">
        <is>
          <t>ハザードを体系的に洗い出さずにリスク低減技法を選ぶと、想定外の故障モードが未対策のまま残り、運用中の事故として顕在化する。分析結果と対策の対応付けで抜けを検出可能にする。</t>
        </is>
      </c>
      <c r="H20" s="4" t="inlineStr">
        <is>
          <t>swebok-v4a.pdf ch12 Software Quality &gt; 1.4 Software Dependability / 4. Software Quality Tools — 安全ハザード分析(FMEA/FTA)</t>
        </is>
      </c>
      <c r="I20" s="4" t="inlineStr">
        <is>
          <t>CORE</t>
        </is>
      </c>
      <c r="J20" s="4" t="inlineStr">
        <is>
          <t>原則適用。案件スコープ・成果物・規制・リスク上非該当の場合はN/A根拠を記録。</t>
        </is>
      </c>
      <c r="K20" s="4" t="inlineStr">
        <is>
          <t>SRC-SWEBOK-V4A</t>
        </is>
      </c>
      <c r="L20" s="4" t="inlineStr"/>
      <c r="M20" s="4" t="n"/>
      <c r="N20" s="4" t="n"/>
      <c r="O20" s="4" t="n"/>
      <c r="P20" s="4" t="n"/>
      <c r="Q20" s="4" t="n"/>
      <c r="R20" s="4" t="n"/>
      <c r="S20" s="4" t="n"/>
      <c r="T20" s="4" t="n"/>
      <c r="U20" s="4" t="n"/>
      <c r="V20" s="4" t="n"/>
      <c r="W20" s="4" t="n"/>
    </row>
    <row r="21">
      <c r="A21" s="5" t="inlineStr">
        <is>
          <t>QUA-030</t>
        </is>
      </c>
      <c r="B21" s="5" t="inlineStr">
        <is>
          <t>SWEBOK</t>
        </is>
      </c>
      <c r="C21" s="4" t="inlineStr">
        <is>
          <t>4. 品質マネジメント計画・SQAP(Plan Quality Management / Prepare for QA)</t>
        </is>
      </c>
      <c r="D21" s="8" t="inlineStr">
        <is>
          <t>Critical</t>
        </is>
      </c>
      <c r="E21" s="4" t="inlineStr">
        <is>
          <t>SQAPに必須構成要素が揃っているか</t>
        </is>
      </c>
      <c r="F21" s="4" t="inlineStr">
        <is>
          <t>目的・範囲、参照文書、組織と責任、適用標準・実践、SQA活動一覧、測定尺度、問題報告・是正処置手順、資源、教育訓練、報告・文書化の各節が存在する</t>
        </is>
      </c>
      <c r="G21" s="4" t="inlineStr">
        <is>
          <t>SQAPの構成要素(標準・活動・測定・問題報告・資源・訓練等)に抜けがあると、その領域の品質活動が計画外となり実施もれ・記録もれが常態化する。IEEE 730が定める構成の網羅を確認する。</t>
        </is>
      </c>
      <c r="H21" s="4" t="inlineStr">
        <is>
          <t>swebok-v4a.pdf ch12 Software Quality &gt; 3.1 Prepare for Quality Assurance(SQAPの記載事項)/ IEEE 730:2014</t>
        </is>
      </c>
      <c r="I21" s="4" t="inlineStr">
        <is>
          <t>CORE</t>
        </is>
      </c>
      <c r="J21" s="4" t="inlineStr">
        <is>
          <t>原則適用。案件スコープ・成果物・規制・リスク上非該当の場合はN/A根拠を記録。</t>
        </is>
      </c>
      <c r="K21" s="4" t="inlineStr">
        <is>
          <t>SRC-SWEBOK-V4A</t>
        </is>
      </c>
      <c r="L21" s="4" t="inlineStr"/>
      <c r="M21" s="4" t="n"/>
      <c r="N21" s="4" t="n"/>
      <c r="O21" s="4" t="n"/>
      <c r="P21" s="4" t="n"/>
      <c r="Q21" s="4" t="n"/>
      <c r="R21" s="4" t="n"/>
      <c r="S21" s="4" t="n"/>
      <c r="T21" s="4" t="n"/>
      <c r="U21" s="4" t="n"/>
      <c r="V21" s="4" t="n"/>
      <c r="W21" s="4" t="n"/>
    </row>
    <row r="22">
      <c r="A22" s="5" t="inlineStr">
        <is>
          <t>QUA-031</t>
        </is>
      </c>
      <c r="B22" s="5" t="inlineStr">
        <is>
          <t>SWEBOK</t>
        </is>
      </c>
      <c r="C22" s="4" t="inlineStr">
        <is>
          <t>4. 品質マネジメント計画・SQAP(Plan Quality Management / Prepare for QA)</t>
        </is>
      </c>
      <c r="D22" s="8" t="inlineStr">
        <is>
          <t>Critical</t>
        </is>
      </c>
      <c r="E22" s="4" t="inlineStr">
        <is>
          <t>SQA体制の独立性が明文化されているか</t>
        </is>
      </c>
      <c r="F22" s="4" t="inlineStr">
        <is>
          <t>SQA機能の実施責任・権限がプロジェクトマネジメントから独立している旨と、独立した報告経路(組織図または記述)が文書化されている</t>
        </is>
      </c>
      <c r="G22" s="4" t="inlineStr">
        <is>
          <t>SQAがプロジェクトマネジメント配下だと、納期圧力で品質指摘が握りつぶされる。特にクリティカルシステムでは技術的・管理的・財政的独立が客観性の条件とされる。</t>
        </is>
      </c>
      <c r="H22" s="4" t="inlineStr">
        <is>
          <t>swebok-v4a.pdf ch12 Software Quality &gt; 3.1 Prepare for Quality Assurance(SQA機能の客観性・組織的独立性)</t>
        </is>
      </c>
      <c r="I22" s="4" t="inlineStr">
        <is>
          <t>CORE</t>
        </is>
      </c>
      <c r="J22" s="4" t="inlineStr">
        <is>
          <t>原則適用。案件スコープ・成果物・規制・リスク上非該当の場合はN/A根拠を記録。</t>
        </is>
      </c>
      <c r="K22" s="4" t="inlineStr">
        <is>
          <t>SRC-SWEBOK-V4A</t>
        </is>
      </c>
      <c r="L22" s="4" t="inlineStr"/>
      <c r="M22" s="4" t="n"/>
      <c r="N22" s="4" t="n"/>
      <c r="O22" s="4" t="n"/>
      <c r="P22" s="4" t="n"/>
      <c r="Q22" s="4" t="n"/>
      <c r="R22" s="4" t="n"/>
      <c r="S22" s="4" t="n"/>
      <c r="T22" s="4" t="n"/>
      <c r="U22" s="4" t="n"/>
      <c r="V22" s="4" t="n"/>
      <c r="W22" s="4" t="n"/>
    </row>
    <row r="23">
      <c r="A23" s="5" t="inlineStr">
        <is>
          <t>QUA-032</t>
        </is>
      </c>
      <c r="B23" s="5" t="inlineStr">
        <is>
          <t>SWEBOK</t>
        </is>
      </c>
      <c r="C23" s="4" t="inlineStr">
        <is>
          <t>4. 品質マネジメント計画・SQAP(Plan Quality Management / Prepare for QA)</t>
        </is>
      </c>
      <c r="D23" s="8" t="inlineStr">
        <is>
          <t>Critical</t>
        </is>
      </c>
      <c r="E23" s="4" t="inlineStr">
        <is>
          <t>SQA活動に時期・担当・成果物が定義されているか</t>
        </is>
      </c>
      <c r="F23" s="4" t="inlineStr">
        <is>
          <t>SQAPに列挙された各活動(レビュー、監査、V&amp;V、測定等)に、実施タイミング、責任者、作成される記録・成果物が対応付けられている</t>
        </is>
      </c>
      <c r="G23" s="4" t="inlineStr">
        <is>
          <t>活動名だけ列挙されたSQAPは実行されない。時期・担当・成果物が紐づいて初めて実施状況を監査でき、「計画はあるが誰も実施していない」状態を防げる。</t>
        </is>
      </c>
      <c r="H23" s="4" t="inlineStr">
        <is>
          <t>swebok-v4a.pdf ch12 Software Quality &gt; 3.1 / 3.2(SQA活動を計画し、マイルストーンで実行し、記録を残す)</t>
        </is>
      </c>
      <c r="I23" s="4" t="inlineStr">
        <is>
          <t>CORE</t>
        </is>
      </c>
      <c r="J23" s="4" t="inlineStr">
        <is>
          <t>原則適用。案件スコープ・成果物・規制・リスク上非該当の場合はN/A根拠を記録。</t>
        </is>
      </c>
      <c r="K23" s="4" t="inlineStr">
        <is>
          <t>SRC-SWEBOK-V4A</t>
        </is>
      </c>
      <c r="L23" s="4" t="inlineStr"/>
      <c r="M23" s="4" t="n"/>
      <c r="N23" s="4" t="n"/>
      <c r="O23" s="4" t="n"/>
      <c r="P23" s="4" t="n"/>
      <c r="Q23" s="4" t="n"/>
      <c r="R23" s="4" t="n"/>
      <c r="S23" s="4" t="n"/>
      <c r="T23" s="4" t="n"/>
      <c r="U23" s="4" t="n"/>
      <c r="V23" s="4" t="n"/>
      <c r="W23" s="4" t="n"/>
    </row>
    <row r="24">
      <c r="A24" s="5" t="inlineStr">
        <is>
          <t>QUA-033</t>
        </is>
      </c>
      <c r="B24" s="5" t="inlineStr">
        <is>
          <t>SWEBOK</t>
        </is>
      </c>
      <c r="C24" s="4" t="inlineStr">
        <is>
          <t>4. 品質マネジメント計画・SQAP(Plan Quality Management / Prepare for QA)</t>
        </is>
      </c>
      <c r="D24" s="9" t="inlineStr">
        <is>
          <t>High</t>
        </is>
      </c>
      <c r="E24" s="4" t="inlineStr">
        <is>
          <t>他の計画との整合が確認されているか</t>
        </is>
      </c>
      <c r="F24" s="4" t="inlineStr">
        <is>
          <t>SCM計画・プロジェクト計画・テスト計画との関係が記述され、矛盾(同一活動の重複定義、責任の不一致等)がない</t>
        </is>
      </c>
      <c r="G24" s="4" t="inlineStr">
        <is>
          <t>SQAPとSCM計画・プロジェクト計画が矛盾すると、同一活動の重複や責任の空白が生じる。SWEBOKはSQAPが他計画と衝突せず相補的であるべきと明記している。</t>
        </is>
      </c>
      <c r="H24" s="4" t="inlineStr">
        <is>
          <t>swebok-v4a.pdf ch12 Software Quality &gt; 3.1 Prepare for Quality Assurance(SQA plan should not conflict with the SCM plan or other project planning artifacts)</t>
        </is>
      </c>
      <c r="I24" s="4" t="inlineStr">
        <is>
          <t>CORE</t>
        </is>
      </c>
      <c r="J24" s="4" t="inlineStr">
        <is>
          <t>原則適用。案件スコープ・成果物・規制・リスク上非該当の場合はN/A根拠を記録。</t>
        </is>
      </c>
      <c r="K24" s="4" t="inlineStr">
        <is>
          <t>SRC-SWEBOK-V4A</t>
        </is>
      </c>
      <c r="L24" s="4" t="inlineStr"/>
      <c r="M24" s="4" t="n"/>
      <c r="N24" s="4" t="n"/>
      <c r="O24" s="4" t="n"/>
      <c r="P24" s="4" t="n"/>
      <c r="Q24" s="4" t="n"/>
      <c r="R24" s="4" t="n"/>
      <c r="S24" s="4" t="n"/>
      <c r="T24" s="4" t="n"/>
      <c r="U24" s="4" t="n"/>
      <c r="V24" s="4" t="n"/>
      <c r="W24" s="4" t="n"/>
    </row>
    <row r="25">
      <c r="A25" s="5" t="inlineStr">
        <is>
          <t>QUA-034</t>
        </is>
      </c>
      <c r="B25" s="5" t="inlineStr">
        <is>
          <t>SWEBOK</t>
        </is>
      </c>
      <c r="C25" s="4" t="inlineStr">
        <is>
          <t>4. 品質マネジメント計画・SQAP(Plan Quality Management / Prepare for QA)</t>
        </is>
      </c>
      <c r="D25" s="9" t="inlineStr">
        <is>
          <t>High</t>
        </is>
      </c>
      <c r="E25" s="4" t="inlineStr">
        <is>
          <t>品質目標が測定可能に設定されているか</t>
        </is>
      </c>
      <c r="F25" s="4" t="inlineStr">
        <is>
          <t>プロジェクトの品質目標がすべて数値または客観的判定条件で表現されている(「高品質」等の定性表現のみの目標が0件)</t>
        </is>
      </c>
      <c r="G25" s="4" t="inlineStr">
        <is>
          <t>「高品質を目指す」のような定性目標は達成判定ができず、品質目標が実質的に存在しないのと同じになる。SQAPはまず品質目標を明確に定義・理解させることが役割とされる。</t>
        </is>
      </c>
      <c r="H25" s="4" t="inlineStr">
        <is>
          <t>swebok-v4a.pdf ch12 Software Quality &gt; 2.2 Plan Quality Management / 3.1(quality targets are clearly defined、specific quality goals の定義)</t>
        </is>
      </c>
      <c r="I25" s="4" t="inlineStr">
        <is>
          <t>CORE</t>
        </is>
      </c>
      <c r="J25" s="4" t="inlineStr">
        <is>
          <t>原則適用。案件スコープ・成果物・規制・リスク上非該当の場合はN/A根拠を記録。</t>
        </is>
      </c>
      <c r="K25" s="4" t="inlineStr">
        <is>
          <t>SRC-SWEBOK-V4A</t>
        </is>
      </c>
      <c r="L25" s="4" t="inlineStr"/>
      <c r="M25" s="4" t="n"/>
      <c r="N25" s="4" t="n"/>
      <c r="O25" s="4" t="n"/>
      <c r="P25" s="4" t="n"/>
      <c r="Q25" s="4" t="n"/>
      <c r="R25" s="4" t="n"/>
      <c r="S25" s="4" t="n"/>
      <c r="T25" s="4" t="n"/>
      <c r="U25" s="4" t="n"/>
      <c r="V25" s="4" t="n"/>
      <c r="W25" s="4" t="n"/>
    </row>
    <row r="26">
      <c r="A26" s="5" t="inlineStr">
        <is>
          <t>QUA-035</t>
        </is>
      </c>
      <c r="B26" s="5" t="inlineStr">
        <is>
          <t>SWEBOK</t>
        </is>
      </c>
      <c r="C26" s="4" t="inlineStr">
        <is>
          <t>4. 品質マネジメント計画・SQAP(Plan Quality Management / Prepare for QA)</t>
        </is>
      </c>
      <c r="D26" s="9" t="inlineStr">
        <is>
          <t>High</t>
        </is>
      </c>
      <c r="E26" s="4" t="inlineStr">
        <is>
          <t>品質活動の工数・資源が見積られているか</t>
        </is>
      </c>
      <c r="F26" s="4" t="inlineStr">
        <is>
          <t>SQA活動の工数見積りまたは要員計画が記載され、プロジェクト計画の資源と整合している</t>
        </is>
      </c>
      <c r="G26" s="4" t="inlineStr">
        <is>
          <t>品質活動の工数見積りがないと、プロジェクト計画上のリソースと衝突した際に品質活動側が無条件に削られる。SWEBOKは目標ごとの工数見積りを品質計画の要素として挙げる。</t>
        </is>
      </c>
      <c r="H26" s="4" t="inlineStr">
        <is>
          <t>swebok-v4a.pdf ch12 Software Quality &gt; 2.2 Plan Quality Management(estimating the effort to achieve each goal)/ 3.1(costs, resource requirements)</t>
        </is>
      </c>
      <c r="I26" s="4" t="inlineStr">
        <is>
          <t>CORE</t>
        </is>
      </c>
      <c r="J26" s="4" t="inlineStr">
        <is>
          <t>原則適用。案件スコープ・成果物・規制・リスク上非該当の場合はN/A根拠を記録。</t>
        </is>
      </c>
      <c r="K26" s="4" t="inlineStr">
        <is>
          <t>SRC-SWEBOK-V4A</t>
        </is>
      </c>
      <c r="L26" s="4" t="inlineStr"/>
      <c r="M26" s="4" t="n"/>
      <c r="N26" s="4" t="n"/>
      <c r="O26" s="4" t="n"/>
      <c r="P26" s="4" t="n"/>
      <c r="Q26" s="4" t="n"/>
      <c r="R26" s="4" t="n"/>
      <c r="S26" s="4" t="n"/>
      <c r="T26" s="4" t="n"/>
      <c r="U26" s="4" t="n"/>
      <c r="V26" s="4" t="n"/>
      <c r="W26" s="4" t="n"/>
    </row>
    <row r="27">
      <c r="A27" s="5" t="inlineStr">
        <is>
          <t>QUA-036</t>
        </is>
      </c>
      <c r="B27" s="5" t="inlineStr">
        <is>
          <t>SWEBOK</t>
        </is>
      </c>
      <c r="C27" s="4" t="inlineStr">
        <is>
          <t>4. 品質マネジメント計画・SQAP(Plan Quality Management / Prepare for QA)</t>
        </is>
      </c>
      <c r="D27" s="9" t="inlineStr">
        <is>
          <t>High</t>
        </is>
      </c>
      <c r="E27" s="4" t="inlineStr">
        <is>
          <t>問題報告・是正処置の手順が完結しているか</t>
        </is>
      </c>
      <c r="F27" s="4" t="inlineStr">
        <is>
          <t>問題の記録様式、重要度分類、対応期限、エスカレーション経路、クローズ基準がすべて定義されている</t>
        </is>
      </c>
      <c r="G27" s="4" t="inlineStr">
        <is>
          <t>問題報告から是正処置・クローズまでの手順が途切れていると、検出した問題が放置され「見つけたのに直らない」状態になる。SQAPの必須要素として手順の完結性を確認する。</t>
        </is>
      </c>
      <c r="H27" s="4" t="inlineStr">
        <is>
          <t>swebok-v4a.pdf ch12 Software Quality &gt; 3.1 Prepare for Quality Assurance(procedures for problem reporting and corrective action)</t>
        </is>
      </c>
      <c r="I27" s="4" t="inlineStr">
        <is>
          <t>CORE</t>
        </is>
      </c>
      <c r="J27" s="4" t="inlineStr">
        <is>
          <t>原則適用。案件スコープ・成果物・規制・リスク上非該当の場合はN/A根拠を記録。</t>
        </is>
      </c>
      <c r="K27" s="4" t="inlineStr">
        <is>
          <t>SRC-SWEBOK-V4A</t>
        </is>
      </c>
      <c r="L27" s="4" t="inlineStr"/>
      <c r="M27" s="4" t="n"/>
      <c r="N27" s="4" t="n"/>
      <c r="O27" s="4" t="n"/>
      <c r="P27" s="4" t="n"/>
      <c r="Q27" s="4" t="n"/>
      <c r="R27" s="4" t="n"/>
      <c r="S27" s="4" t="n"/>
      <c r="T27" s="4" t="n"/>
      <c r="U27" s="4" t="n"/>
      <c r="V27" s="4" t="n"/>
      <c r="W27" s="4" t="n"/>
    </row>
    <row r="28">
      <c r="A28" s="5" t="inlineStr">
        <is>
          <t>QUA-037</t>
        </is>
      </c>
      <c r="B28" s="5" t="inlineStr">
        <is>
          <t>SWEBOK</t>
        </is>
      </c>
      <c r="C28" s="4" t="inlineStr">
        <is>
          <t>4. 品質マネジメント計画・SQAP(Plan Quality Management / Prepare for QA)</t>
        </is>
      </c>
      <c r="D28" s="10" t="inlineStr">
        <is>
          <t>Medium</t>
        </is>
      </c>
      <c r="E28" s="4" t="inlineStr">
        <is>
          <t>QMSまたは組織方針との関係が記述されているか</t>
        </is>
      </c>
      <c r="F28" s="4" t="inlineStr">
        <is>
          <t>組織の品質方針・QMS(ISO 9001 / ISO/IEC/IEEE 90003 準拠等)への参照と、プロジェクト固有のテーラリング内容が記述されている</t>
        </is>
      </c>
      <c r="G28" s="4" t="inlineStr">
        <is>
          <t>プロジェクトの品質計画が組織のQMS・品質方針から切り離されていると、組織標準の改善が現場に届かず、プロジェクトごとに品質実践がばらつく。テーラリング内容の明示で両者を接続する。</t>
        </is>
      </c>
      <c r="H28" s="4" t="inlineStr">
        <is>
          <t>swebok-v4a.pdf ch12 Software Quality &gt; 2. Software Quality Management Process(QMS、ISO 9001 / ISO 90003)</t>
        </is>
      </c>
      <c r="I28" s="4" t="inlineStr">
        <is>
          <t>CORE</t>
        </is>
      </c>
      <c r="J28" s="4" t="inlineStr">
        <is>
          <t>原則適用。案件スコープ・成果物・規制・リスク上非該当の場合はN/A根拠を記録。</t>
        </is>
      </c>
      <c r="K28" s="4" t="inlineStr">
        <is>
          <t>SRC-SWEBOK-V4A;SRC-ISO-GENERAL</t>
        </is>
      </c>
      <c r="L28" s="4" t="inlineStr"/>
      <c r="M28" s="4" t="n"/>
      <c r="N28" s="4" t="n"/>
      <c r="O28" s="4" t="n"/>
      <c r="P28" s="4" t="n"/>
      <c r="Q28" s="4" t="n"/>
      <c r="R28" s="4" t="n"/>
      <c r="S28" s="4" t="n"/>
      <c r="T28" s="4" t="n"/>
      <c r="U28" s="4" t="n"/>
      <c r="V28" s="4" t="n"/>
      <c r="W28" s="4" t="n"/>
    </row>
    <row r="29">
      <c r="A29" s="5" t="inlineStr">
        <is>
          <t>QUA-038</t>
        </is>
      </c>
      <c r="B29" s="5" t="inlineStr">
        <is>
          <t>SWEBOK</t>
        </is>
      </c>
      <c r="C29" s="4" t="inlineStr">
        <is>
          <t>4. 品質マネジメント計画・SQAP(Plan Quality Management / Prepare for QA)</t>
        </is>
      </c>
      <c r="D29" s="10" t="inlineStr">
        <is>
          <t>Medium</t>
        </is>
      </c>
      <c r="E29" s="4" t="inlineStr">
        <is>
          <t>教育訓練の計画があるか</t>
        </is>
      </c>
      <c r="F29" s="4" t="inlineStr">
        <is>
          <t>品質活動に必要なスキル(レビュー技法、ツール、標準)と教育訓練の実施方法・対象者が記述されている</t>
        </is>
      </c>
      <c r="G29" s="4" t="inlineStr">
        <is>
          <t>QMSが機能する前提は要員がその要求事項について訓練されていることであり、訓練計画がないとレビュー技法や標準の理解不足により品質活動が形骸化する。</t>
        </is>
      </c>
      <c r="H29" s="4" t="inlineStr">
        <is>
          <t>swebok-v4a.pdf ch12 Software Quality &gt; 2. SQM Process(projects are trained to the QMS requirement)/ 3.1(training はSQAPの記載事項)</t>
        </is>
      </c>
      <c r="I29" s="4" t="inlineStr">
        <is>
          <t>CORE</t>
        </is>
      </c>
      <c r="J29" s="4" t="inlineStr">
        <is>
          <t>原則適用。案件スコープ・成果物・規制・リスク上非該当の場合はN/A根拠を記録。</t>
        </is>
      </c>
      <c r="K29" s="4" t="inlineStr">
        <is>
          <t>SRC-SWEBOK-V4A</t>
        </is>
      </c>
      <c r="L29" s="4" t="inlineStr"/>
      <c r="M29" s="4" t="n"/>
      <c r="N29" s="4" t="n"/>
      <c r="O29" s="4" t="n"/>
      <c r="P29" s="4" t="n"/>
      <c r="Q29" s="4" t="n"/>
      <c r="R29" s="4" t="n"/>
      <c r="S29" s="4" t="n"/>
      <c r="T29" s="4" t="n"/>
      <c r="U29" s="4" t="n"/>
      <c r="V29" s="4" t="n"/>
      <c r="W29" s="4" t="n"/>
    </row>
    <row r="30">
      <c r="A30" s="5" t="inlineStr">
        <is>
          <t>QUA-039</t>
        </is>
      </c>
      <c r="B30" s="5" t="inlineStr">
        <is>
          <t>SWEBOK</t>
        </is>
      </c>
      <c r="C30" s="4" t="inlineStr">
        <is>
          <t>4. 品質マネジメント計画・SQAP(Plan Quality Management / Prepare for QA)</t>
        </is>
      </c>
      <c r="D30" s="10" t="inlineStr">
        <is>
          <t>Medium</t>
        </is>
      </c>
      <c r="E30" s="4" t="inlineStr">
        <is>
          <t>SQAPの改訂手順が定義されているか</t>
        </is>
      </c>
      <c r="F30" s="4" t="inlineStr">
        <is>
          <t>計画の見直しトリガー、改訂手続き、承認者が明記されている</t>
        </is>
      </c>
      <c r="G30" s="4" t="inlineStr">
        <is>
          <t>計画改訂の手順がないと、ライフサイクル途中の状況変化(リスク・体制変更)にSQAPが追従せず、実態と乖離した計画が監査基準として残り続ける。</t>
        </is>
      </c>
      <c r="H30" s="4" t="inlineStr">
        <is>
          <t>実務補完(IEEE 730:2014 のSQAP維持管理の考え方)</t>
        </is>
      </c>
      <c r="I30" s="4" t="inlineStr">
        <is>
          <t>CORE</t>
        </is>
      </c>
      <c r="J30" s="4" t="inlineStr">
        <is>
          <t>原則適用。案件スコープ・成果物・規制・リスク上非該当の場合はN/A根拠を記録。</t>
        </is>
      </c>
      <c r="K30" s="4" t="inlineStr">
        <is>
          <t>SRC-IEEE-GENERAL;SRC-PRACTICE</t>
        </is>
      </c>
      <c r="L30" s="4" t="inlineStr"/>
      <c r="M30" s="4" t="n"/>
      <c r="N30" s="4" t="n"/>
      <c r="O30" s="4" t="n"/>
      <c r="P30" s="4" t="n"/>
      <c r="Q30" s="4" t="n"/>
      <c r="R30" s="4" t="n"/>
      <c r="S30" s="4" t="n"/>
      <c r="T30" s="4" t="n"/>
      <c r="U30" s="4" t="n"/>
      <c r="V30" s="4" t="n"/>
      <c r="W30" s="4" t="n"/>
    </row>
    <row r="31">
      <c r="A31" s="5" t="inlineStr">
        <is>
          <t>QUA-040</t>
        </is>
      </c>
      <c r="B31" s="5" t="inlineStr">
        <is>
          <t>SWEBOK</t>
        </is>
      </c>
      <c r="C31" s="4" t="inlineStr">
        <is>
          <t>4. 品質マネジメント計画・SQAP(Plan Quality Management / Prepare for QA)</t>
        </is>
      </c>
      <c r="D31" s="11" t="inlineStr">
        <is>
          <t>Low</t>
        </is>
      </c>
      <c r="E31" s="4" t="inlineStr">
        <is>
          <t>適用ツールが列挙されているか</t>
        </is>
      </c>
      <c r="F31" s="4" t="inlineStr">
        <is>
          <t>品質活動で使用するツール(問題追跡、静的解析、測定・可視化等)が実在する名称で列挙されている</t>
        </is>
      </c>
      <c r="G31" s="4" t="inlineStr">
        <is>
          <t>ツールが特定されていないと、問題追跡や測定の実施手段が属人化し、記録の散逸や集計不能を招く。実在ツール名の列挙で計画の実行可能性を担保する。</t>
        </is>
      </c>
      <c r="H31" s="4" t="inlineStr">
        <is>
          <t>swebok-v4a.pdf ch12 Software Quality &gt; 3.1(resources such as tools, techniques)/ 4. Software Quality Tools</t>
        </is>
      </c>
      <c r="I31" s="4" t="inlineStr">
        <is>
          <t>CORE</t>
        </is>
      </c>
      <c r="J31" s="4" t="inlineStr">
        <is>
          <t>原則適用。案件スコープ・成果物・規制・リスク上非該当の場合はN/A根拠を記録。</t>
        </is>
      </c>
      <c r="K31" s="4" t="inlineStr">
        <is>
          <t>SRC-SWEBOK-V4A</t>
        </is>
      </c>
      <c r="L31" s="4" t="inlineStr"/>
      <c r="M31" s="4" t="n"/>
      <c r="N31" s="4" t="n"/>
      <c r="O31" s="4" t="n"/>
      <c r="P31" s="4" t="n"/>
      <c r="Q31" s="4" t="n"/>
      <c r="R31" s="4" t="n"/>
      <c r="S31" s="4" t="n"/>
      <c r="T31" s="4" t="n"/>
      <c r="U31" s="4" t="n"/>
      <c r="V31" s="4" t="n"/>
      <c r="W31" s="4" t="n"/>
    </row>
    <row r="32">
      <c r="A32" s="5" t="inlineStr">
        <is>
          <t>QUA-901</t>
        </is>
      </c>
      <c r="B32" s="5" t="inlineStr">
        <is>
          <t>追加承認</t>
        </is>
      </c>
      <c r="C32" s="4" t="inlineStr">
        <is>
          <t>4. 品質マネジメント計画・SQAP(Plan Quality Management / Prepare for QA)</t>
        </is>
      </c>
      <c r="D32" s="9" t="inlineStr">
        <is>
          <t>High</t>
        </is>
      </c>
      <c r="E32" s="4" t="inlineStr">
        <is>
          <t>供給者ソフトウェア・COTS・OSS等の外部調達要素に対する品質保証活動が定義されているか</t>
        </is>
      </c>
      <c r="F32" s="4" t="inlineStr">
        <is>
          <t>SQAPに、外部調達要素(供給者開発ソフト、COTS、OSS等)の受入基準・評価活動(供給者監査、受入テスト等)と、納入後サービス・保守期間の品質保証の扱いが記述されている(外部調達要素がない場合は N/A)</t>
        </is>
      </c>
      <c r="G32" s="4" t="inlineStr">
        <is>
          <t>外部調達コンポーネントは自社の開発プロセスによる品質保証が及ばないため、受入評価を定義しないと未検証の欠陥がそのまま製品に混入し、障害時の責任分界も曖昧になる。</t>
        </is>
      </c>
      <c r="H32" s="4" t="inlineStr">
        <is>
          <t>swebok-v4a.pdf ch12 Software Quality &gt; 3.1 Prepare for Quality Assurance — 供給者ソフトウェア・COTSへのSQA(調達・納入後サービスを含む)</t>
        </is>
      </c>
      <c r="I32" s="4" t="inlineStr">
        <is>
          <t>CORE</t>
        </is>
      </c>
      <c r="J32" s="4" t="inlineStr">
        <is>
          <t>原則適用。案件スコープ・成果物・規制・リスク上非該当の場合はN/A根拠を記録。</t>
        </is>
      </c>
      <c r="K32" s="4" t="inlineStr">
        <is>
          <t>SRC-SWEBOK-V4A</t>
        </is>
      </c>
      <c r="L32" s="4" t="inlineStr"/>
      <c r="M32" s="4" t="n"/>
      <c r="N32" s="4" t="n"/>
      <c r="O32" s="4" t="n"/>
      <c r="P32" s="4" t="n"/>
      <c r="Q32" s="4" t="n"/>
      <c r="R32" s="4" t="n"/>
      <c r="S32" s="4" t="n"/>
      <c r="T32" s="4" t="n"/>
      <c r="U32" s="4" t="n"/>
      <c r="V32" s="4" t="n"/>
      <c r="W32" s="4" t="n"/>
    </row>
    <row r="33">
      <c r="A33" s="5" t="inlineStr">
        <is>
          <t>QUA-902</t>
        </is>
      </c>
      <c r="B33" s="5" t="inlineStr">
        <is>
          <t>追加承認</t>
        </is>
      </c>
      <c r="C33" s="4" t="inlineStr">
        <is>
          <t>4. 品質マネジメント計画・SQAP(Plan Quality Management / Prepare for QA)</t>
        </is>
      </c>
      <c r="D33" s="10" t="inlineStr">
        <is>
          <t>Medium</t>
        </is>
      </c>
      <c r="E33" s="4" t="inlineStr">
        <is>
          <t>経営層の品質へのコミットメントと関与の仕組みが定義されているか</t>
        </is>
      </c>
      <c r="F33" s="4" t="inlineStr">
        <is>
          <t>承認された品質方針の存在、経営層による品質活動レビューの機会(頻度・会議体)、品質活動への資源提供のコミットメントのうち少なくとも2つが文書化されている</t>
        </is>
      </c>
      <c r="G33" s="4" t="inlineStr">
        <is>
          <t>経営層の支援がないQMSは訓練も資源も不足して形骸化し、品質活動が現場の善意頼みになる。定期的なスポンサーシップ確認がないと、不適合への対処が先送りされ続ける。</t>
        </is>
      </c>
      <c r="H33" s="4" t="inlineStr">
        <is>
          <t>swebok-v4a.pdf ch12 Software Quality &gt; 2. Software Quality Management Process / 2.2 Plan Quality Management — 経営層のコミットメントとQMSへの資源提供</t>
        </is>
      </c>
      <c r="I33" s="4" t="inlineStr">
        <is>
          <t>CORE</t>
        </is>
      </c>
      <c r="J33" s="4" t="inlineStr">
        <is>
          <t>原則適用。案件スコープ・成果物・規制・リスク上非該当の場合はN/A根拠を記録。</t>
        </is>
      </c>
      <c r="K33" s="4" t="inlineStr">
        <is>
          <t>SRC-SWEBOK-V4A</t>
        </is>
      </c>
      <c r="L33" s="4" t="inlineStr"/>
      <c r="M33" s="4" t="n"/>
      <c r="N33" s="4" t="n"/>
      <c r="O33" s="4" t="n"/>
      <c r="P33" s="4" t="n"/>
      <c r="Q33" s="4" t="n"/>
      <c r="R33" s="4" t="n"/>
      <c r="S33" s="4" t="n"/>
      <c r="T33" s="4" t="n"/>
      <c r="U33" s="4" t="n"/>
      <c r="V33" s="4" t="n"/>
      <c r="W33" s="4" t="n"/>
    </row>
    <row r="34">
      <c r="A34" s="5" t="inlineStr">
        <is>
          <t>QUA-050</t>
        </is>
      </c>
      <c r="B34" s="5" t="inlineStr">
        <is>
          <t>SWEBOK</t>
        </is>
      </c>
      <c r="C34" s="4" t="inlineStr">
        <is>
          <t>5. 品質要求と評価基準(ISO/IEC 25010 / Product Assurance)</t>
        </is>
      </c>
      <c r="D34" s="8" t="inlineStr">
        <is>
          <t>Critical</t>
        </is>
      </c>
      <c r="E34" s="4" t="inlineStr">
        <is>
          <t>ISO/IEC 25010 の全品質特性が検討されているか</t>
        </is>
      </c>
      <c r="F34" s="4" t="inlineStr">
        <is>
          <t>機能適合性・性能効率性・互換性・使用性・信頼性・セキュリティ・保守性・移植性の8特性すべてについて、適用要否と根拠が記録されている</t>
        </is>
      </c>
      <c r="G34" s="4" t="inlineStr">
        <is>
          <t>8特性の検討漏れは「暗黙の品質要求」の見落としに直結し、受入段階で初めて互換性・移植性等の不備が発覚する。全特性の適用要否判断を強制して盲点を潰す。</t>
        </is>
      </c>
      <c r="H34" s="4" t="inlineStr">
        <is>
          <t>swebok-v4a.pdf ch12 Software Quality &gt; 3.3 Perform Product Assurance(ISO/IEC 25010 の製品品質モデル・8特性)</t>
        </is>
      </c>
      <c r="I34" s="4" t="inlineStr">
        <is>
          <t>CORE</t>
        </is>
      </c>
      <c r="J34" s="4" t="inlineStr">
        <is>
          <t>原則適用。案件スコープ・成果物・規制・リスク上非該当の場合はN/A根拠を記録。</t>
        </is>
      </c>
      <c r="K34" s="4" t="inlineStr">
        <is>
          <t>SRC-SWEBOK-V4A;SRC-ISO-25010</t>
        </is>
      </c>
      <c r="L34" s="4" t="inlineStr"/>
      <c r="M34" s="4" t="n"/>
      <c r="N34" s="4" t="n"/>
      <c r="O34" s="4" t="n"/>
      <c r="P34" s="4" t="n"/>
      <c r="Q34" s="4" t="n"/>
      <c r="R34" s="4" t="n"/>
      <c r="S34" s="4" t="n"/>
      <c r="T34" s="4" t="n"/>
      <c r="U34" s="4" t="n"/>
      <c r="V34" s="4" t="n"/>
      <c r="W34" s="4" t="n"/>
    </row>
    <row r="35">
      <c r="A35" s="5" t="inlineStr">
        <is>
          <t>QUA-051</t>
        </is>
      </c>
      <c r="B35" s="5" t="inlineStr">
        <is>
          <t>SWEBOK</t>
        </is>
      </c>
      <c r="C35" s="4" t="inlineStr">
        <is>
          <t>5. 品質要求と評価基準(ISO/IEC 25010 / Product Assurance)</t>
        </is>
      </c>
      <c r="D35" s="8" t="inlineStr">
        <is>
          <t>Critical</t>
        </is>
      </c>
      <c r="E35" s="4" t="inlineStr">
        <is>
          <t>適用する品質特性に測定可能な品質要求があるか</t>
        </is>
      </c>
      <c r="F35" s="4" t="inlineStr">
        <is>
          <t>適用対象の各特性に、測定方法・目標値・判定条件を含む品質要求が1件以上定義されている(定性表現のみの要求が0件)</t>
        </is>
      </c>
      <c r="G35" s="4" t="inlineStr">
        <is>
          <t>測定不能な品質要求は受入判定で係争の火種になる。SWEBOKは受入段階で実効的に測定できるよう品質要求と品質目標を定義することをエンジニアの責務としている。</t>
        </is>
      </c>
      <c r="H35" s="4" t="inlineStr">
        <is>
          <t>swebok-v4a.pdf ch12 Software Quality &gt; 3.3 Perform Product Assurance(quality requirements を測定可能に定義し受入で測定する)</t>
        </is>
      </c>
      <c r="I35" s="4" t="inlineStr">
        <is>
          <t>CORE</t>
        </is>
      </c>
      <c r="J35" s="4" t="inlineStr">
        <is>
          <t>原則適用。案件スコープ・成果物・規制・リスク上非該当の場合はN/A根拠を記録。</t>
        </is>
      </c>
      <c r="K35" s="4" t="inlineStr">
        <is>
          <t>SRC-SWEBOK-V4A</t>
        </is>
      </c>
      <c r="L35" s="4" t="inlineStr"/>
      <c r="M35" s="4" t="n"/>
      <c r="N35" s="4" t="n"/>
      <c r="O35" s="4" t="n"/>
      <c r="P35" s="4" t="n"/>
      <c r="Q35" s="4" t="n"/>
      <c r="R35" s="4" t="n"/>
      <c r="S35" s="4" t="n"/>
      <c r="T35" s="4" t="n"/>
      <c r="U35" s="4" t="n"/>
      <c r="V35" s="4" t="n"/>
      <c r="W35" s="4" t="n"/>
    </row>
    <row r="36">
      <c r="A36" s="5" t="inlineStr">
        <is>
          <t>QUA-052</t>
        </is>
      </c>
      <c r="B36" s="5" t="inlineStr">
        <is>
          <t>SWEBOK</t>
        </is>
      </c>
      <c r="C36" s="4" t="inlineStr">
        <is>
          <t>5. 品質要求と評価基準(ISO/IEC 25010 / Product Assurance)</t>
        </is>
      </c>
      <c r="D36" s="8" t="inlineStr">
        <is>
          <t>Critical</t>
        </is>
      </c>
      <c r="E36" s="4" t="inlineStr">
        <is>
          <t>品質要求に評価方法・評価時期が定義されているか</t>
        </is>
      </c>
      <c r="F36" s="4" t="inlineStr">
        <is>
          <t>各品質要求に、評価技法(テスト、レビュー、測定、分析等)と評価を行うフェーズ/マイルストーンが対応付けられている</t>
        </is>
      </c>
      <c r="G36" s="4" t="inlineStr">
        <is>
          <t>評価方法・時期が未定義の品質要求は、検証されないまま「定義しただけ」で終わる。要求と評価活動(テスト・レビュー・測定)の対応付けで検証漏れを防ぐ。</t>
        </is>
      </c>
      <c r="H36" s="4" t="inlineStr">
        <is>
          <t>swebok-v4a.pdf ch12 Software Quality &gt; 1. Fundamentals(要求が測定方法と受入基準に影響する)/ 3.3 Perform Product Assurance</t>
        </is>
      </c>
      <c r="I36" s="4" t="inlineStr">
        <is>
          <t>CORE</t>
        </is>
      </c>
      <c r="J36" s="4" t="inlineStr">
        <is>
          <t>原則適用。案件スコープ・成果物・規制・リスク上非該当の場合はN/A根拠を記録。</t>
        </is>
      </c>
      <c r="K36" s="4" t="inlineStr">
        <is>
          <t>SRC-SWEBOK-V4A</t>
        </is>
      </c>
      <c r="L36" s="4" t="inlineStr"/>
      <c r="M36" s="4" t="n"/>
      <c r="N36" s="4" t="n"/>
      <c r="O36" s="4" t="n"/>
      <c r="P36" s="4" t="n"/>
      <c r="Q36" s="4" t="n"/>
      <c r="R36" s="4" t="n"/>
      <c r="S36" s="4" t="n"/>
      <c r="T36" s="4" t="n"/>
      <c r="U36" s="4" t="n"/>
      <c r="V36" s="4" t="n"/>
      <c r="W36" s="4" t="n"/>
    </row>
    <row r="37">
      <c r="A37" s="5" t="inlineStr">
        <is>
          <t>QUA-053</t>
        </is>
      </c>
      <c r="B37" s="5" t="inlineStr">
        <is>
          <t>SWEBOK</t>
        </is>
      </c>
      <c r="C37" s="4" t="inlineStr">
        <is>
          <t>5. 品質要求と評価基準(ISO/IEC 25010 / Product Assurance)</t>
        </is>
      </c>
      <c r="D37" s="9" t="inlineStr">
        <is>
          <t>High</t>
        </is>
      </c>
      <c r="E37" s="4" t="inlineStr">
        <is>
          <t>品質特性間のトレードオフが分析されているか</t>
        </is>
      </c>
      <c r="F37" s="4" t="inlineStr">
        <is>
          <t>相反しうる特性の組(例: セキュリティと性能効率性)について、トレードオフの内容と優先順位の合意結果が記録されている</t>
        </is>
      </c>
      <c r="G37" s="4" t="inlineStr">
        <is>
          <t>セキュリティ強化(暗号化)が性能を劣化させる例のように、品質特性間には相反があり、分析せずに個別最適すると後工程で要求同士が衝突して設計手戻りになる。</t>
        </is>
      </c>
      <c r="H37" s="4" t="inlineStr">
        <is>
          <t>swebok-v4a.pdf ch12 Software Quality &gt; 3.3 Perform Product Assurance(certain quality characteristics have conflicting impacts)</t>
        </is>
      </c>
      <c r="I37" s="4" t="inlineStr">
        <is>
          <t>CORE</t>
        </is>
      </c>
      <c r="J37" s="4" t="inlineStr">
        <is>
          <t>原則適用。案件スコープ・成果物・規制・リスク上非該当の場合はN/A根拠を記録。</t>
        </is>
      </c>
      <c r="K37" s="4" t="inlineStr">
        <is>
          <t>SRC-SWEBOK-V4A</t>
        </is>
      </c>
      <c r="L37" s="4" t="inlineStr"/>
      <c r="M37" s="4" t="n"/>
      <c r="N37" s="4" t="n"/>
      <c r="O37" s="4" t="n"/>
      <c r="P37" s="4" t="n"/>
      <c r="Q37" s="4" t="n"/>
      <c r="R37" s="4" t="n"/>
      <c r="S37" s="4" t="n"/>
      <c r="T37" s="4" t="n"/>
      <c r="U37" s="4" t="n"/>
      <c r="V37" s="4" t="n"/>
      <c r="W37" s="4" t="n"/>
    </row>
    <row r="38">
      <c r="A38" s="5" t="inlineStr">
        <is>
          <t>QUA-054</t>
        </is>
      </c>
      <c r="B38" s="5" t="inlineStr">
        <is>
          <t>SWEBOK</t>
        </is>
      </c>
      <c r="C38" s="4" t="inlineStr">
        <is>
          <t>5. 品質要求と評価基準(ISO/IEC 25010 / Product Assurance)</t>
        </is>
      </c>
      <c r="D38" s="9" t="inlineStr">
        <is>
          <t>High</t>
        </is>
      </c>
      <c r="E38" s="4" t="inlineStr">
        <is>
          <t>品質要求が機能要求と区別して管理されているか</t>
        </is>
      </c>
      <c r="F38" s="4" t="inlineStr">
        <is>
          <t>品質要求(Quality of Service Constraints)が機能要求と別の識別体系または属性で管理され、要求元・根拠へのトレースがある</t>
        </is>
      </c>
      <c r="G38" s="4" t="inlineStr">
        <is>
          <t>品質要求が機能要求に埋没すると、識別・トレース・評価の対象から漏れやすい。SWEBOKは品質要求を機能要求への制約(Quality of Service Constraints)として区別して扱う。</t>
        </is>
      </c>
      <c r="H38" s="4" t="inlineStr">
        <is>
          <t>swebok-v4a.pdf ch12 Software Quality &gt; Introduction / 3.3(Quality of Service Constraints、nonfunctional requirements としての管理)</t>
        </is>
      </c>
      <c r="I38" s="4" t="inlineStr">
        <is>
          <t>CORE</t>
        </is>
      </c>
      <c r="J38" s="4" t="inlineStr">
        <is>
          <t>原則適用。案件スコープ・成果物・規制・リスク上非該当の場合はN/A根拠を記録。</t>
        </is>
      </c>
      <c r="K38" s="4" t="inlineStr">
        <is>
          <t>SRC-SWEBOK-V4A</t>
        </is>
      </c>
      <c r="L38" s="4" t="inlineStr"/>
      <c r="M38" s="4" t="n"/>
      <c r="N38" s="4" t="n"/>
      <c r="O38" s="4" t="n"/>
      <c r="P38" s="4" t="n"/>
      <c r="Q38" s="4" t="n"/>
      <c r="R38" s="4" t="n"/>
      <c r="S38" s="4" t="n"/>
      <c r="T38" s="4" t="n"/>
      <c r="U38" s="4" t="n"/>
      <c r="V38" s="4" t="n"/>
      <c r="W38" s="4" t="n"/>
    </row>
    <row r="39">
      <c r="A39" s="5" t="inlineStr">
        <is>
          <t>QUA-055</t>
        </is>
      </c>
      <c r="B39" s="5" t="inlineStr">
        <is>
          <t>SWEBOK</t>
        </is>
      </c>
      <c r="C39" s="4" t="inlineStr">
        <is>
          <t>5. 品質要求と評価基準(ISO/IEC 25010 / Product Assurance)</t>
        </is>
      </c>
      <c r="D39" s="9" t="inlineStr">
        <is>
          <t>High</t>
        </is>
      </c>
      <c r="E39" s="4" t="inlineStr">
        <is>
          <t>品質要求がステークホルダーニーズに遡れるか</t>
        </is>
      </c>
      <c r="F39" s="4" t="inlineStr">
        <is>
          <t>各品質要求に要求元ステークホルダーまたは上位要求への参照があり、根拠不明の要求が0件</t>
        </is>
      </c>
      <c r="G39" s="4" t="inlineStr">
        <is>
          <t>品質はステークホルダーのニーズ・期待を要求がどれだけ正確に表すかに依存する。要求元に遡れない品質要求は根拠のない過剰仕様か、逆に真のニーズの取り違えである可能性が高い。</t>
        </is>
      </c>
      <c r="H39" s="4" t="inlineStr">
        <is>
          <t>swebok-v4a.pdf ch12 Software Quality &gt; 1. Fundamentals(quality depends upon requirements representing stakeholder needs)/ 3.3(暗黙の品質要求の引き出し)</t>
        </is>
      </c>
      <c r="I39" s="4" t="inlineStr">
        <is>
          <t>CORE</t>
        </is>
      </c>
      <c r="J39" s="4" t="inlineStr">
        <is>
          <t>原則適用。案件スコープ・成果物・規制・リスク上非該当の場合はN/A根拠を記録。</t>
        </is>
      </c>
      <c r="K39" s="4" t="inlineStr">
        <is>
          <t>SRC-SWEBOK-V4A</t>
        </is>
      </c>
      <c r="L39" s="4" t="inlineStr"/>
      <c r="M39" s="4" t="n"/>
      <c r="N39" s="4" t="n"/>
      <c r="O39" s="4" t="n"/>
      <c r="P39" s="4" t="n"/>
      <c r="Q39" s="4" t="n"/>
      <c r="R39" s="4" t="n"/>
      <c r="S39" s="4" t="n"/>
      <c r="T39" s="4" t="n"/>
      <c r="U39" s="4" t="n"/>
      <c r="V39" s="4" t="n"/>
      <c r="W39" s="4" t="n"/>
    </row>
    <row r="40">
      <c r="A40" s="5" t="inlineStr">
        <is>
          <t>QUA-056</t>
        </is>
      </c>
      <c r="B40" s="5" t="inlineStr">
        <is>
          <t>SWEBOK</t>
        </is>
      </c>
      <c r="C40" s="4" t="inlineStr">
        <is>
          <t>5. 品質要求と評価基準(ISO/IEC 25010 / Product Assurance)</t>
        </is>
      </c>
      <c r="D40" s="10" t="inlineStr">
        <is>
          <t>Medium</t>
        </is>
      </c>
      <c r="E40" s="4" t="inlineStr">
        <is>
          <t>目標値に許容範囲が設定されているか</t>
        </is>
      </c>
      <c r="F40" s="4" t="inlineStr">
        <is>
          <t>主要な品質要求に目標値だけでなく許容下限(または上限)が定義され、目標未達時の判定が可能である</t>
        </is>
      </c>
      <c r="G40" s="4" t="inlineStr">
        <is>
          <t>目標値のみで許容範囲がないと、僅かな未達でも合否が判定者の裁量になり、リリース判定が紛糾する。下限(上限)の事前定義で判定を機械的にする。</t>
        </is>
      </c>
      <c r="H40" s="4" t="inlineStr">
        <is>
          <t>実務補完(ISO/IEC 25002系の品質測定枠組みにおける目標値・許容値の考え方)</t>
        </is>
      </c>
      <c r="I40" s="4" t="inlineStr">
        <is>
          <t>CORE</t>
        </is>
      </c>
      <c r="J40" s="4" t="inlineStr">
        <is>
          <t>原則適用。案件スコープ・成果物・規制・リスク上非該当の場合はN/A根拠を記録。</t>
        </is>
      </c>
      <c r="K40" s="4" t="inlineStr">
        <is>
          <t>SRC-ISO-GENERAL;SRC-PRACTICE</t>
        </is>
      </c>
      <c r="L40" s="4" t="inlineStr"/>
      <c r="M40" s="4" t="n"/>
      <c r="N40" s="4" t="n"/>
      <c r="O40" s="4" t="n"/>
      <c r="P40" s="4" t="n"/>
      <c r="Q40" s="4" t="n"/>
      <c r="R40" s="4" t="n"/>
      <c r="S40" s="4" t="n"/>
      <c r="T40" s="4" t="n"/>
      <c r="U40" s="4" t="n"/>
      <c r="V40" s="4" t="n"/>
      <c r="W40" s="4" t="n"/>
    </row>
    <row r="41">
      <c r="A41" s="5" t="inlineStr">
        <is>
          <t>QUA-057</t>
        </is>
      </c>
      <c r="B41" s="5" t="inlineStr">
        <is>
          <t>SWEBOK</t>
        </is>
      </c>
      <c r="C41" s="4" t="inlineStr">
        <is>
          <t>5. 品質要求と評価基準(ISO/IEC 25010 / Product Assurance)</t>
        </is>
      </c>
      <c r="D41" s="10" t="inlineStr">
        <is>
          <t>Medium</t>
        </is>
      </c>
      <c r="E41" s="4" t="inlineStr">
        <is>
          <t>品質要求の変更管理が定義されているか</t>
        </is>
      </c>
      <c r="F41" s="4" t="inlineStr">
        <is>
          <t>品質要求の変更手順(影響分析、再合意、版管理)が定義されている</t>
        </is>
      </c>
      <c r="G41" s="4" t="inlineStr">
        <is>
          <t>品質要求は開発中に変化するが、変更管理がないと影響分析なしに目標が緩和され、当初合意したステークホルダー価値が黙って毀損される。</t>
        </is>
      </c>
      <c r="H41" s="4" t="inlineStr">
        <is>
          <t>実務補完(SWEBOK Software Requirements KA の要求変更管理をSQM観点で適用)</t>
        </is>
      </c>
      <c r="I41" s="4" t="inlineStr">
        <is>
          <t>CORE</t>
        </is>
      </c>
      <c r="J41" s="4" t="inlineStr">
        <is>
          <t>原則適用。案件スコープ・成果物・規制・リスク上非該当の場合はN/A根拠を記録。</t>
        </is>
      </c>
      <c r="K41" s="4" t="inlineStr">
        <is>
          <t>SRC-PRACTICE</t>
        </is>
      </c>
      <c r="L41" s="4" t="inlineStr"/>
      <c r="M41" s="4" t="n"/>
      <c r="N41" s="4" t="n"/>
      <c r="O41" s="4" t="n"/>
      <c r="P41" s="4" t="n"/>
      <c r="Q41" s="4" t="n"/>
      <c r="R41" s="4" t="n"/>
      <c r="S41" s="4" t="n"/>
      <c r="T41" s="4" t="n"/>
      <c r="U41" s="4" t="n"/>
      <c r="V41" s="4" t="n"/>
      <c r="W41" s="4" t="n"/>
    </row>
    <row r="42">
      <c r="A42" s="5" t="inlineStr">
        <is>
          <t>QUA-058</t>
        </is>
      </c>
      <c r="B42" s="5" t="inlineStr">
        <is>
          <t>SWEBOK</t>
        </is>
      </c>
      <c r="C42" s="4" t="inlineStr">
        <is>
          <t>5. 品質要求と評価基準(ISO/IEC 25010 / Product Assurance)</t>
        </is>
      </c>
      <c r="D42" s="11" t="inlineStr">
        <is>
          <t>Low</t>
        </is>
      </c>
      <c r="E42" s="4" t="inlineStr">
        <is>
          <t>副特性レベルの検討があるか</t>
        </is>
      </c>
      <c r="F42" s="4" t="inlineStr">
        <is>
          <t>重要度の高い特性について、25010 の副特性レベルまで掘り下げた要求定義がある</t>
        </is>
      </c>
      <c r="G42" s="4" t="inlineStr">
        <is>
          <t>特性レベルの要求は粗すぎて測定尺度に落ちないことが多い。25010は特性・副特性の階層モデルであり、重要特性は副特性まで掘り下げて初めて具体的なメトリクスに接続できる。</t>
        </is>
      </c>
      <c r="H42" s="4" t="inlineStr">
        <is>
          <t>swebok-v4a.pdf ch12 Software Quality &gt; 3.3 Perform Product Assurance(25010 のcharacteristics and sub-characteristics)</t>
        </is>
      </c>
      <c r="I42" s="4" t="inlineStr">
        <is>
          <t>CORE</t>
        </is>
      </c>
      <c r="J42" s="4" t="inlineStr">
        <is>
          <t>原則適用。案件スコープ・成果物・規制・リスク上非該当の場合はN/A根拠を記録。</t>
        </is>
      </c>
      <c r="K42" s="4" t="inlineStr">
        <is>
          <t>SRC-SWEBOK-V4A;SRC-ISO-25010</t>
        </is>
      </c>
      <c r="L42" s="4" t="inlineStr"/>
      <c r="M42" s="4" t="n"/>
      <c r="N42" s="4" t="n"/>
      <c r="O42" s="4" t="n"/>
      <c r="P42" s="4" t="n"/>
      <c r="Q42" s="4" t="n"/>
      <c r="R42" s="4" t="n"/>
      <c r="S42" s="4" t="n"/>
      <c r="T42" s="4" t="n"/>
      <c r="U42" s="4" t="n"/>
      <c r="V42" s="4" t="n"/>
      <c r="W42" s="4" t="n"/>
    </row>
    <row r="43">
      <c r="A43" s="5" t="inlineStr">
        <is>
          <t>QUA-060</t>
        </is>
      </c>
      <c r="B43" s="5" t="inlineStr">
        <is>
          <t>SWEBOK</t>
        </is>
      </c>
      <c r="C43" s="4" t="inlineStr">
        <is>
          <t>6. 品質測定・メトリクス(Software Quality Measurement)</t>
        </is>
      </c>
      <c r="D43" s="8" t="inlineStr">
        <is>
          <t>Critical</t>
        </is>
      </c>
      <c r="E43" s="4" t="inlineStr">
        <is>
          <t>各メトリクスに目的(何を判断するか)が定義されているか</t>
        </is>
      </c>
      <c r="F43" s="4" t="inlineStr">
        <is>
          <t>すべてのメトリクスに、その値を使って行う意思決定(例: テスト停止判断、ゲート判定、改善対象選定)が明記されている</t>
        </is>
      </c>
      <c r="G43" s="4" t="inlineStr">
        <is>
          <t>品質測定の目的は意思決定支援であり、使う判断(テスト停止、ゲート判定等)が決まっていないメトリクスは収集コストだけかかる死蔵データになる。</t>
        </is>
      </c>
      <c r="H43" s="4" t="inlineStr">
        <is>
          <t>swebok-v4a.pdf ch12 Software Quality &gt; 2.3.1 Software Quality Measurement(measurements are used to support decision-making、when to stop testing)</t>
        </is>
      </c>
      <c r="I43" s="4" t="inlineStr">
        <is>
          <t>CORE</t>
        </is>
      </c>
      <c r="J43" s="4" t="inlineStr">
        <is>
          <t>原則適用。案件スコープ・成果物・規制・リスク上非該当の場合はN/A根拠を記録。</t>
        </is>
      </c>
      <c r="K43" s="4" t="inlineStr">
        <is>
          <t>SRC-SWEBOK-V4A;SRC-CIS</t>
        </is>
      </c>
      <c r="L43" s="4" t="inlineStr">
        <is>
          <t>OPS-OBSERVABILITY</t>
        </is>
      </c>
      <c r="M43" s="4" t="n"/>
      <c r="N43" s="4" t="n"/>
      <c r="O43" s="4" t="n"/>
      <c r="P43" s="4" t="n"/>
      <c r="Q43" s="4" t="n"/>
      <c r="R43" s="4" t="n"/>
      <c r="S43" s="4" t="n"/>
      <c r="T43" s="4" t="n"/>
      <c r="U43" s="4" t="n"/>
      <c r="V43" s="4" t="n"/>
      <c r="W43" s="4" t="n"/>
    </row>
    <row r="44">
      <c r="A44" s="5" t="inlineStr">
        <is>
          <t>QUA-061</t>
        </is>
      </c>
      <c r="B44" s="5" t="inlineStr">
        <is>
          <t>SWEBOK</t>
        </is>
      </c>
      <c r="C44" s="4" t="inlineStr">
        <is>
          <t>6. 品質測定・メトリクス(Software Quality Measurement)</t>
        </is>
      </c>
      <c r="D44" s="8" t="inlineStr">
        <is>
          <t>Critical</t>
        </is>
      </c>
      <c r="E44" s="4" t="inlineStr">
        <is>
          <t>メトリクスの定義・計算式が一意か</t>
        </is>
      </c>
      <c r="F44" s="4" t="inlineStr">
        <is>
          <t>各メトリクスに名称・定義・計算式・単位・データ源が定義され、複数の解釈ができる曖昧な定義が0件</t>
        </is>
      </c>
      <c r="G44" s="4" t="inlineStr">
        <is>
          <t>定義・計算式が曖昧なメトリクスは収集者ごとに値がぶれ、傾向分析やベンチマーク比較が無意味になる。名称・式・単位・データ源の一意化で測定の再現性を担保する。</t>
        </is>
      </c>
      <c r="H44" s="4" t="inlineStr">
        <is>
          <t>swebok-v4a.pdf ch12 Software Quality &gt; 2.3.1 Software Quality Measurement(quantifying attributes、測定の定義)</t>
        </is>
      </c>
      <c r="I44" s="4" t="inlineStr">
        <is>
          <t>CORE</t>
        </is>
      </c>
      <c r="J44" s="4" t="inlineStr">
        <is>
          <t>原則適用。案件スコープ・成果物・規制・リスク上非該当の場合はN/A根拠を記録。</t>
        </is>
      </c>
      <c r="K44" s="4" t="inlineStr">
        <is>
          <t>SRC-SWEBOK-V4A</t>
        </is>
      </c>
      <c r="L44" s="4" t="inlineStr">
        <is>
          <t>OPS-OBSERVABILITY</t>
        </is>
      </c>
      <c r="M44" s="4" t="n"/>
      <c r="N44" s="4" t="n"/>
      <c r="O44" s="4" t="n"/>
      <c r="P44" s="4" t="n"/>
      <c r="Q44" s="4" t="n"/>
      <c r="R44" s="4" t="n"/>
      <c r="S44" s="4" t="n"/>
      <c r="T44" s="4" t="n"/>
      <c r="U44" s="4" t="n"/>
      <c r="V44" s="4" t="n"/>
      <c r="W44" s="4" t="n"/>
    </row>
    <row r="45">
      <c r="A45" s="5" t="inlineStr">
        <is>
          <t>QUA-062</t>
        </is>
      </c>
      <c r="B45" s="5" t="inlineStr">
        <is>
          <t>SWEBOK</t>
        </is>
      </c>
      <c r="C45" s="4" t="inlineStr">
        <is>
          <t>6. 品質測定・メトリクス(Software Quality Measurement)</t>
        </is>
      </c>
      <c r="D45" s="9" t="inlineStr">
        <is>
          <t>High</t>
        </is>
      </c>
      <c r="E45" s="4" t="inlineStr">
        <is>
          <t>目標値・閾値が設定されているか</t>
        </is>
      </c>
      <c r="F45" s="4" t="inlineStr">
        <is>
          <t>判定に使うメトリクスすべてに目標値または閾値(および根拠: 過去実績・業界値・標準等)が設定されている</t>
        </is>
      </c>
      <c r="G45" s="4" t="inlineStr">
        <is>
          <t>閾値のないメトリクスは「測っているが判断に使えない」状態を生む。過去実績・ドメインのベンチマークに根拠づけた閾値で、異常検知とゲート判定を可能にする。</t>
        </is>
      </c>
      <c r="H45" s="4" t="inlineStr">
        <is>
          <t>swebok-v4a.pdf ch12 Software Quality &gt; 2.3.1(benchmarks, defect counts typical of that domain がリリース判断を助ける)</t>
        </is>
      </c>
      <c r="I45" s="4" t="inlineStr">
        <is>
          <t>CORE</t>
        </is>
      </c>
      <c r="J45" s="4" t="inlineStr">
        <is>
          <t>原則適用。案件スコープ・成果物・規制・リスク上非該当の場合はN/A根拠を記録。</t>
        </is>
      </c>
      <c r="K45" s="4" t="inlineStr">
        <is>
          <t>SRC-SWEBOK-V4A</t>
        </is>
      </c>
      <c r="L45" s="4" t="inlineStr">
        <is>
          <t>OPS-OBSERVABILITY</t>
        </is>
      </c>
      <c r="M45" s="4" t="n"/>
      <c r="N45" s="4" t="n"/>
      <c r="O45" s="4" t="n"/>
      <c r="P45" s="4" t="n"/>
      <c r="Q45" s="4" t="n"/>
      <c r="R45" s="4" t="n"/>
      <c r="S45" s="4" t="n"/>
      <c r="T45" s="4" t="n"/>
      <c r="U45" s="4" t="n"/>
      <c r="V45" s="4" t="n"/>
      <c r="W45" s="4" t="n"/>
    </row>
    <row r="46">
      <c r="A46" s="5" t="inlineStr">
        <is>
          <t>QUA-063</t>
        </is>
      </c>
      <c r="B46" s="5" t="inlineStr">
        <is>
          <t>SWEBOK</t>
        </is>
      </c>
      <c r="C46" s="4" t="inlineStr">
        <is>
          <t>6. 品質測定・メトリクス(Software Quality Measurement)</t>
        </is>
      </c>
      <c r="D46" s="9" t="inlineStr">
        <is>
          <t>High</t>
        </is>
      </c>
      <c r="E46" s="4" t="inlineStr">
        <is>
          <t>収集方法・頻度・責任者が定義されているか</t>
        </is>
      </c>
      <c r="F46" s="4" t="inlineStr">
        <is>
          <t>各メトリクスに収集手段(ツール/手動)、収集タイミング、収集責任者が対応付けられている</t>
        </is>
      </c>
      <c r="G46" s="4" t="inlineStr">
        <is>
          <t>収集方法・頻度・責任者が未定義だと測定が属人化して欠測が生じ、傾向分析(トレンド)の連続性が壊れる。SWEBOKも記録されなければ欠陥データは失われると警告する。</t>
        </is>
      </c>
      <c r="H46" s="4" t="inlineStr">
        <is>
          <t>swebok-v4a.pdf ch12 Software Quality &gt; 2.3.1 / 2.4.1(data may be lost unless they are recorded)</t>
        </is>
      </c>
      <c r="I46" s="4" t="inlineStr">
        <is>
          <t>CORE</t>
        </is>
      </c>
      <c r="J46" s="4" t="inlineStr">
        <is>
          <t>原則適用。案件スコープ・成果物・規制・リスク上非該当の場合はN/A根拠を記録。</t>
        </is>
      </c>
      <c r="K46" s="4" t="inlineStr">
        <is>
          <t>SRC-SWEBOK-V4A</t>
        </is>
      </c>
      <c r="L46" s="4" t="inlineStr">
        <is>
          <t>OPS-OBSERVABILITY</t>
        </is>
      </c>
      <c r="M46" s="4" t="n"/>
      <c r="N46" s="4" t="n"/>
      <c r="O46" s="4" t="n"/>
      <c r="P46" s="4" t="n"/>
      <c r="Q46" s="4" t="n"/>
      <c r="R46" s="4" t="n"/>
      <c r="S46" s="4" t="n"/>
      <c r="T46" s="4" t="n"/>
      <c r="U46" s="4" t="n"/>
      <c r="V46" s="4" t="n"/>
      <c r="W46" s="4" t="n"/>
    </row>
    <row r="47">
      <c r="A47" s="5" t="inlineStr">
        <is>
          <t>QUA-064</t>
        </is>
      </c>
      <c r="B47" s="5" t="inlineStr">
        <is>
          <t>SWEBOK</t>
        </is>
      </c>
      <c r="C47" s="4" t="inlineStr">
        <is>
          <t>6. 品質測定・メトリクス(Software Quality Measurement)</t>
        </is>
      </c>
      <c r="D47" s="9" t="inlineStr">
        <is>
          <t>High</t>
        </is>
      </c>
      <c r="E47" s="4" t="inlineStr">
        <is>
          <t>欠陥密度・故障率など基本尺度が含まれているか</t>
        </is>
      </c>
      <c r="F47" s="4" t="inlineStr">
        <is>
          <t>defect density(規模あたり欠陥数)または failure rate/MTBF に相当する尺度が測定計画に含まれている</t>
        </is>
      </c>
      <c r="G47" s="4" t="inlineStr">
        <is>
          <t>誤り密度・欠陥密度・故障率はSWEBOKが挙げる最も広く使われる3つの品質測定であり、これらを欠く測定計画は製品品質の基本的な定量把握ができない。</t>
        </is>
      </c>
      <c r="H47" s="4" t="inlineStr">
        <is>
          <t>swebok-v4a.pdf ch12 Software Quality &gt; 2.3.1 Software Quality Measurement(error density, defect density, failure rate)</t>
        </is>
      </c>
      <c r="I47" s="4" t="inlineStr">
        <is>
          <t>CORE</t>
        </is>
      </c>
      <c r="J47" s="4" t="inlineStr">
        <is>
          <t>原則適用。案件スコープ・成果物・規制・リスク上非該当の場合はN/A根拠を記録。</t>
        </is>
      </c>
      <c r="K47" s="4" t="inlineStr">
        <is>
          <t>SRC-SWEBOK-V4A</t>
        </is>
      </c>
      <c r="L47" s="4" t="inlineStr">
        <is>
          <t>OPS-OBSERVABILITY</t>
        </is>
      </c>
      <c r="M47" s="4" t="n"/>
      <c r="N47" s="4" t="n"/>
      <c r="O47" s="4" t="n"/>
      <c r="P47" s="4" t="n"/>
      <c r="Q47" s="4" t="n"/>
      <c r="R47" s="4" t="n"/>
      <c r="S47" s="4" t="n"/>
      <c r="T47" s="4" t="n"/>
      <c r="U47" s="4" t="n"/>
      <c r="V47" s="4" t="n"/>
      <c r="W47" s="4" t="n"/>
    </row>
    <row r="48">
      <c r="A48" s="5" t="inlineStr">
        <is>
          <t>QUA-065</t>
        </is>
      </c>
      <c r="B48" s="5" t="inlineStr">
        <is>
          <t>SWEBOK</t>
        </is>
      </c>
      <c r="C48" s="4" t="inlineStr">
        <is>
          <t>6. 品質測定・メトリクス(Software Quality Measurement)</t>
        </is>
      </c>
      <c r="D48" s="10" t="inlineStr">
        <is>
          <t>Medium</t>
        </is>
      </c>
      <c r="E48" s="4" t="inlineStr">
        <is>
          <t>分析技法が指定されているか</t>
        </is>
      </c>
      <c r="F48" s="4" t="inlineStr">
        <is>
          <t>主要メトリクスに解釈を補助する技法(パレート分析、ラン・チャート、管理図、傾向分析、信頼性モデル等)が指定されている</t>
        </is>
      </c>
      <c r="G48" s="4" t="inlineStr">
        <is>
          <t>生の測定値だけでは問題箇所の特定や将来予測ができない。パレート分析・管理図・信頼性モデル等の解釈技法の指定で、測定を改善アクションに変換する。</t>
        </is>
      </c>
      <c r="H48" s="4" t="inlineStr">
        <is>
          <t>swebok-v4a.pdf ch12 Software Quality &gt; 2.3.1(descriptive statistics, statistical tests, trend analysis, prediction/reliability models)</t>
        </is>
      </c>
      <c r="I48" s="4" t="inlineStr">
        <is>
          <t>CORE</t>
        </is>
      </c>
      <c r="J48" s="4" t="inlineStr">
        <is>
          <t>原則適用。案件スコープ・成果物・規制・リスク上非該当の場合はN/A根拠を記録。</t>
        </is>
      </c>
      <c r="K48" s="4" t="inlineStr">
        <is>
          <t>SRC-SWEBOK-V4A</t>
        </is>
      </c>
      <c r="L48" s="4" t="inlineStr">
        <is>
          <t>OPS-OBSERVABILITY</t>
        </is>
      </c>
      <c r="M48" s="4" t="n"/>
      <c r="N48" s="4" t="n"/>
      <c r="O48" s="4" t="n"/>
      <c r="P48" s="4" t="n"/>
      <c r="Q48" s="4" t="n"/>
      <c r="R48" s="4" t="n"/>
      <c r="S48" s="4" t="n"/>
      <c r="T48" s="4" t="n"/>
      <c r="U48" s="4" t="n"/>
      <c r="V48" s="4" t="n"/>
      <c r="W48" s="4" t="n"/>
    </row>
    <row r="49">
      <c r="A49" s="5" t="inlineStr">
        <is>
          <t>QUA-066</t>
        </is>
      </c>
      <c r="B49" s="5" t="inlineStr">
        <is>
          <t>SWEBOK</t>
        </is>
      </c>
      <c r="C49" s="4" t="inlineStr">
        <is>
          <t>6. 品質測定・メトリクス(Software Quality Measurement)</t>
        </is>
      </c>
      <c r="D49" s="10" t="inlineStr">
        <is>
          <t>Medium</t>
        </is>
      </c>
      <c r="E49" s="4" t="inlineStr">
        <is>
          <t>報告先・報告頻度が定義されているか</t>
        </is>
      </c>
      <c r="F49" s="4" t="inlineStr">
        <is>
          <t>各メトリクスの報告先(会議体・役割)と報告頻度が定義されている</t>
        </is>
      </c>
      <c r="G49" s="4" t="inlineStr">
        <is>
          <t>測定結果が経営・管理層に届かなければ資源配分やプロセス改善の判断材料にならない。SWEBOKはSQM結果を報告にまとめ経営層が対処することを求める。</t>
        </is>
      </c>
      <c r="H49" s="4" t="inlineStr">
        <is>
          <t>swebok-v4a.pdf ch12 Software Quality &gt; 2. SQM Process(results are assembled in reports for management、報告が正確で対処されることの保証)</t>
        </is>
      </c>
      <c r="I49" s="4" t="inlineStr">
        <is>
          <t>CORE</t>
        </is>
      </c>
      <c r="J49" s="4" t="inlineStr">
        <is>
          <t>原則適用。案件スコープ・成果物・規制・リスク上非該当の場合はN/A根拠を記録。</t>
        </is>
      </c>
      <c r="K49" s="4" t="inlineStr">
        <is>
          <t>SRC-SWEBOK-V4A</t>
        </is>
      </c>
      <c r="L49" s="4" t="inlineStr">
        <is>
          <t>OPS-OBSERVABILITY</t>
        </is>
      </c>
      <c r="M49" s="4" t="n"/>
      <c r="N49" s="4" t="n"/>
      <c r="O49" s="4" t="n"/>
      <c r="P49" s="4" t="n"/>
      <c r="Q49" s="4" t="n"/>
      <c r="R49" s="4" t="n"/>
      <c r="S49" s="4" t="n"/>
      <c r="T49" s="4" t="n"/>
      <c r="U49" s="4" t="n"/>
      <c r="V49" s="4" t="n"/>
      <c r="W49" s="4" t="n"/>
    </row>
    <row r="50">
      <c r="A50" s="5" t="inlineStr">
        <is>
          <t>QUA-067</t>
        </is>
      </c>
      <c r="B50" s="5" t="inlineStr">
        <is>
          <t>SWEBOK</t>
        </is>
      </c>
      <c r="C50" s="4" t="inlineStr">
        <is>
          <t>6. 品質測定・メトリクス(Software Quality Measurement)</t>
        </is>
      </c>
      <c r="D50" s="10" t="inlineStr">
        <is>
          <t>Medium</t>
        </is>
      </c>
      <c r="E50" s="4" t="inlineStr">
        <is>
          <t>規模の測定方法が統一されているか</t>
        </is>
      </c>
      <c r="F50" s="4" t="inlineStr">
        <is>
          <t>密度系メトリクスの分母(SLOC、ファンクションポイント等)の測定方法が1つに統一され定義されている</t>
        </is>
      </c>
      <c r="G50" s="4" t="inlineStr">
        <is>
          <t>分母(SLOC/FP等)の測定方法が混在すると、密度系メトリクスの時系列比較・部位間比較が成立せず、改善効果の判定を誤る。</t>
        </is>
      </c>
      <c r="H50" s="4" t="inlineStr">
        <is>
          <t>swebok-v4a.pdf ch12 Software Quality &gt; 2.3.1 Software Quality Measurement(density = 欠陥数/規模。規模測定の一貫性は測定の前提)</t>
        </is>
      </c>
      <c r="I50" s="4" t="inlineStr">
        <is>
          <t>CORE</t>
        </is>
      </c>
      <c r="J50" s="4" t="inlineStr">
        <is>
          <t>原則適用。案件スコープ・成果物・規制・リスク上非該当の場合はN/A根拠を記録。</t>
        </is>
      </c>
      <c r="K50" s="4" t="inlineStr">
        <is>
          <t>SRC-SWEBOK-V4A</t>
        </is>
      </c>
      <c r="L50" s="4" t="inlineStr">
        <is>
          <t>OPS-OBSERVABILITY</t>
        </is>
      </c>
      <c r="M50" s="4" t="n"/>
      <c r="N50" s="4" t="n"/>
      <c r="O50" s="4" t="n"/>
      <c r="P50" s="4" t="n"/>
      <c r="Q50" s="4" t="n"/>
      <c r="R50" s="4" t="n"/>
      <c r="S50" s="4" t="n"/>
      <c r="T50" s="4" t="n"/>
      <c r="U50" s="4" t="n"/>
      <c r="V50" s="4" t="n"/>
      <c r="W50" s="4" t="n"/>
    </row>
    <row r="51">
      <c r="A51" s="5" t="inlineStr">
        <is>
          <t>QUA-068</t>
        </is>
      </c>
      <c r="B51" s="5" t="inlineStr">
        <is>
          <t>SWEBOK</t>
        </is>
      </c>
      <c r="C51" s="4" t="inlineStr">
        <is>
          <t>6. 品質測定・メトリクス(Software Quality Measurement)</t>
        </is>
      </c>
      <c r="D51" s="11" t="inlineStr">
        <is>
          <t>Low</t>
        </is>
      </c>
      <c r="E51" s="4" t="inlineStr">
        <is>
          <t>測定データの保管・参照方法が定義されているか</t>
        </is>
      </c>
      <c r="F51" s="4" t="inlineStr">
        <is>
          <t>測定データの保存場所、保管期間、参照方法が記述されている</t>
        </is>
      </c>
      <c r="G51" s="4" t="inlineStr">
        <is>
          <t>測定データはドメイン別欠陥プロファイルやベンチマークとして次プロジェクトのSQMを導く資産であり、保管・参照方法がないと組織学習が毎回ゼロリセットされる。</t>
        </is>
      </c>
      <c r="H51" s="4" t="inlineStr">
        <is>
          <t>swebok-v4a.pdf ch12 Software Quality &gt; 2.3.1(defect profiles を次のプロジェクトのSQMプロセスの誘導に使う)</t>
        </is>
      </c>
      <c r="I51" s="4" t="inlineStr">
        <is>
          <t>CORE</t>
        </is>
      </c>
      <c r="J51" s="4" t="inlineStr">
        <is>
          <t>原則適用。案件スコープ・成果物・規制・リスク上非該当の場合はN/A根拠を記録。</t>
        </is>
      </c>
      <c r="K51" s="4" t="inlineStr">
        <is>
          <t>SRC-SWEBOK-V4A</t>
        </is>
      </c>
      <c r="L51" s="4" t="inlineStr">
        <is>
          <t>OPS-OBSERVABILITY</t>
        </is>
      </c>
      <c r="M51" s="4" t="n"/>
      <c r="N51" s="4" t="n"/>
      <c r="O51" s="4" t="n"/>
      <c r="P51" s="4" t="n"/>
      <c r="Q51" s="4" t="n"/>
      <c r="R51" s="4" t="n"/>
      <c r="S51" s="4" t="n"/>
      <c r="T51" s="4" t="n"/>
      <c r="U51" s="4" t="n"/>
      <c r="V51" s="4" t="n"/>
      <c r="W51" s="4" t="n"/>
    </row>
    <row r="52">
      <c r="A52" s="5" t="inlineStr">
        <is>
          <t>QUA-070</t>
        </is>
      </c>
      <c r="B52" s="5" t="inlineStr">
        <is>
          <t>SWEBOK</t>
        </is>
      </c>
      <c r="C52" s="4" t="inlineStr">
        <is>
          <t>7. 品質ゲート(Quality Gates)</t>
        </is>
      </c>
      <c r="D52" s="8" t="inlineStr">
        <is>
          <t>Critical</t>
        </is>
      </c>
      <c r="E52" s="4" t="inlineStr">
        <is>
          <t>主要マイルストーンすべてにゲートが定義されているか</t>
        </is>
      </c>
      <c r="F52" s="4" t="inlineStr">
        <is>
          <t>要求確定・設計完了・実装完了・テスト完了・リリース判定に相当する各マイルストーンにゲートが存在する(プロセスに応じた反復単位のゲートでも可)</t>
        </is>
      </c>
      <c r="G52" s="4" t="inlineStr">
        <is>
          <t>品質評価はライフサイクルの多くのマイルストーンで行うべきとされ、ゲートのないフェーズは欠陥が無審査で後工程に流れる。要求〜リリースの各節目に評価点を強制する。</t>
        </is>
      </c>
      <c r="H52" s="4" t="inlineStr">
        <is>
          <t>swebok-v4a.pdf ch12 Software Quality &gt; 1. Fundamentals(assessed at many milestones)/ 3.4.5(要求レビュー・設計レビュー・テストレディネス・生産レディネス等の各レビュー)</t>
        </is>
      </c>
      <c r="I52" s="4" t="inlineStr">
        <is>
          <t>CORE</t>
        </is>
      </c>
      <c r="J52" s="4" t="inlineStr">
        <is>
          <t>原則適用。案件スコープ・成果物・規制・リスク上非該当の場合はN/A根拠を記録。</t>
        </is>
      </c>
      <c r="K52" s="4" t="inlineStr">
        <is>
          <t>SRC-SWEBOK-V4A</t>
        </is>
      </c>
      <c r="L52" s="4" t="inlineStr"/>
      <c r="M52" s="4" t="n"/>
      <c r="N52" s="4" t="n"/>
      <c r="O52" s="4" t="n"/>
      <c r="P52" s="4" t="n"/>
      <c r="Q52" s="4" t="n"/>
      <c r="R52" s="4" t="n"/>
      <c r="S52" s="4" t="n"/>
      <c r="T52" s="4" t="n"/>
      <c r="U52" s="4" t="n"/>
      <c r="V52" s="4" t="n"/>
      <c r="W52" s="4" t="n"/>
    </row>
    <row r="53">
      <c r="A53" s="5" t="inlineStr">
        <is>
          <t>QUA-071</t>
        </is>
      </c>
      <c r="B53" s="5" t="inlineStr">
        <is>
          <t>SWEBOK</t>
        </is>
      </c>
      <c r="C53" s="4" t="inlineStr">
        <is>
          <t>7. 品質ゲート(Quality Gates)</t>
        </is>
      </c>
      <c r="D53" s="8" t="inlineStr">
        <is>
          <t>Critical</t>
        </is>
      </c>
      <c r="E53" s="4" t="inlineStr">
        <is>
          <t>通過条件が客観的に判定可能か</t>
        </is>
      </c>
      <c r="F53" s="4" t="inlineStr">
        <is>
          <t>すべての exit criteria がメトリクス値・成果物の存在・承認記録など第三者が検証できる形式で書かれ、「品質が十分」等の判定者依存の条件が0件</t>
        </is>
      </c>
      <c r="G53" s="4" t="inlineStr">
        <is>
          <t>判定者の主観に依存する通過条件は、納期圧力下で必ず「通す」方向に解釈される。第三者検証可能な形式に限定することでゲートの形骸化を防ぐ。</t>
        </is>
      </c>
      <c r="H53" s="4" t="inlineStr">
        <is>
          <t>swebok-v4a.pdf ch12 Software Quality &gt; 3.4.4(testing completion criteria を設定すべき)/ 実務補完(品質ゲート運用)</t>
        </is>
      </c>
      <c r="I53" s="4" t="inlineStr">
        <is>
          <t>CORE</t>
        </is>
      </c>
      <c r="J53" s="4" t="inlineStr">
        <is>
          <t>原則適用。案件スコープ・成果物・規制・リスク上非該当の場合はN/A根拠を記録。</t>
        </is>
      </c>
      <c r="K53" s="4" t="inlineStr">
        <is>
          <t>SRC-SWEBOK-V4A;SRC-PRACTICE</t>
        </is>
      </c>
      <c r="L53" s="4" t="inlineStr"/>
      <c r="M53" s="4" t="n"/>
      <c r="N53" s="4" t="n"/>
      <c r="O53" s="4" t="n"/>
      <c r="P53" s="4" t="n"/>
      <c r="Q53" s="4" t="n"/>
      <c r="R53" s="4" t="n"/>
      <c r="S53" s="4" t="n"/>
      <c r="T53" s="4" t="n"/>
      <c r="U53" s="4" t="n"/>
      <c r="V53" s="4" t="n"/>
      <c r="W53" s="4" t="n"/>
    </row>
    <row r="54">
      <c r="A54" s="5" t="inlineStr">
        <is>
          <t>QUA-072</t>
        </is>
      </c>
      <c r="B54" s="5" t="inlineStr">
        <is>
          <t>SWEBOK</t>
        </is>
      </c>
      <c r="C54" s="4" t="inlineStr">
        <is>
          <t>7. 品質ゲート(Quality Gates)</t>
        </is>
      </c>
      <c r="D54" s="8" t="inlineStr">
        <is>
          <t>Critical</t>
        </is>
      </c>
      <c r="E54" s="4" t="inlineStr">
        <is>
          <t>未達時の扱いが事前定義されているか</t>
        </is>
      </c>
      <c r="F54" s="4" t="inlineStr">
        <is>
          <t>各ゲートに、条件付き通過の可否と条件、リスク受容の承認者、エスカレーション経路が定義されている</t>
        </is>
      </c>
      <c r="G54" s="4" t="inlineStr">
        <is>
          <t>未達時の扱いを事前に決めないと、ゲート判定がその場の力関係で決まり、リスク受容の責任者も不明のままリリースされる。条件付き通過とエスカレーションの事前定義で統制する。</t>
        </is>
      </c>
      <c r="H54" s="4" t="inlineStr">
        <is>
          <t>実務補完(IEEE 730 の問題解決・エスカレーションの考え方をゲート運用に適用)</t>
        </is>
      </c>
      <c r="I54" s="4" t="inlineStr">
        <is>
          <t>CORE</t>
        </is>
      </c>
      <c r="J54" s="4" t="inlineStr">
        <is>
          <t>原則適用。案件スコープ・成果物・規制・リスク上非該当の場合はN/A根拠を記録。</t>
        </is>
      </c>
      <c r="K54" s="4" t="inlineStr">
        <is>
          <t>SRC-IEEE-GENERAL;SRC-PRACTICE</t>
        </is>
      </c>
      <c r="L54" s="4" t="inlineStr"/>
      <c r="M54" s="4" t="n"/>
      <c r="N54" s="4" t="n"/>
      <c r="O54" s="4" t="n"/>
      <c r="P54" s="4" t="n"/>
      <c r="Q54" s="4" t="n"/>
      <c r="R54" s="4" t="n"/>
      <c r="S54" s="4" t="n"/>
      <c r="T54" s="4" t="n"/>
      <c r="U54" s="4" t="n"/>
      <c r="V54" s="4" t="n"/>
      <c r="W54" s="4" t="n"/>
    </row>
    <row r="55">
      <c r="A55" s="5" t="inlineStr">
        <is>
          <t>QUA-073</t>
        </is>
      </c>
      <c r="B55" s="5" t="inlineStr">
        <is>
          <t>SWEBOK</t>
        </is>
      </c>
      <c r="C55" s="4" t="inlineStr">
        <is>
          <t>7. 品質ゲート(Quality Gates)</t>
        </is>
      </c>
      <c r="D55" s="9" t="inlineStr">
        <is>
          <t>High</t>
        </is>
      </c>
      <c r="E55" s="4" t="inlineStr">
        <is>
          <t>判定者・承認者が明記されているか</t>
        </is>
      </c>
      <c r="F55" s="4" t="inlineStr">
        <is>
          <t>各ゲートに判定実施者と最終承認者(役割名)が定義され、SQA独立性の要件(QUA-031)と矛盾しない</t>
        </is>
      </c>
      <c r="G55" s="4" t="inlineStr">
        <is>
          <t>判定者・承認者が不明なゲートは実施されないか、開発当事者が自己承認する。SQA独立性(客観性)の要件と整合した役割定義で判定の客観性を守る。</t>
        </is>
      </c>
      <c r="H55" s="4" t="inlineStr">
        <is>
          <t>swebok-v4a.pdf ch12 Software Quality &gt; 3.1(SQA機能の客観性)/ 3.4.5(監査の第三者性)</t>
        </is>
      </c>
      <c r="I55" s="4" t="inlineStr">
        <is>
          <t>CORE</t>
        </is>
      </c>
      <c r="J55" s="4" t="inlineStr">
        <is>
          <t>原則適用。案件スコープ・成果物・規制・リスク上非該当の場合はN/A根拠を記録。</t>
        </is>
      </c>
      <c r="K55" s="4" t="inlineStr">
        <is>
          <t>SRC-SWEBOK-V4A</t>
        </is>
      </c>
      <c r="L55" s="4" t="inlineStr"/>
      <c r="M55" s="4" t="n"/>
      <c r="N55" s="4" t="n"/>
      <c r="O55" s="4" t="n"/>
      <c r="P55" s="4" t="n"/>
      <c r="Q55" s="4" t="n"/>
      <c r="R55" s="4" t="n"/>
      <c r="S55" s="4" t="n"/>
      <c r="T55" s="4" t="n"/>
      <c r="U55" s="4" t="n"/>
      <c r="V55" s="4" t="n"/>
      <c r="W55" s="4" t="n"/>
    </row>
    <row r="56">
      <c r="A56" s="5" t="inlineStr">
        <is>
          <t>QUA-074</t>
        </is>
      </c>
      <c r="B56" s="5" t="inlineStr">
        <is>
          <t>SWEBOK</t>
        </is>
      </c>
      <c r="C56" s="4" t="inlineStr">
        <is>
          <t>7. 品質ゲート(Quality Gates)</t>
        </is>
      </c>
      <c r="D56" s="9" t="inlineStr">
        <is>
          <t>High</t>
        </is>
      </c>
      <c r="E56" s="4" t="inlineStr">
        <is>
          <t>entry criteria が定義されているか</t>
        </is>
      </c>
      <c r="F56" s="4" t="inlineStr">
        <is>
          <t>各ゲートに判定を開始できる前提条件(必須成果物の完成、先行ゲートの通過等)が定義されている</t>
        </is>
      </c>
      <c r="G56" s="4" t="inlineStr">
        <is>
          <t>entry criteria がないと未完成の成果物でゲート判定が始まり、判定不能・差戻しの空転や、前提欠落のまま形式的に通過する事態を招く。</t>
        </is>
      </c>
      <c r="H56" s="4" t="inlineStr">
        <is>
          <t>実務補完(ISO/IEC 20246 のレビュープロセスにおける開始条件の考え方)</t>
        </is>
      </c>
      <c r="I56" s="4" t="inlineStr">
        <is>
          <t>CORE</t>
        </is>
      </c>
      <c r="J56" s="4" t="inlineStr">
        <is>
          <t>原則適用。案件スコープ・成果物・規制・リスク上非該当の場合はN/A根拠を記録。</t>
        </is>
      </c>
      <c r="K56" s="4" t="inlineStr">
        <is>
          <t>SRC-ISO-GENERAL;SRC-PRACTICE</t>
        </is>
      </c>
      <c r="L56" s="4" t="inlineStr"/>
      <c r="M56" s="4" t="n"/>
      <c r="N56" s="4" t="n"/>
      <c r="O56" s="4" t="n"/>
      <c r="P56" s="4" t="n"/>
      <c r="Q56" s="4" t="n"/>
      <c r="R56" s="4" t="n"/>
      <c r="S56" s="4" t="n"/>
      <c r="T56" s="4" t="n"/>
      <c r="U56" s="4" t="n"/>
      <c r="V56" s="4" t="n"/>
      <c r="W56" s="4" t="n"/>
    </row>
    <row r="57">
      <c r="A57" s="5" t="inlineStr">
        <is>
          <t>QUA-075</t>
        </is>
      </c>
      <c r="B57" s="5" t="inlineStr">
        <is>
          <t>SWEBOK</t>
        </is>
      </c>
      <c r="C57" s="4" t="inlineStr">
        <is>
          <t>7. 品質ゲート(Quality Gates)</t>
        </is>
      </c>
      <c r="D57" s="10" t="inlineStr">
        <is>
          <t>Medium</t>
        </is>
      </c>
      <c r="E57" s="4" t="inlineStr">
        <is>
          <t>ゲート判定の記録様式が定義されているか</t>
        </is>
      </c>
      <c r="F57" s="4" t="inlineStr">
        <is>
          <t>判定結果(通過/条件付き/差戻し)、根拠データ、残課題を記録する様式または場所が定義されている</t>
        </is>
      </c>
      <c r="G57" s="4" t="inlineStr">
        <is>
          <t>判定結果と根拠データの記録がないと、後の監査で通過判断の妥当性を検証できず、残課題も引き継がれずに消失する。</t>
        </is>
      </c>
      <c r="H57" s="4" t="inlineStr">
        <is>
          <t>swebok-v4a.pdf ch12 Software Quality &gt; 3.2(SQA活動の実行記録を残す)/ 3.4.5(technical reviews and audits は文書化されるべき)</t>
        </is>
      </c>
      <c r="I57" s="4" t="inlineStr">
        <is>
          <t>CORE</t>
        </is>
      </c>
      <c r="J57" s="4" t="inlineStr">
        <is>
          <t>原則適用。案件スコープ・成果物・規制・リスク上非該当の場合はN/A根拠を記録。</t>
        </is>
      </c>
      <c r="K57" s="4" t="inlineStr">
        <is>
          <t>SRC-SWEBOK-V4A</t>
        </is>
      </c>
      <c r="L57" s="4" t="inlineStr"/>
      <c r="M57" s="4" t="n"/>
      <c r="N57" s="4" t="n"/>
      <c r="O57" s="4" t="n"/>
      <c r="P57" s="4" t="n"/>
      <c r="Q57" s="4" t="n"/>
      <c r="R57" s="4" t="n"/>
      <c r="S57" s="4" t="n"/>
      <c r="T57" s="4" t="n"/>
      <c r="U57" s="4" t="n"/>
      <c r="V57" s="4" t="n"/>
      <c r="W57" s="4" t="n"/>
    </row>
    <row r="58">
      <c r="A58" s="5" t="inlineStr">
        <is>
          <t>QUA-076</t>
        </is>
      </c>
      <c r="B58" s="5" t="inlineStr">
        <is>
          <t>SWEBOK</t>
        </is>
      </c>
      <c r="C58" s="4" t="inlineStr">
        <is>
          <t>7. 品質ゲート(Quality Gates)</t>
        </is>
      </c>
      <c r="D58" s="10" t="inlineStr">
        <is>
          <t>Medium</t>
        </is>
      </c>
      <c r="E58" s="4" t="inlineStr">
        <is>
          <t>リリース判定ゲートに品質要求の達成確認が含まれるか</t>
        </is>
      </c>
      <c r="F58" s="4" t="inlineStr">
        <is>
          <t>リリース判定の exit criteria に、品質要求・評価基準定義書(QUA-050系)の達成状況確認が含まれている</t>
        </is>
      </c>
      <c r="G58" s="4" t="inlineStr">
        <is>
          <t>リリース判定が品質要求の達成確認と接続していないと、スケジュール駆動で品質要求未達のまま出荷され、受入・運用段階で品質要求が「定義しただけ」だったことが露呈する。</t>
        </is>
      </c>
      <c r="H58" s="4" t="inlineStr">
        <is>
          <t>swebok-v4a.pdf ch12 Software Quality &gt; 3.3(受入段階での品質要求の測定)/ 2.3.1(when to stop testing and release a product)</t>
        </is>
      </c>
      <c r="I58" s="4" t="inlineStr">
        <is>
          <t>CORE</t>
        </is>
      </c>
      <c r="J58" s="4" t="inlineStr">
        <is>
          <t>原則適用。案件スコープ・成果物・規制・リスク上非該当の場合はN/A根拠を記録。</t>
        </is>
      </c>
      <c r="K58" s="4" t="inlineStr">
        <is>
          <t>SRC-SWEBOK-V4A</t>
        </is>
      </c>
      <c r="L58" s="4" t="inlineStr"/>
      <c r="M58" s="4" t="n"/>
      <c r="N58" s="4" t="n"/>
      <c r="O58" s="4" t="n"/>
      <c r="P58" s="4" t="n"/>
      <c r="Q58" s="4" t="n"/>
      <c r="R58" s="4" t="n"/>
      <c r="S58" s="4" t="n"/>
      <c r="T58" s="4" t="n"/>
      <c r="U58" s="4" t="n"/>
      <c r="V58" s="4" t="n"/>
      <c r="W58" s="4" t="n"/>
    </row>
    <row r="59">
      <c r="A59" s="5" t="inlineStr">
        <is>
          <t>QUA-080</t>
        </is>
      </c>
      <c r="B59" s="5" t="inlineStr">
        <is>
          <t>SWEBOK</t>
        </is>
      </c>
      <c r="C59" s="4" t="inlineStr">
        <is>
          <t>8. プロセス保証(Perform Process Assurance)</t>
        </is>
      </c>
      <c r="D59" s="8" t="inlineStr">
        <is>
          <t>Critical</t>
        </is>
      </c>
      <c r="E59" s="4" t="inlineStr">
        <is>
          <t>プロセス遵守の評価活動が計画・実施されているか</t>
        </is>
      </c>
      <c r="F59" s="4" t="inlineStr">
        <is>
          <t>定義されたプロセス(SQAP、開発標準、手順)の遵守を評価する監査・アセスメントの計画または実施記録が存在する</t>
        </is>
      </c>
      <c r="G59" s="4" t="inlineStr">
        <is>
          <t>プロセス品質は製品品質に直接影響する(Crosby/Humphrey)。定義したプロセスの遵守を評価しなければ、プロセス定義が実態と乖離してもだれも気づかない。</t>
        </is>
      </c>
      <c r="H59" s="4" t="inlineStr">
        <is>
          <t>swebok-v4a.pdf ch12 Software Quality &gt; 3.2 Perform Process Assurance(process quality が最終製品の品質に直接影響)</t>
        </is>
      </c>
      <c r="I59" s="4" t="inlineStr">
        <is>
          <t>CORE</t>
        </is>
      </c>
      <c r="J59" s="4" t="inlineStr">
        <is>
          <t>原則適用。案件スコープ・成果物・規制・リスク上非該当の場合はN/A根拠を記録。</t>
        </is>
      </c>
      <c r="K59" s="4" t="inlineStr">
        <is>
          <t>SRC-SWEBOK-V4A</t>
        </is>
      </c>
      <c r="L59" s="4" t="inlineStr"/>
      <c r="M59" s="4" t="n"/>
      <c r="N59" s="4" t="n"/>
      <c r="O59" s="4" t="n"/>
      <c r="P59" s="4" t="n"/>
      <c r="Q59" s="4" t="n"/>
      <c r="R59" s="4" t="n"/>
      <c r="S59" s="4" t="n"/>
      <c r="T59" s="4" t="n"/>
      <c r="U59" s="4" t="n"/>
      <c r="V59" s="4" t="n"/>
      <c r="W59" s="4" t="n"/>
    </row>
    <row r="60">
      <c r="A60" s="5" t="inlineStr">
        <is>
          <t>QUA-081</t>
        </is>
      </c>
      <c r="B60" s="5" t="inlineStr">
        <is>
          <t>SWEBOK</t>
        </is>
      </c>
      <c r="C60" s="4" t="inlineStr">
        <is>
          <t>8. プロセス保証(Perform Process Assurance)</t>
        </is>
      </c>
      <c r="D60" s="9" t="inlineStr">
        <is>
          <t>High</t>
        </is>
      </c>
      <c r="E60" s="4" t="inlineStr">
        <is>
          <t>プロセス逸脱が記録・処置されているか</t>
        </is>
      </c>
      <c r="F60" s="4" t="inlineStr">
        <is>
          <t>検出された逸脱に、内容・重要度・是正処置・処置期限・確認結果が記録されている(逸脱0件なら評価実施の記録があれば Pass)</t>
        </is>
      </c>
      <c r="G60" s="4" t="inlineStr">
        <is>
          <t>逸脱の検出だけで処置・確認まで追跡しないと、同じ逸脱が繰り返され、監査が指摘の生産だけで終わる。是正処置のクローズまでの記録で改善サイクルを回す。</t>
        </is>
      </c>
      <c r="H60" s="4" t="inlineStr">
        <is>
          <t>swebok-v4a.pdf ch12 Software Quality &gt; 2. SQM Process(nonconformities addressed)/ 2.4 Perform Corrective and Preventive Actions</t>
        </is>
      </c>
      <c r="I60" s="4" t="inlineStr">
        <is>
          <t>CORE</t>
        </is>
      </c>
      <c r="J60" s="4" t="inlineStr">
        <is>
          <t>原則適用。案件スコープ・成果物・規制・リスク上非該当の場合はN/A根拠を記録。</t>
        </is>
      </c>
      <c r="K60" s="4" t="inlineStr">
        <is>
          <t>SRC-SWEBOK-V4A</t>
        </is>
      </c>
      <c r="L60" s="4" t="inlineStr"/>
      <c r="M60" s="4" t="n"/>
      <c r="N60" s="4" t="n"/>
      <c r="O60" s="4" t="n"/>
      <c r="P60" s="4" t="n"/>
      <c r="Q60" s="4" t="n"/>
      <c r="R60" s="4" t="n"/>
      <c r="S60" s="4" t="n"/>
      <c r="T60" s="4" t="n"/>
      <c r="U60" s="4" t="n"/>
      <c r="V60" s="4" t="n"/>
      <c r="W60" s="4" t="n"/>
    </row>
    <row r="61">
      <c r="A61" s="5" t="inlineStr">
        <is>
          <t>QUA-082</t>
        </is>
      </c>
      <c r="B61" s="5" t="inlineStr">
        <is>
          <t>SWEBOK</t>
        </is>
      </c>
      <c r="C61" s="4" t="inlineStr">
        <is>
          <t>8. プロセス保証(Perform Process Assurance)</t>
        </is>
      </c>
      <c r="D61" s="9" t="inlineStr">
        <is>
          <t>High</t>
        </is>
      </c>
      <c r="E61" s="4" t="inlineStr">
        <is>
          <t>SQA活動がライフサイクル初期から記録されているか</t>
        </is>
      </c>
      <c r="F61" s="4" t="inlineStr">
        <is>
          <t>SQA活動の実施記録が要求定義または計画フェーズから存在し、後付けでない</t>
        </is>
      </c>
      <c r="G61" s="4" t="inlineStr">
        <is>
          <t>SQA活動はライフサイクル初期から実施すべきとIEEE 730が定めており、記録が後付けだと初期工程(要求・設計)の欠陥予防が実際には行われなかったことを意味する。</t>
        </is>
      </c>
      <c r="H61" s="4" t="inlineStr">
        <is>
          <t>swebok-v4a.pdf ch12 Software Quality &gt; 3.2 Perform Process Assurance(quality assurance activities conducted early in the life cycle、記録の保持)</t>
        </is>
      </c>
      <c r="I61" s="4" t="inlineStr">
        <is>
          <t>CORE</t>
        </is>
      </c>
      <c r="J61" s="4" t="inlineStr">
        <is>
          <t>原則適用。案件スコープ・成果物・規制・リスク上非該当の場合はN/A根拠を記録。</t>
        </is>
      </c>
      <c r="K61" s="4" t="inlineStr">
        <is>
          <t>SRC-SWEBOK-V4A</t>
        </is>
      </c>
      <c r="L61" s="4" t="inlineStr"/>
      <c r="M61" s="4" t="n"/>
      <c r="N61" s="4" t="n"/>
      <c r="O61" s="4" t="n"/>
      <c r="P61" s="4" t="n"/>
      <c r="Q61" s="4" t="n"/>
      <c r="R61" s="4" t="n"/>
      <c r="S61" s="4" t="n"/>
      <c r="T61" s="4" t="n"/>
      <c r="U61" s="4" t="n"/>
      <c r="V61" s="4" t="n"/>
      <c r="W61" s="4" t="n"/>
    </row>
    <row r="62">
      <c r="A62" s="5" t="inlineStr">
        <is>
          <t>QUA-083</t>
        </is>
      </c>
      <c r="B62" s="5" t="inlineStr">
        <is>
          <t>SWEBOK</t>
        </is>
      </c>
      <c r="C62" s="4" t="inlineStr">
        <is>
          <t>8. プロセス保証(Perform Process Assurance)</t>
        </is>
      </c>
      <c r="D62" s="9" t="inlineStr">
        <is>
          <t>High</t>
        </is>
      </c>
      <c r="E62" s="4" t="inlineStr">
        <is>
          <t>SCMとの連携が確認されているか</t>
        </is>
      </c>
      <c r="F62" s="4" t="inlineStr">
        <is>
          <t>構成品目の識別・変更管理・状態記録・要求適合の検証がSCM計画で定義され、SQAがその遵守を評価対象としている</t>
        </is>
      </c>
      <c r="G62" s="4" t="inlineStr">
        <is>
          <t>SCM(識別・変更管理・状態記録・適合検証)が機能しないと、レビュー済み成果物が無断変更され品質保証の前提が崩れる。SQAがSCM遵守を評価対象に含むことで成果物の完全性を守る。</t>
        </is>
      </c>
      <c r="H62" s="4" t="inlineStr">
        <is>
          <t>swebok-v4a.pdf ch12 Software Quality &gt; 3.2 Perform Process Assurance(configuration management の4機能とSQAの関係)</t>
        </is>
      </c>
      <c r="I62" s="4" t="inlineStr">
        <is>
          <t>CORE</t>
        </is>
      </c>
      <c r="J62" s="4" t="inlineStr">
        <is>
          <t>原則適用。案件スコープ・成果物・規制・リスク上非該当の場合はN/A根拠を記録。</t>
        </is>
      </c>
      <c r="K62" s="4" t="inlineStr">
        <is>
          <t>SRC-SWEBOK-V4A</t>
        </is>
      </c>
      <c r="L62" s="4" t="inlineStr"/>
      <c r="M62" s="4" t="n"/>
      <c r="N62" s="4" t="n"/>
      <c r="O62" s="4" t="n"/>
      <c r="P62" s="4" t="n"/>
      <c r="Q62" s="4" t="n"/>
      <c r="R62" s="4" t="n"/>
      <c r="S62" s="4" t="n"/>
      <c r="T62" s="4" t="n"/>
      <c r="U62" s="4" t="n"/>
      <c r="V62" s="4" t="n"/>
      <c r="W62" s="4" t="n"/>
    </row>
    <row r="63">
      <c r="A63" s="5" t="inlineStr">
        <is>
          <t>QUA-084</t>
        </is>
      </c>
      <c r="B63" s="5" t="inlineStr">
        <is>
          <t>SWEBOK</t>
        </is>
      </c>
      <c r="C63" s="4" t="inlineStr">
        <is>
          <t>8. プロセス保証(Perform Process Assurance)</t>
        </is>
      </c>
      <c r="D63" s="10" t="inlineStr">
        <is>
          <t>Medium</t>
        </is>
      </c>
      <c r="E63" s="4" t="inlineStr">
        <is>
          <t>プロセスアセスメントの枠組みが特定されているか</t>
        </is>
      </c>
      <c r="F63" s="4" t="inlineStr">
        <is>
          <t>プロセス能力評価を行う場合、参照モデル(ISO/IEC 33001 系、ISO/IEC TS 33061:2021、CMMI 等)と評価レベルの定義が明記されている(実施しない場合はその判断根拠があれば N/A)</t>
        </is>
      </c>
      <c r="G63" s="4" t="inlineStr">
        <is>
          <t>参照モデルと評価レベルを特定しないプロセス評価は基準が恣意的になり、組織間・時点間の比較や改善目標の設定ができない。</t>
        </is>
      </c>
      <c r="H63" s="4" t="inlineStr">
        <is>
          <t>swebok-v4a.pdf ch12 Software Quality &gt; 2.3 Evaluate Quality Management(ISO/IEC TS 33061:2021 のプロセス能力5レベル、IEEE 730 による成熟度評価)</t>
        </is>
      </c>
      <c r="I63" s="4" t="inlineStr">
        <is>
          <t>CORE</t>
        </is>
      </c>
      <c r="J63" s="4" t="inlineStr">
        <is>
          <t>原則適用。案件スコープ・成果物・規制・リスク上非該当の場合はN/A根拠を記録。</t>
        </is>
      </c>
      <c r="K63" s="4" t="inlineStr">
        <is>
          <t>SRC-SWEBOK-V4A;SRC-ISO-GENERAL</t>
        </is>
      </c>
      <c r="L63" s="4" t="inlineStr"/>
      <c r="M63" s="4" t="n"/>
      <c r="N63" s="4" t="n"/>
      <c r="O63" s="4" t="n"/>
      <c r="P63" s="4" t="n"/>
      <c r="Q63" s="4" t="n"/>
      <c r="R63" s="4" t="n"/>
      <c r="S63" s="4" t="n"/>
      <c r="T63" s="4" t="n"/>
      <c r="U63" s="4" t="n"/>
      <c r="V63" s="4" t="n"/>
      <c r="W63" s="4" t="n"/>
    </row>
    <row r="64">
      <c r="A64" s="5" t="inlineStr">
        <is>
          <t>QUA-085</t>
        </is>
      </c>
      <c r="B64" s="5" t="inlineStr">
        <is>
          <t>SWEBOK</t>
        </is>
      </c>
      <c r="C64" s="4" t="inlineStr">
        <is>
          <t>8. プロセス保証(Perform Process Assurance)</t>
        </is>
      </c>
      <c r="D64" s="10" t="inlineStr">
        <is>
          <t>Medium</t>
        </is>
      </c>
      <c r="E64" s="4" t="inlineStr">
        <is>
          <t>監査の独立性が担保されているか</t>
        </is>
      </c>
      <c r="F64" s="4" t="inlineStr">
        <is>
          <t>監査(audit)の実施者が被監査対象の作業に直接関与していないことが記録から確認できる</t>
        </is>
      </c>
      <c r="G64" s="4" t="inlineStr">
        <is>
          <t>被監査作業の当事者が監査すると不都合な逸脱が報告されない。SWEBOKは監査を独立性確保のため第三者実施が求められる、より公式な活動と位置づける。</t>
        </is>
      </c>
      <c r="H64" s="4" t="inlineStr">
        <is>
          <t>swebok-v4a.pdf ch12 Software Quality &gt; 3.4.5 Technical Reviews and Audits(audits are mandated to be performed by third parties to ensure independence)</t>
        </is>
      </c>
      <c r="I64" s="4" t="inlineStr">
        <is>
          <t>CORE</t>
        </is>
      </c>
      <c r="J64" s="4" t="inlineStr">
        <is>
          <t>原則適用。案件スコープ・成果物・規制・リスク上非該当の場合はN/A根拠を記録。</t>
        </is>
      </c>
      <c r="K64" s="4" t="inlineStr">
        <is>
          <t>SRC-SWEBOK-V4A</t>
        </is>
      </c>
      <c r="L64" s="4" t="inlineStr"/>
      <c r="M64" s="4" t="n"/>
      <c r="N64" s="4" t="n"/>
      <c r="O64" s="4" t="n"/>
      <c r="P64" s="4" t="n"/>
      <c r="Q64" s="4" t="n"/>
      <c r="R64" s="4" t="n"/>
      <c r="S64" s="4" t="n"/>
      <c r="T64" s="4" t="n"/>
      <c r="U64" s="4" t="n"/>
      <c r="V64" s="4" t="n"/>
      <c r="W64" s="4" t="n"/>
    </row>
    <row r="65">
      <c r="A65" s="5" t="inlineStr">
        <is>
          <t>QUA-090</t>
        </is>
      </c>
      <c r="B65" s="5" t="inlineStr">
        <is>
          <t>SWEBOK</t>
        </is>
      </c>
      <c r="C65" s="4" t="inlineStr">
        <is>
          <t>9. レビュー/インスペクション(Technical Reviews and Audits)</t>
        </is>
      </c>
      <c r="D65" s="8" t="inlineStr">
        <is>
          <t>Critical</t>
        </is>
      </c>
      <c r="E65" s="4" t="inlineStr">
        <is>
          <t>レビュー対象成果物と方式が計画されているか</t>
        </is>
      </c>
      <c r="F65" s="4" t="inlineStr">
        <is>
          <t>レビュー対象の成果物種別ごとに、レビュー方式(アドホック/チェックリストベース/シナリオベース/パースペクティブベース/ロールベース等)と実施時期が定義されている</t>
        </is>
      </c>
      <c r="G65" s="4" t="inlineStr">
        <is>
          <t>レビューは設計前でも欠陥を発見できる最も費用対効果の高い活動であり、対象・方式・時期を計画しないと重要成果物が未レビューのまま後工程に流れ、修正コストが跳ね上がる。</t>
        </is>
      </c>
      <c r="H65" s="4" t="inlineStr">
        <is>
          <t>swebok-v4a.pdf ch12 Software Quality &gt; 3.4.5 Technical Reviews and Audits / ISO/IEC 20246:2017(ad hoc/checklist-based/scenario-based/perspective-based/role-based)</t>
        </is>
      </c>
      <c r="I65" s="4" t="inlineStr">
        <is>
          <t>CORE</t>
        </is>
      </c>
      <c r="J65" s="4" t="inlineStr">
        <is>
          <t>原則適用。案件スコープ・成果物・規制・リスク上非該当の場合はN/A根拠を記録。</t>
        </is>
      </c>
      <c r="K65" s="4" t="inlineStr">
        <is>
          <t>SRC-SWEBOK-V4A;SRC-ISO-GENERAL</t>
        </is>
      </c>
      <c r="L65" s="4" t="inlineStr"/>
      <c r="M65" s="4" t="n"/>
      <c r="N65" s="4" t="n"/>
      <c r="O65" s="4" t="n"/>
      <c r="P65" s="4" t="n"/>
      <c r="Q65" s="4" t="n"/>
      <c r="R65" s="4" t="n"/>
      <c r="S65" s="4" t="n"/>
      <c r="T65" s="4" t="n"/>
      <c r="U65" s="4" t="n"/>
      <c r="V65" s="4" t="n"/>
      <c r="W65" s="4" t="n"/>
    </row>
    <row r="66">
      <c r="A66" s="5" t="inlineStr">
        <is>
          <t>QUA-091</t>
        </is>
      </c>
      <c r="B66" s="5" t="inlineStr">
        <is>
          <t>SWEBOK</t>
        </is>
      </c>
      <c r="C66" s="4" t="inlineStr">
        <is>
          <t>9. レビュー/インスペクション(Technical Reviews and Audits)</t>
        </is>
      </c>
      <c r="D66" s="8" t="inlineStr">
        <is>
          <t>Critical</t>
        </is>
      </c>
      <c r="E66" s="4" t="inlineStr">
        <is>
          <t>指摘事項がクローズまで追跡されているか</t>
        </is>
      </c>
      <c r="F66" s="4" t="inlineStr">
        <is>
          <t>レビュー記録の各指摘に、処置(修正/却下/保留)、対応者、確認者、確認日が記録され、未クローズ指摘の残数が把握できる</t>
        </is>
      </c>
      <c r="G66" s="4" t="inlineStr">
        <is>
          <t>指摘の処置・確認が追跡されないと、レビューで見つけた欠陥が未修正のままリリースされ、レビュー工数が無駄になる。クローズ追跡は指摘を品質向上に変換する最後の工程。</t>
        </is>
      </c>
      <c r="H66" s="4" t="inlineStr">
        <is>
          <t>swebok-v4a.pdf ch12 Software Quality &gt; 3.4.5(レビューは計画・実行・文書化されるべき)/ 4.(レビュー支援ツールによる欠陥の記録と除去追跡)</t>
        </is>
      </c>
      <c r="I66" s="4" t="inlineStr">
        <is>
          <t>CORE</t>
        </is>
      </c>
      <c r="J66" s="4" t="inlineStr">
        <is>
          <t>原則適用。案件スコープ・成果物・規制・リスク上非該当の場合はN/A根拠を記録。</t>
        </is>
      </c>
      <c r="K66" s="4" t="inlineStr">
        <is>
          <t>SRC-SWEBOK-V4A</t>
        </is>
      </c>
      <c r="L66" s="4" t="inlineStr"/>
      <c r="M66" s="4" t="n"/>
      <c r="N66" s="4" t="n"/>
      <c r="O66" s="4" t="n"/>
      <c r="P66" s="4" t="n"/>
      <c r="Q66" s="4" t="n"/>
      <c r="R66" s="4" t="n"/>
      <c r="S66" s="4" t="n"/>
      <c r="T66" s="4" t="n"/>
      <c r="U66" s="4" t="n"/>
      <c r="V66" s="4" t="n"/>
      <c r="W66" s="4" t="n"/>
    </row>
    <row r="67">
      <c r="A67" s="5" t="inlineStr">
        <is>
          <t>QUA-092</t>
        </is>
      </c>
      <c r="B67" s="5" t="inlineStr">
        <is>
          <t>SWEBOK</t>
        </is>
      </c>
      <c r="C67" s="4" t="inlineStr">
        <is>
          <t>9. レビュー/インスペクション(Technical Reviews and Audits)</t>
        </is>
      </c>
      <c r="D67" s="9" t="inlineStr">
        <is>
          <t>High</t>
        </is>
      </c>
      <c r="E67" s="4" t="inlineStr">
        <is>
          <t>レビュー記録に必須項目が揃っているか</t>
        </is>
      </c>
      <c r="F67" s="4" t="inlineStr">
        <is>
          <t>各記録に、対象成果物と版数、日時、参加者と役割、指摘一覧(ID・重要度・該当箇所・内容)、判定結果が含まれている</t>
        </is>
      </c>
      <c r="G67" s="4" t="inlineStr">
        <is>
          <t>対象版数・参加者・指摘一覧を欠く記録は、どの版に何が指摘されたか再現できず、監査証跡にも欠陥分析のデータにもならない。</t>
        </is>
      </c>
      <c r="H67" s="4" t="inlineStr">
        <is>
          <t>swebok-v4a.pdf ch12 Software Quality &gt; 3.4.5 Technical Reviews and Audits(レビューの文書化)/ 実務補完(IEEE 1028 のレビュー記録要件)</t>
        </is>
      </c>
      <c r="I67" s="4" t="inlineStr">
        <is>
          <t>CORE</t>
        </is>
      </c>
      <c r="J67" s="4" t="inlineStr">
        <is>
          <t>原則適用。案件スコープ・成果物・規制・リスク上非該当の場合はN/A根拠を記録。</t>
        </is>
      </c>
      <c r="K67" s="4" t="inlineStr">
        <is>
          <t>SRC-SWEBOK-V4A;SRC-PRACTICE</t>
        </is>
      </c>
      <c r="L67" s="4" t="inlineStr"/>
      <c r="M67" s="4" t="n"/>
      <c r="N67" s="4" t="n"/>
      <c r="O67" s="4" t="n"/>
      <c r="P67" s="4" t="n"/>
      <c r="Q67" s="4" t="n"/>
      <c r="R67" s="4" t="n"/>
      <c r="S67" s="4" t="n"/>
      <c r="T67" s="4" t="n"/>
      <c r="U67" s="4" t="n"/>
      <c r="V67" s="4" t="n"/>
      <c r="W67" s="4" t="n"/>
    </row>
    <row r="68">
      <c r="A68" s="5" t="inlineStr">
        <is>
          <t>QUA-093</t>
        </is>
      </c>
      <c r="B68" s="5" t="inlineStr">
        <is>
          <t>SWEBOK</t>
        </is>
      </c>
      <c r="C68" s="4" t="inlineStr">
        <is>
          <t>9. レビュー/インスペクション(Technical Reviews and Audits)</t>
        </is>
      </c>
      <c r="D68" s="9" t="inlineStr">
        <is>
          <t>High</t>
        </is>
      </c>
      <c r="E68" s="4" t="inlineStr">
        <is>
          <t>欠陥と改善提案が区別されているか</t>
        </is>
      </c>
      <c r="F68" s="4" t="inlineStr">
        <is>
          <t>指摘の分類に欠陥(要求・仕様・標準への不適合)と改善提案(任意対応)の区別があり、欠陥の対応は必須とされている</t>
        </is>
      </c>
      <c r="G68" s="4" t="inlineStr">
        <is>
          <t>欠陥(要求・標準への不適合=修正必須)と改善提案(任意)を区別しないと、必須修正が「好みの問題」として却下されたり、逆に任意提案の対応で工数が浪費されたりする。</t>
        </is>
      </c>
      <c r="H68" s="4" t="inlineStr">
        <is>
          <t>swebok-v4a.pdf ch12 Software Quality &gt; 1. Fundamentals(defect の定義: 要求・仕様を満たさず修正・置換が必要な不備)+ 実務補完(レビュー指摘分類)</t>
        </is>
      </c>
      <c r="I68" s="4" t="inlineStr">
        <is>
          <t>CORE</t>
        </is>
      </c>
      <c r="J68" s="4" t="inlineStr">
        <is>
          <t>原則適用。案件スコープ・成果物・規制・リスク上非該当の場合はN/A根拠を記録。</t>
        </is>
      </c>
      <c r="K68" s="4" t="inlineStr">
        <is>
          <t>SRC-SWEBOK-V4A;SRC-PRACTICE</t>
        </is>
      </c>
      <c r="L68" s="4" t="inlineStr"/>
      <c r="M68" s="4" t="n"/>
      <c r="N68" s="4" t="n"/>
      <c r="O68" s="4" t="n"/>
      <c r="P68" s="4" t="n"/>
      <c r="Q68" s="4" t="n"/>
      <c r="R68" s="4" t="n"/>
      <c r="S68" s="4" t="n"/>
      <c r="T68" s="4" t="n"/>
      <c r="U68" s="4" t="n"/>
      <c r="V68" s="4" t="n"/>
      <c r="W68" s="4" t="n"/>
    </row>
    <row r="69">
      <c r="A69" s="5" t="inlineStr">
        <is>
          <t>QUA-094</t>
        </is>
      </c>
      <c r="B69" s="5" t="inlineStr">
        <is>
          <t>SWEBOK</t>
        </is>
      </c>
      <c r="C69" s="4" t="inlineStr">
        <is>
          <t>9. レビュー/インスペクション(Technical Reviews and Audits)</t>
        </is>
      </c>
      <c r="D69" s="9" t="inlineStr">
        <is>
          <t>High</t>
        </is>
      </c>
      <c r="E69" s="4" t="inlineStr">
        <is>
          <t>重要成果物にピアレビューが実施されているか</t>
        </is>
      </c>
      <c r="F69" s="4" t="inlineStr">
        <is>
          <t>品質要求・設計・重要コードなどインテグリティレベルの高い成果物に、作成者以外によるレビューの実施記録がある</t>
        </is>
      </c>
      <c r="G69" s="4" t="inlineStr">
        <is>
          <t>作成者は自分の誤りに気づけないため、ピアレビューは欠陥除去の基本手段である。高インテグリティ成果物ほど厳格なレビューが必要というSWEBOKの原則を実施記録で確認する。</t>
        </is>
      </c>
      <c r="H69" s="4" t="inlineStr">
        <is>
          <t>swebok-v4a.pdf ch12 Software Quality &gt; 3.4.5(peer reviews の定義)/ 1.4(higher risk levels necessitate more thorough inspections)</t>
        </is>
      </c>
      <c r="I69" s="4" t="inlineStr">
        <is>
          <t>CORE</t>
        </is>
      </c>
      <c r="J69" s="4" t="inlineStr">
        <is>
          <t>原則適用。案件スコープ・成果物・規制・リスク上非該当の場合はN/A根拠を記録。</t>
        </is>
      </c>
      <c r="K69" s="4" t="inlineStr">
        <is>
          <t>SRC-SWEBOK-V4A</t>
        </is>
      </c>
      <c r="L69" s="4" t="inlineStr"/>
      <c r="M69" s="4" t="n"/>
      <c r="N69" s="4" t="n"/>
      <c r="O69" s="4" t="n"/>
      <c r="P69" s="4" t="n"/>
      <c r="Q69" s="4" t="n"/>
      <c r="R69" s="4" t="n"/>
      <c r="S69" s="4" t="n"/>
      <c r="T69" s="4" t="n"/>
      <c r="U69" s="4" t="n"/>
      <c r="V69" s="4" t="n"/>
      <c r="W69" s="4" t="n"/>
    </row>
    <row r="70">
      <c r="A70" s="5" t="inlineStr">
        <is>
          <t>QUA-095</t>
        </is>
      </c>
      <c r="B70" s="5" t="inlineStr">
        <is>
          <t>SWEBOK</t>
        </is>
      </c>
      <c r="C70" s="4" t="inlineStr">
        <is>
          <t>9. レビュー/インスペクション(Technical Reviews and Audits)</t>
        </is>
      </c>
      <c r="D70" s="10" t="inlineStr">
        <is>
          <t>Medium</t>
        </is>
      </c>
      <c r="E70" s="4" t="inlineStr">
        <is>
          <t>レビューの有効性が測定されているか</t>
        </is>
      </c>
      <c r="F70" s="4" t="inlineStr">
        <is>
          <t>レビュー指摘密度・工数・欠陥検出数のいずれかが記録され、レビュー方式の見直しに使う旨が定義されている</t>
        </is>
      </c>
      <c r="G70" s="4" t="inlineStr">
        <is>
          <t>レビューの有効性を測らないと、欠陥を検出できていない形骸化したレビューが「実施済み」として継続される。指摘密度・工数の記録で方式見直しの根拠を作る。</t>
        </is>
      </c>
      <c r="H70" s="4" t="inlineStr">
        <is>
          <t>swebok-v4a.pdf ch12 Software Quality &gt; 2.3.1(測定による検出・封じ込め技法の有効性把握)+ 実務補完(レビューメトリクス)</t>
        </is>
      </c>
      <c r="I70" s="4" t="inlineStr">
        <is>
          <t>CORE</t>
        </is>
      </c>
      <c r="J70" s="4" t="inlineStr">
        <is>
          <t>原則適用。案件スコープ・成果物・規制・リスク上非該当の場合はN/A根拠を記録。</t>
        </is>
      </c>
      <c r="K70" s="4" t="inlineStr">
        <is>
          <t>SRC-SWEBOK-V4A;SRC-PRACTICE</t>
        </is>
      </c>
      <c r="L70" s="4" t="inlineStr"/>
      <c r="M70" s="4" t="n"/>
      <c r="N70" s="4" t="n"/>
      <c r="O70" s="4" t="n"/>
      <c r="P70" s="4" t="n"/>
      <c r="Q70" s="4" t="n"/>
      <c r="R70" s="4" t="n"/>
      <c r="S70" s="4" t="n"/>
      <c r="T70" s="4" t="n"/>
      <c r="U70" s="4" t="n"/>
      <c r="V70" s="4" t="n"/>
      <c r="W70" s="4" t="n"/>
    </row>
    <row r="71">
      <c r="A71" s="5" t="inlineStr">
        <is>
          <t>QUA-096</t>
        </is>
      </c>
      <c r="B71" s="5" t="inlineStr">
        <is>
          <t>SWEBOK</t>
        </is>
      </c>
      <c r="C71" s="4" t="inlineStr">
        <is>
          <t>9. レビュー/インスペクション(Technical Reviews and Audits)</t>
        </is>
      </c>
      <c r="D71" s="10" t="inlineStr">
        <is>
          <t>Medium</t>
        </is>
      </c>
      <c r="E71" s="4" t="inlineStr">
        <is>
          <t>再レビューの条件が定義されているか</t>
        </is>
      </c>
      <c r="F71" s="4" t="inlineStr">
        <is>
          <t>指摘件数・重要度に基づく再レビュー実施の判定基準が定義されている</t>
        </is>
      </c>
      <c r="G71" s="4" t="inlineStr">
        <is>
          <t>指摘が大量に出た成果物は修正後も欠陥が残存している可能性が高い。再レビュー基準がないと、大幅修正された成果物が無確認で承認される。</t>
        </is>
      </c>
      <c r="H71" s="4" t="inlineStr">
        <is>
          <t>実務補完(ISO/IEC 20246 / IEEE 1028 のインスペクション再作業・フォローアップの考え方)</t>
        </is>
      </c>
      <c r="I71" s="4" t="inlineStr">
        <is>
          <t>CORE</t>
        </is>
      </c>
      <c r="J71" s="4" t="inlineStr">
        <is>
          <t>原則適用。案件スコープ・成果物・規制・リスク上非該当の場合はN/A根拠を記録。</t>
        </is>
      </c>
      <c r="K71" s="4" t="inlineStr">
        <is>
          <t>SRC-ISO-GENERAL;SRC-PRACTICE</t>
        </is>
      </c>
      <c r="L71" s="4" t="inlineStr"/>
      <c r="M71" s="4" t="n"/>
      <c r="N71" s="4" t="n"/>
      <c r="O71" s="4" t="n"/>
      <c r="P71" s="4" t="n"/>
      <c r="Q71" s="4" t="n"/>
      <c r="R71" s="4" t="n"/>
      <c r="S71" s="4" t="n"/>
      <c r="T71" s="4" t="n"/>
      <c r="U71" s="4" t="n"/>
      <c r="V71" s="4" t="n"/>
      <c r="W71" s="4" t="n"/>
    </row>
    <row r="72">
      <c r="A72" s="5" t="inlineStr">
        <is>
          <t>QUA-097</t>
        </is>
      </c>
      <c r="B72" s="5" t="inlineStr">
        <is>
          <t>SWEBOK</t>
        </is>
      </c>
      <c r="C72" s="4" t="inlineStr">
        <is>
          <t>9. レビュー/インスペクション(Technical Reviews and Audits)</t>
        </is>
      </c>
      <c r="D72" s="10" t="inlineStr">
        <is>
          <t>Medium</t>
        </is>
      </c>
      <c r="E72" s="4" t="inlineStr">
        <is>
          <t>チェックリストベースレビューのチェックリストが保守されているか</t>
        </is>
      </c>
      <c r="F72" s="4" t="inlineStr">
        <is>
          <t>使用するチェックリストの版管理と、欠陥分析結果に基づく更新手順が定義されている</t>
        </is>
      </c>
      <c r="G72" s="4" t="inlineStr">
        <is>
          <t>チェックリストは欠陥分析の結果を反映して更新され続けて初めて有効であり、保守されない古いチェックリストは頻発欠陥を素通りさせる。</t>
        </is>
      </c>
      <c r="H72" s="4" t="inlineStr">
        <is>
          <t>swebok-v4a.pdf ch12 Software Quality &gt; 3.4.5(checklist-based reviews)/ 2.4.1(欠陥分類の分析結果をプロセス・技法の改善に反映)</t>
        </is>
      </c>
      <c r="I72" s="4" t="inlineStr">
        <is>
          <t>CORE</t>
        </is>
      </c>
      <c r="J72" s="4" t="inlineStr">
        <is>
          <t>原則適用。案件スコープ・成果物・規制・リスク上非該当の場合はN/A根拠を記録。</t>
        </is>
      </c>
      <c r="K72" s="4" t="inlineStr">
        <is>
          <t>SRC-SWEBOK-V4A</t>
        </is>
      </c>
      <c r="L72" s="4" t="inlineStr"/>
      <c r="M72" s="4" t="n"/>
      <c r="N72" s="4" t="n"/>
      <c r="O72" s="4" t="n"/>
      <c r="P72" s="4" t="n"/>
      <c r="Q72" s="4" t="n"/>
      <c r="R72" s="4" t="n"/>
      <c r="S72" s="4" t="n"/>
      <c r="T72" s="4" t="n"/>
      <c r="U72" s="4" t="n"/>
      <c r="V72" s="4" t="n"/>
      <c r="W72" s="4" t="n"/>
    </row>
    <row r="73">
      <c r="A73" s="5" t="inlineStr">
        <is>
          <t>QUA-098</t>
        </is>
      </c>
      <c r="B73" s="5" t="inlineStr">
        <is>
          <t>SWEBOK</t>
        </is>
      </c>
      <c r="C73" s="4" t="inlineStr">
        <is>
          <t>9. レビュー/インスペクション(Technical Reviews and Audits)</t>
        </is>
      </c>
      <c r="D73" s="11" t="inlineStr">
        <is>
          <t>Low</t>
        </is>
      </c>
      <c r="E73" s="4" t="inlineStr">
        <is>
          <t>レビュー種別と標準の対応が記述されているか</t>
        </is>
      </c>
      <c r="F73" s="4" t="inlineStr">
        <is>
          <t>レビュー・監査の定義が ISO/IEC 20246:2017 または IEEE 1028:2008 を参照している</t>
        </is>
      </c>
      <c r="G73" s="4" t="inlineStr">
        <is>
          <t>レビュー・監査の種別定義が標準と対応していないと、「レビュー実施済み」の主張が組織間・顧客との間で異なる活動を指し、監査や契約上の齟齬を生む。</t>
        </is>
      </c>
      <c r="H73" s="4" t="inlineStr">
        <is>
          <t>swebok-v4a.pdf ch12 Software Quality &gt; 3.4.5 Technical Reviews and Audits(ISO/IEC 20246:2017 のレビュー類型)</t>
        </is>
      </c>
      <c r="I73" s="4" t="inlineStr">
        <is>
          <t>CORE</t>
        </is>
      </c>
      <c r="J73" s="4" t="inlineStr">
        <is>
          <t>原則適用。案件スコープ・成果物・規制・リスク上非該当の場合はN/A根拠を記録。</t>
        </is>
      </c>
      <c r="K73" s="4" t="inlineStr">
        <is>
          <t>SRC-SWEBOK-V4A;SRC-ISO-GENERAL</t>
        </is>
      </c>
      <c r="L73" s="4" t="inlineStr"/>
      <c r="M73" s="4" t="n"/>
      <c r="N73" s="4" t="n"/>
      <c r="O73" s="4" t="n"/>
      <c r="P73" s="4" t="n"/>
      <c r="Q73" s="4" t="n"/>
      <c r="R73" s="4" t="n"/>
      <c r="S73" s="4" t="n"/>
      <c r="T73" s="4" t="n"/>
      <c r="U73" s="4" t="n"/>
      <c r="V73" s="4" t="n"/>
      <c r="W73" s="4" t="n"/>
    </row>
    <row r="74">
      <c r="A74" s="5" t="inlineStr">
        <is>
          <t>QUA-100</t>
        </is>
      </c>
      <c r="B74" s="5" t="inlineStr">
        <is>
          <t>SWEBOK</t>
        </is>
      </c>
      <c r="C74" s="4" t="inlineStr">
        <is>
          <t>10. V&amp;V(Verification &amp; Validation)</t>
        </is>
      </c>
      <c r="D74" s="8" t="inlineStr">
        <is>
          <t>Critical</t>
        </is>
      </c>
      <c r="E74" s="4" t="inlineStr">
        <is>
          <t>Verification と Validation の両方が計画されているか</t>
        </is>
      </c>
      <c r="F74" s="4" t="inlineStr">
        <is>
          <t>「正しく作っているか」(中間成果物の検証)と「正しいものを作っているか」(ユーザーニーズへの妥当性確認)の両方に対応する活動が計画に存在する</t>
        </is>
      </c>
      <c r="G74" s="4" t="inlineStr">
        <is>
          <t>Verificationだけでは「仕様どおりだが使えないもの」を、Validationだけでは「中間工程の欠陥の後工程流出」を防げない。両方の計画で正しく作ることと正しいものを作ることを担保する。</t>
        </is>
      </c>
      <c r="H74" s="4" t="inlineStr">
        <is>
          <t>swebok-v4a.pdf ch12 Software Quality &gt; 3.4 V&amp;V and Testing(built correctly / right product is built)</t>
        </is>
      </c>
      <c r="I74" s="4" t="inlineStr">
        <is>
          <t>CORE</t>
        </is>
      </c>
      <c r="J74" s="4" t="inlineStr">
        <is>
          <t>原則適用。案件スコープ・成果物・規制・リスク上非該当の場合はN/A根拠を記録。</t>
        </is>
      </c>
      <c r="K74" s="4" t="inlineStr">
        <is>
          <t>SRC-SWEBOK-V4A</t>
        </is>
      </c>
      <c r="L74" s="4" t="inlineStr"/>
      <c r="M74" s="4" t="n"/>
      <c r="N74" s="4" t="n"/>
      <c r="O74" s="4" t="n"/>
      <c r="P74" s="4" t="n"/>
      <c r="Q74" s="4" t="n"/>
      <c r="R74" s="4" t="n"/>
      <c r="S74" s="4" t="n"/>
      <c r="T74" s="4" t="n"/>
      <c r="U74" s="4" t="n"/>
      <c r="V74" s="4" t="n"/>
      <c r="W74" s="4" t="n"/>
    </row>
    <row r="75">
      <c r="A75" s="5" t="inlineStr">
        <is>
          <t>QUA-101</t>
        </is>
      </c>
      <c r="B75" s="5" t="inlineStr">
        <is>
          <t>SWEBOK</t>
        </is>
      </c>
      <c r="C75" s="4" t="inlineStr">
        <is>
          <t>10. V&amp;V(Verification &amp; Validation)</t>
        </is>
      </c>
      <c r="D75" s="9" t="inlineStr">
        <is>
          <t>High</t>
        </is>
      </c>
      <c r="E75" s="4" t="inlineStr">
        <is>
          <t>V&amp;Vタスクがインテグリティレベルに応じて割り当てられているか</t>
        </is>
      </c>
      <c r="F75" s="4" t="inlineStr">
        <is>
          <t>IEEE 1012:2016 の考え方に基づき、インテグリティレベルごとの最小V&amp;Vタスクの割当てが記録されている</t>
        </is>
      </c>
      <c r="G75" s="4" t="inlineStr">
        <is>
          <t>IEEE 1012はインテグリティレベルごとに最小V&amp;Vタスクを定めており、割当てを怠ると重要機能のV&amp;Vが不足したまま「V&amp;V実施済み」と見なされる。</t>
        </is>
      </c>
      <c r="H75" s="4" t="inlineStr">
        <is>
          <t>swebok-v4a.pdf ch12 Software Quality &gt; 3.4 V&amp;V and Testing(identify the product integrity level and ensure the minimum V&amp;V tasks are assigned)/ IEEE 1012:2016</t>
        </is>
      </c>
      <c r="I75" s="4" t="inlineStr">
        <is>
          <t>CORE</t>
        </is>
      </c>
      <c r="J75" s="4" t="inlineStr">
        <is>
          <t>原則適用。案件スコープ・成果物・規制・リスク上非該当の場合はN/A根拠を記録。</t>
        </is>
      </c>
      <c r="K75" s="4" t="inlineStr">
        <is>
          <t>SRC-SWEBOK-V4A</t>
        </is>
      </c>
      <c r="L75" s="4" t="inlineStr"/>
      <c r="M75" s="4" t="n"/>
      <c r="N75" s="4" t="n"/>
      <c r="O75" s="4" t="n"/>
      <c r="P75" s="4" t="n"/>
      <c r="Q75" s="4" t="n"/>
      <c r="R75" s="4" t="n"/>
      <c r="S75" s="4" t="n"/>
      <c r="T75" s="4" t="n"/>
      <c r="U75" s="4" t="n"/>
      <c r="V75" s="4" t="n"/>
      <c r="W75" s="4" t="n"/>
    </row>
    <row r="76">
      <c r="A76" s="5" t="inlineStr">
        <is>
          <t>QUA-102</t>
        </is>
      </c>
      <c r="B76" s="5" t="inlineStr">
        <is>
          <t>SWEBOK</t>
        </is>
      </c>
      <c r="C76" s="4" t="inlineStr">
        <is>
          <t>10. V&amp;V(Verification &amp; Validation)</t>
        </is>
      </c>
      <c r="D76" s="9" t="inlineStr">
        <is>
          <t>High</t>
        </is>
      </c>
      <c r="E76" s="4" t="inlineStr">
        <is>
          <t>静的・動的解析技法が両方含まれているか</t>
        </is>
      </c>
      <c r="F76" s="4" t="inlineStr">
        <is>
          <t>V&amp;V計画に静的解析技法(コードリーディング、ピアレビュー、制御フロー解析等)と動的解析技法(テスト、シミュレーション等)の両方が含まれている</t>
        </is>
      </c>
      <c r="G76" s="4" t="inlineStr">
        <is>
          <t>実行不能コードのように静的解析でしか検出できない欠陥と、実行時にしか現れない欠陥の両方が存在するため、片方だけのV&amp;Vは検出範囲に構造的な穴を残す。</t>
        </is>
      </c>
      <c r="H76" s="4" t="inlineStr">
        <is>
          <t>swebok-v4a.pdf ch12 Software Quality &gt; 3.4.1 Static Analysis Techniques / 3.4.2 Dynamic Analysis Techniques</t>
        </is>
      </c>
      <c r="I76" s="4" t="inlineStr">
        <is>
          <t>CORE</t>
        </is>
      </c>
      <c r="J76" s="4" t="inlineStr">
        <is>
          <t>原則適用。案件スコープ・成果物・規制・リスク上非該当の場合はN/A根拠を記録。</t>
        </is>
      </c>
      <c r="K76" s="4" t="inlineStr">
        <is>
          <t>SRC-SWEBOK-V4A</t>
        </is>
      </c>
      <c r="L76" s="4" t="inlineStr"/>
      <c r="M76" s="4" t="n"/>
      <c r="N76" s="4" t="n"/>
      <c r="O76" s="4" t="n"/>
      <c r="P76" s="4" t="n"/>
      <c r="Q76" s="4" t="n"/>
      <c r="R76" s="4" t="n"/>
      <c r="S76" s="4" t="n"/>
      <c r="T76" s="4" t="n"/>
      <c r="U76" s="4" t="n"/>
      <c r="V76" s="4" t="n"/>
      <c r="W76" s="4" t="n"/>
    </row>
    <row r="77">
      <c r="A77" s="5" t="inlineStr">
        <is>
          <t>QUA-103</t>
        </is>
      </c>
      <c r="B77" s="5" t="inlineStr">
        <is>
          <t>SWEBOK</t>
        </is>
      </c>
      <c r="C77" s="4" t="inlineStr">
        <is>
          <t>10. V&amp;V(Verification &amp; Validation)</t>
        </is>
      </c>
      <c r="D77" s="10" t="inlineStr">
        <is>
          <t>Medium</t>
        </is>
      </c>
      <c r="E77" s="4" t="inlineStr">
        <is>
          <t>形式的解析の適用要否が判断されているか</t>
        </is>
      </c>
      <c r="F77" s="4" t="inlineStr">
        <is>
          <t>クリティカルな部分への形式的解析技法の適用要否と判断根拠が記録されている(非クリティカルなら N/A 可)</t>
        </is>
      </c>
      <c r="G77" s="4" t="inlineStr">
        <is>
          <t>セキュリティ・安全性のようなクリティカル要件はテストで網羅できず、形式的解析が有効な場合がある。適用要否の判断記録がないと、必要な部位への未適用が見過ごされる。</t>
        </is>
      </c>
      <c r="H77" s="4" t="inlineStr">
        <is>
          <t>swebok-v4a.pdf ch12 Software Quality &gt; 3.4.3 Formal Analysis Techniques(クリティカルシステムの重要部分の検証への適用)</t>
        </is>
      </c>
      <c r="I77" s="4" t="inlineStr">
        <is>
          <t>CORE</t>
        </is>
      </c>
      <c r="J77" s="4" t="inlineStr">
        <is>
          <t>原則適用。案件スコープ・成果物・規制・リスク上非該当の場合はN/A根拠を記録。</t>
        </is>
      </c>
      <c r="K77" s="4" t="inlineStr">
        <is>
          <t>SRC-SWEBOK-V4A</t>
        </is>
      </c>
      <c r="L77" s="4" t="inlineStr"/>
      <c r="M77" s="4" t="n"/>
      <c r="N77" s="4" t="n"/>
      <c r="O77" s="4" t="n"/>
      <c r="P77" s="4" t="n"/>
      <c r="Q77" s="4" t="n"/>
      <c r="R77" s="4" t="n"/>
      <c r="S77" s="4" t="n"/>
      <c r="T77" s="4" t="n"/>
      <c r="U77" s="4" t="n"/>
      <c r="V77" s="4" t="n"/>
      <c r="W77" s="4" t="n"/>
    </row>
    <row r="78">
      <c r="A78" s="5" t="inlineStr">
        <is>
          <t>QUA-104</t>
        </is>
      </c>
      <c r="B78" s="5" t="inlineStr">
        <is>
          <t>SWEBOK</t>
        </is>
      </c>
      <c r="C78" s="4" t="inlineStr">
        <is>
          <t>10. V&amp;V(Verification &amp; Validation)</t>
        </is>
      </c>
      <c r="D78" s="10" t="inlineStr">
        <is>
          <t>Medium</t>
        </is>
      </c>
      <c r="E78" s="4" t="inlineStr">
        <is>
          <t>IV&amp;Vの要否が判断されているか</t>
        </is>
      </c>
      <c r="F78" s="4" t="inlineStr">
        <is>
          <t>高インテグリティシステムについて、開発組織から技術的・管理的・財政的に独立した組織によるV&amp;Vの要否と判断根拠が記録されている(低リスクなら N/A 可)</t>
        </is>
      </c>
      <c r="G78" s="4" t="inlineStr">
        <is>
          <t>非常にクリティカルなソフトウェアでは開発組織内のV&amp;Vは利害から自由でなく、技術的・管理的・財政的に独立した組織によるIV&amp;Vの要否を判断しないと、客観性の欠けた検証で安全性を主張することになる。</t>
        </is>
      </c>
      <c r="H78" s="4" t="inlineStr">
        <is>
          <t>swebok-v4a.pdf ch12 Software Quality &gt; 3.4 V&amp;V and Testing(IV&amp;V の定義と適用)</t>
        </is>
      </c>
      <c r="I78" s="4" t="inlineStr">
        <is>
          <t>CORE</t>
        </is>
      </c>
      <c r="J78" s="4" t="inlineStr">
        <is>
          <t>原則適用。案件スコープ・成果物・規制・リスク上非該当の場合はN/A根拠を記録。</t>
        </is>
      </c>
      <c r="K78" s="4" t="inlineStr">
        <is>
          <t>SRC-SWEBOK-V4A</t>
        </is>
      </c>
      <c r="L78" s="4" t="inlineStr"/>
      <c r="M78" s="4" t="n"/>
      <c r="N78" s="4" t="n"/>
      <c r="O78" s="4" t="n"/>
      <c r="P78" s="4" t="n"/>
      <c r="Q78" s="4" t="n"/>
      <c r="R78" s="4" t="n"/>
      <c r="S78" s="4" t="n"/>
      <c r="T78" s="4" t="n"/>
      <c r="U78" s="4" t="n"/>
      <c r="V78" s="4" t="n"/>
      <c r="W78" s="4" t="n"/>
    </row>
    <row r="79">
      <c r="A79" s="5" t="inlineStr">
        <is>
          <t>QUA-105</t>
        </is>
      </c>
      <c r="B79" s="5" t="inlineStr">
        <is>
          <t>SWEBOK</t>
        </is>
      </c>
      <c r="C79" s="4" t="inlineStr">
        <is>
          <t>10. V&amp;V(Verification &amp; Validation)</t>
        </is>
      </c>
      <c r="D79" s="10" t="inlineStr">
        <is>
          <t>Medium</t>
        </is>
      </c>
      <c r="E79" s="4" t="inlineStr">
        <is>
          <t>テスト活動とSQAの関係が定義されているか</t>
        </is>
      </c>
      <c r="F79" s="4" t="inlineStr">
        <is>
          <t>テスト計画がV&amp;V/品質管理(SQC)活動として位置づけられ、SQAP・品質ゲートとの関係(テスト結果がどのゲート判定に使われるか)が定義されている</t>
        </is>
      </c>
      <c r="G79" s="4" t="inlineStr">
        <is>
          <t>テストはV&amp;V・SQCの一部であり、SQAP・ゲートと切り離されたテストは結果がリリース判定に反映されない。テストだけでSQAが完結するという誤解も防ぐ。</t>
        </is>
      </c>
      <c r="H79" s="4" t="inlineStr">
        <is>
          <t>swebok-v4a.pdf ch12 Software Quality &gt; 3.4.4 Software Quality Control and Testing(テストはV&amp;Vプロセスに含まれる製品品質管理活動)/ 3.1(SQA≠テスト)</t>
        </is>
      </c>
      <c r="I79" s="4" t="inlineStr">
        <is>
          <t>CORE</t>
        </is>
      </c>
      <c r="J79" s="4" t="inlineStr">
        <is>
          <t>原則適用。案件スコープ・成果物・規制・リスク上非該当の場合はN/A根拠を記録。</t>
        </is>
      </c>
      <c r="K79" s="4" t="inlineStr">
        <is>
          <t>SRC-SWEBOK-V4A</t>
        </is>
      </c>
      <c r="L79" s="4" t="inlineStr"/>
      <c r="M79" s="4" t="n"/>
      <c r="N79" s="4" t="n"/>
      <c r="O79" s="4" t="n"/>
      <c r="P79" s="4" t="n"/>
      <c r="Q79" s="4" t="n"/>
      <c r="R79" s="4" t="n"/>
      <c r="S79" s="4" t="n"/>
      <c r="T79" s="4" t="n"/>
      <c r="U79" s="4" t="n"/>
      <c r="V79" s="4" t="n"/>
      <c r="W79" s="4" t="n"/>
    </row>
    <row r="80">
      <c r="A80" s="5" t="inlineStr">
        <is>
          <t>QUA-904</t>
        </is>
      </c>
      <c r="B80" s="5" t="inlineStr">
        <is>
          <t>追加承認</t>
        </is>
      </c>
      <c r="C80" s="4" t="inlineStr">
        <is>
          <t>10. V&amp;V(Verification &amp; Validation)</t>
        </is>
      </c>
      <c r="D80" s="10" t="inlineStr">
        <is>
          <t>Medium</t>
        </is>
      </c>
      <c r="E80" s="4" t="inlineStr">
        <is>
          <t>成果物間のトレーサビリティがV&amp;V活動で維持・活用されているか</t>
        </is>
      </c>
      <c r="F80" s="4" t="inlineStr">
        <is>
          <t>要求・設計・コード・テストの間のトレース記録が存在し、V&amp;V活動(レビュー・テスト)でトレースの欠落(未検証要求、要求に遡れない成果物)を検出する手順が定義されている</t>
        </is>
      </c>
      <c r="G80" s="4" t="inlineStr">
        <is>
          <t>トレーサビリティがないと、どの要求が未検証かを機械的に特定できず、V&amp;Vの網羅性の主張が検証不能になる。要求の検証漏れがリリース後に発覚する事態を防ぐ。</t>
        </is>
      </c>
      <c r="H80" s="4" t="inlineStr">
        <is>
          <t>swebok-v4a.pdf ch12 Software Quality &gt; 3.4 V&amp;V and Testing — ソフトウェア成果物間のトレーサビリティ記録</t>
        </is>
      </c>
      <c r="I80" s="4" t="inlineStr">
        <is>
          <t>CORE</t>
        </is>
      </c>
      <c r="J80" s="4" t="inlineStr">
        <is>
          <t>原則適用。案件スコープ・成果物・規制・リスク上非該当の場合はN/A根拠を記録。</t>
        </is>
      </c>
      <c r="K80" s="4" t="inlineStr">
        <is>
          <t>SRC-SWEBOK-V4A</t>
        </is>
      </c>
      <c r="L80" s="4" t="inlineStr"/>
      <c r="M80" s="4" t="n"/>
      <c r="N80" s="4" t="n"/>
      <c r="O80" s="4" t="n"/>
      <c r="P80" s="4" t="n"/>
      <c r="Q80" s="4" t="n"/>
      <c r="R80" s="4" t="n"/>
      <c r="S80" s="4" t="n"/>
      <c r="T80" s="4" t="n"/>
      <c r="U80" s="4" t="n"/>
      <c r="V80" s="4" t="n"/>
      <c r="W80" s="4" t="n"/>
    </row>
    <row r="81">
      <c r="A81" s="5" t="inlineStr">
        <is>
          <t>QUA-110</t>
        </is>
      </c>
      <c r="B81" s="5" t="inlineStr">
        <is>
          <t>SWEBOK</t>
        </is>
      </c>
      <c r="C81" s="4" t="inlineStr">
        <is>
          <t>11. 欠陥分析・是正/予防処置(Defect Characterization / CAPA)</t>
        </is>
      </c>
      <c r="D81" s="8" t="inlineStr">
        <is>
          <t>Critical</t>
        </is>
      </c>
      <c r="E81" s="4" t="inlineStr">
        <is>
          <t>欠陥の分類法(taxonomy)が定義・適用されているか</t>
        </is>
      </c>
      <c r="F81" s="4" t="inlineStr">
        <is>
          <t>欠陥記録に分類体系(混入工程、種別、原因区分等)が定義され、記録された欠陥に分類が付与されている</t>
        </is>
      </c>
      <c r="G81" s="4" t="inlineStr">
        <is>
          <t>分類のない欠陥件数だけでは根本原因の特定も予防もできないとSWEBOKは明言する。分類法(taxonomy)の適用で欠陥データを改善に使える形にする。</t>
        </is>
      </c>
      <c r="H81" s="4" t="inlineStr">
        <is>
          <t>swebok-v4a.pdf ch12 Software Quality &gt; 2.4.1 Defect Characterization(meaningful defect classification taxonomy)</t>
        </is>
      </c>
      <c r="I81" s="4" t="inlineStr">
        <is>
          <t>CORE</t>
        </is>
      </c>
      <c r="J81" s="4" t="inlineStr">
        <is>
          <t>原則適用。案件スコープ・成果物・規制・リスク上非該当の場合はN/A根拠を記録。</t>
        </is>
      </c>
      <c r="K81" s="4" t="inlineStr">
        <is>
          <t>SRC-SWEBOK-V4A</t>
        </is>
      </c>
      <c r="L81" s="4" t="inlineStr"/>
      <c r="M81" s="4" t="n"/>
      <c r="N81" s="4" t="n"/>
      <c r="O81" s="4" t="n"/>
      <c r="P81" s="4" t="n"/>
      <c r="Q81" s="4" t="n"/>
      <c r="R81" s="4" t="n"/>
      <c r="S81" s="4" t="n"/>
      <c r="T81" s="4" t="n"/>
      <c r="U81" s="4" t="n"/>
      <c r="V81" s="4" t="n"/>
      <c r="W81" s="4" t="n"/>
    </row>
    <row r="82">
      <c r="A82" s="5" t="inlineStr">
        <is>
          <t>QUA-111</t>
        </is>
      </c>
      <c r="B82" s="5" t="inlineStr">
        <is>
          <t>SWEBOK</t>
        </is>
      </c>
      <c r="C82" s="4" t="inlineStr">
        <is>
          <t>11. 欠陥分析・是正/予防処置(Defect Characterization / CAPA)</t>
        </is>
      </c>
      <c r="D82" s="8" t="inlineStr">
        <is>
          <t>Critical</t>
        </is>
      </c>
      <c r="E82" s="4" t="inlineStr">
        <is>
          <t>是正処置と予防処置が区別されているか</t>
        </is>
      </c>
      <c r="F82" s="4" t="inlineStr">
        <is>
          <t>発生した問題への対処(是正)と、再発・類似発生の防止策(予防)が別項目として記録され、それぞれに担当と期限がある</t>
        </is>
      </c>
      <c r="G82" s="4" t="inlineStr">
        <is>
          <t>目前の問題への対処(是正)だけで再発防止策(予防)を別管理しないと、同種の欠陥が将来のプロジェクトで再発し続ける。QMS改善による再発防止がCAPAの目的である。</t>
        </is>
      </c>
      <c r="H82" s="4" t="inlineStr">
        <is>
          <t>swebok-v4a.pdf ch12 Software Quality &gt; 2.4 Perform Corrective and Preventive Actions(是正処置の文書化と再発防止のためのQMS改善)</t>
        </is>
      </c>
      <c r="I82" s="4" t="inlineStr">
        <is>
          <t>CORE</t>
        </is>
      </c>
      <c r="J82" s="4" t="inlineStr">
        <is>
          <t>原則適用。案件スコープ・成果物・規制・リスク上非該当の場合はN/A根拠を記録。</t>
        </is>
      </c>
      <c r="K82" s="4" t="inlineStr">
        <is>
          <t>SRC-SWEBOK-V4A</t>
        </is>
      </c>
      <c r="L82" s="4" t="inlineStr"/>
      <c r="M82" s="4" t="n"/>
      <c r="N82" s="4" t="n"/>
      <c r="O82" s="4" t="n"/>
      <c r="P82" s="4" t="n"/>
      <c r="Q82" s="4" t="n"/>
      <c r="R82" s="4" t="n"/>
      <c r="S82" s="4" t="n"/>
      <c r="T82" s="4" t="n"/>
      <c r="U82" s="4" t="n"/>
      <c r="V82" s="4" t="n"/>
      <c r="W82" s="4" t="n"/>
    </row>
    <row r="83">
      <c r="A83" s="5" t="inlineStr">
        <is>
          <t>QUA-112</t>
        </is>
      </c>
      <c r="B83" s="5" t="inlineStr">
        <is>
          <t>SWEBOK</t>
        </is>
      </c>
      <c r="C83" s="4" t="inlineStr">
        <is>
          <t>11. 欠陥分析・是正/予防処置(Defect Characterization / CAPA)</t>
        </is>
      </c>
      <c r="D83" s="9" t="inlineStr">
        <is>
          <t>High</t>
        </is>
      </c>
      <c r="E83" s="4" t="inlineStr">
        <is>
          <t>RCA(根本原因分析)が実施されているか</t>
        </is>
      </c>
      <c r="F83" s="4" t="inlineStr">
        <is>
          <t>重要度の高い欠陥(基準を定義した上で)に対し、根本原因の分析結果と、プロセス・技法・ツールへの改善反映が記録されている</t>
        </is>
      </c>
      <c r="G83" s="4" t="inlineStr">
        <is>
          <t>症状の修正だけでは同じ原因から欠陥が生まれ続ける。重要欠陥へのRCAとプロセス・技法・ツールへの反映が、欠陥の発生源そのものを断つ唯一の手段である。</t>
        </is>
      </c>
      <c r="H83" s="4" t="inlineStr">
        <is>
          <t>swebok-v4a.pdf ch12 Software Quality &gt; 2.4.1 Defect Characterization(RCA: 根本原因を特定し測定技法でプロセスを改善)</t>
        </is>
      </c>
      <c r="I83" s="4" t="inlineStr">
        <is>
          <t>CORE</t>
        </is>
      </c>
      <c r="J83" s="4" t="inlineStr">
        <is>
          <t>原則適用。案件スコープ・成果物・規制・リスク上非該当の場合はN/A根拠を記録。</t>
        </is>
      </c>
      <c r="K83" s="4" t="inlineStr">
        <is>
          <t>SRC-SWEBOK-V4A</t>
        </is>
      </c>
      <c r="L83" s="4" t="inlineStr"/>
      <c r="M83" s="4" t="n"/>
      <c r="N83" s="4" t="n"/>
      <c r="O83" s="4" t="n"/>
      <c r="P83" s="4" t="n"/>
      <c r="Q83" s="4" t="n"/>
      <c r="R83" s="4" t="n"/>
      <c r="S83" s="4" t="n"/>
      <c r="T83" s="4" t="n"/>
      <c r="U83" s="4" t="n"/>
      <c r="V83" s="4" t="n"/>
      <c r="W83" s="4" t="n"/>
    </row>
    <row r="84">
      <c r="A84" s="5" t="inlineStr">
        <is>
          <t>QUA-113</t>
        </is>
      </c>
      <c r="B84" s="5" t="inlineStr">
        <is>
          <t>SWEBOK</t>
        </is>
      </c>
      <c r="C84" s="4" t="inlineStr">
        <is>
          <t>11. 欠陥分析・是正/予防処置(Defect Characterization / CAPA)</t>
        </is>
      </c>
      <c r="D84" s="9" t="inlineStr">
        <is>
          <t>High</t>
        </is>
      </c>
      <c r="E84" s="4" t="inlineStr">
        <is>
          <t>処置の有効性確認が定義されているか</t>
        </is>
      </c>
      <c r="F84" s="4" t="inlineStr">
        <is>
          <t>是正・予防処置の実施後に有効性を確認する方法(後続メトリクスの監視、再監査等)と確認結果の記録欄が定義されている</t>
        </is>
      </c>
      <c r="G84" s="4" t="inlineStr">
        <is>
          <t>処置の有効性を確認しないと、効果のない対策が「実施済み」でクローズされ、問題が再発してから無効だったと判明する。後続メトリクス監視・再監査で効果を検証する。</t>
        </is>
      </c>
      <c r="H84" s="4" t="inlineStr">
        <is>
          <t>swebok-v4a.pdf ch12 Software Quality &gt; 2.4(是正処置の進捗を監視し関係者に報告する独立組織)+ 実務補完(CAPAの有効性確認)</t>
        </is>
      </c>
      <c r="I84" s="4" t="inlineStr">
        <is>
          <t>CORE</t>
        </is>
      </c>
      <c r="J84" s="4" t="inlineStr">
        <is>
          <t>原則適用。案件スコープ・成果物・規制・リスク上非該当の場合はN/A根拠を記録。</t>
        </is>
      </c>
      <c r="K84" s="4" t="inlineStr">
        <is>
          <t>SRC-SWEBOK-V4A;SRC-PRACTICE</t>
        </is>
      </c>
      <c r="L84" s="4" t="inlineStr"/>
      <c r="M84" s="4" t="n"/>
      <c r="N84" s="4" t="n"/>
      <c r="O84" s="4" t="n"/>
      <c r="P84" s="4" t="n"/>
      <c r="Q84" s="4" t="n"/>
      <c r="R84" s="4" t="n"/>
      <c r="S84" s="4" t="n"/>
      <c r="T84" s="4" t="n"/>
      <c r="U84" s="4" t="n"/>
      <c r="V84" s="4" t="n"/>
      <c r="W84" s="4" t="n"/>
    </row>
    <row r="85">
      <c r="A85" s="5" t="inlineStr">
        <is>
          <t>QUA-114</t>
        </is>
      </c>
      <c r="B85" s="5" t="inlineStr">
        <is>
          <t>SWEBOK</t>
        </is>
      </c>
      <c r="C85" s="4" t="inlineStr">
        <is>
          <t>11. 欠陥分析・是正/予防処置(Defect Characterization / CAPA)</t>
        </is>
      </c>
      <c r="D85" s="10" t="inlineStr">
        <is>
          <t>Medium</t>
        </is>
      </c>
      <c r="E85" s="4" t="inlineStr">
        <is>
          <t>パレート分析等で多発カテゴリが特定されているか</t>
        </is>
      </c>
      <c r="F85" s="4" t="inlineStr">
        <is>
          <t>欠陥分類の集計結果から改善対象カテゴリを選定した記録(パレート分析等)がある</t>
        </is>
      </c>
      <c r="G85" s="4" t="inlineStr">
        <is>
          <t>改善リソースは有限であり、パレート分析等で最頻の欠陥カテゴリを特定しないと、影響の小さい欠陥種別に工数を浪費し全体の品質改善が進まない。</t>
        </is>
      </c>
      <c r="H85" s="4" t="inlineStr">
        <is>
          <t>swebok-v4a.pdf ch12 Software Quality &gt; 2.3.1(Pareto analysis)/ 2.4.1(most frequently occurring defect types の把握)</t>
        </is>
      </c>
      <c r="I85" s="4" t="inlineStr">
        <is>
          <t>CORE</t>
        </is>
      </c>
      <c r="J85" s="4" t="inlineStr">
        <is>
          <t>原則適用。案件スコープ・成果物・規制・リスク上非該当の場合はN/A根拠を記録。</t>
        </is>
      </c>
      <c r="K85" s="4" t="inlineStr">
        <is>
          <t>SRC-SWEBOK-V4A</t>
        </is>
      </c>
      <c r="L85" s="4" t="inlineStr"/>
      <c r="M85" s="4" t="n"/>
      <c r="N85" s="4" t="n"/>
      <c r="O85" s="4" t="n"/>
      <c r="P85" s="4" t="n"/>
      <c r="Q85" s="4" t="n"/>
      <c r="R85" s="4" t="n"/>
      <c r="S85" s="4" t="n"/>
      <c r="T85" s="4" t="n"/>
      <c r="U85" s="4" t="n"/>
      <c r="V85" s="4" t="n"/>
      <c r="W85" s="4" t="n"/>
    </row>
    <row r="86">
      <c r="A86" s="5" t="inlineStr">
        <is>
          <t>QUA-115</t>
        </is>
      </c>
      <c r="B86" s="5" t="inlineStr">
        <is>
          <t>SWEBOK</t>
        </is>
      </c>
      <c r="C86" s="4" t="inlineStr">
        <is>
          <t>11. 欠陥分析・是正/予防処置(Defect Characterization / CAPA)</t>
        </is>
      </c>
      <c r="D86" s="10" t="inlineStr">
        <is>
          <t>Medium</t>
        </is>
      </c>
      <c r="E86" s="4" t="inlineStr">
        <is>
          <t>品質目標未達時のQMS改善への反映経路があるか</t>
        </is>
      </c>
      <c r="F86" s="4" t="inlineStr">
        <is>
          <t>是正処置の結果が品質計画・QMS・チェックリストの改訂につながる手順が定義されている</t>
        </is>
      </c>
      <c r="G86" s="4" t="inlineStr">
        <is>
          <t>是正処置の結果が品質計画・QMS・チェックリストの改訂に反映されないと、学習が個別プロジェクトに閉じ、組織として同じ失敗を繰り返す。</t>
        </is>
      </c>
      <c r="H86" s="4" t="inlineStr">
        <is>
          <t>swebok-v4a.pdf ch12 Software Quality &gt; 2.4(QMS be improved to prevent problem from reoccurring in future software projects)</t>
        </is>
      </c>
      <c r="I86" s="4" t="inlineStr">
        <is>
          <t>CORE</t>
        </is>
      </c>
      <c r="J86" s="4" t="inlineStr">
        <is>
          <t>原則適用。案件スコープ・成果物・規制・リスク上非該当の場合はN/A根拠を記録。</t>
        </is>
      </c>
      <c r="K86" s="4" t="inlineStr">
        <is>
          <t>SRC-SWEBOK-V4A</t>
        </is>
      </c>
      <c r="L86" s="4" t="inlineStr"/>
      <c r="M86" s="4" t="n"/>
      <c r="N86" s="4" t="n"/>
      <c r="O86" s="4" t="n"/>
      <c r="P86" s="4" t="n"/>
      <c r="Q86" s="4" t="n"/>
      <c r="R86" s="4" t="n"/>
      <c r="S86" s="4" t="n"/>
      <c r="T86" s="4" t="n"/>
      <c r="U86" s="4" t="n"/>
      <c r="V86" s="4" t="n"/>
      <c r="W86" s="4" t="n"/>
    </row>
    <row r="87">
      <c r="A87" s="5" t="inlineStr">
        <is>
          <t>QUA-116</t>
        </is>
      </c>
      <c r="B87" s="5" t="inlineStr">
        <is>
          <t>SWEBOK</t>
        </is>
      </c>
      <c r="C87" s="4" t="inlineStr">
        <is>
          <t>11. 欠陥分析・是正/予防処置(Defect Characterization / CAPA)</t>
        </is>
      </c>
      <c r="D87" s="11" t="inlineStr">
        <is>
          <t>Low</t>
        </is>
      </c>
      <c r="E87" s="4" t="inlineStr">
        <is>
          <t>継続的改善の枠組みが特定されているか</t>
        </is>
      </c>
      <c r="F87" s="4" t="inlineStr">
        <is>
          <t>PDCA、SPI、Six Sigma、Lean、Kaizen 等のうち採用する改善アプローチが明記されている</t>
        </is>
      </c>
      <c r="G87" s="4" t="inlineStr">
        <is>
          <t>改善アプローチ(PDCA/SPI/Six Sigma/Lean/Kaizen等)を特定しないと、改善活動が単発の思いつきになり、継続的改善のサイクルとして計画・評価できない。</t>
        </is>
      </c>
      <c r="H87" s="4" t="inlineStr">
        <is>
          <t>swebok-v4a.pdf ch12 Software Quality &gt; 2.1 Software Quality Improvement(SPI, Six Sigma, Lean, Kaizen, PDCA, QFD)</t>
        </is>
      </c>
      <c r="I87" s="4" t="inlineStr">
        <is>
          <t>CORE</t>
        </is>
      </c>
      <c r="J87" s="4" t="inlineStr">
        <is>
          <t>原則適用。案件スコープ・成果物・規制・リスク上非該当の場合はN/A根拠を記録。</t>
        </is>
      </c>
      <c r="K87" s="4" t="inlineStr">
        <is>
          <t>SRC-SWEBOK-V4A</t>
        </is>
      </c>
      <c r="L87" s="4" t="inlineStr"/>
      <c r="M87" s="4" t="n"/>
      <c r="N87" s="4" t="n"/>
      <c r="O87" s="4" t="n"/>
      <c r="P87" s="4" t="n"/>
      <c r="Q87" s="4" t="n"/>
      <c r="R87" s="4" t="n"/>
      <c r="S87" s="4" t="n"/>
      <c r="T87" s="4" t="n"/>
      <c r="U87" s="4" t="n"/>
      <c r="V87" s="4" t="n"/>
      <c r="W87" s="4" t="n"/>
    </row>
    <row r="88">
      <c r="A88" s="5" t="inlineStr">
        <is>
          <t>QUA-120</t>
        </is>
      </c>
      <c r="B88" s="5" t="inlineStr">
        <is>
          <t>SWEBOK</t>
        </is>
      </c>
      <c r="C88" s="4" t="inlineStr">
        <is>
          <t>12. 品質ツール(Software Quality Tools)</t>
        </is>
      </c>
      <c r="D88" s="9" t="inlineStr">
        <is>
          <t>High</t>
        </is>
      </c>
      <c r="E88" s="4" t="inlineStr">
        <is>
          <t>問題追跡ツールと運用ルールが定義されているか</t>
        </is>
      </c>
      <c r="F88" s="4" t="inlineStr">
        <is>
          <t>欠陥・問題を記録するツールが特定され、起票・分類・状態遷移・クローズのルールが定義されている</t>
        </is>
      </c>
      <c r="G88" s="4" t="inlineStr">
        <is>
          <t>問題追跡ツールと起票〜クローズのルールがないと、テストやレビューで発見された異常の分析・処置・解決状況が追跡できず、未解決問題が把握不能のままリリースされる。</t>
        </is>
      </c>
      <c r="H88" s="4" t="inlineStr">
        <is>
          <t>swebok-v4a.pdf ch12 Software Quality &gt; 4. Software Quality Tools(problem tracking tools: 異常の記録・分析・処置・解決追跡)</t>
        </is>
      </c>
      <c r="I88" s="4" t="inlineStr">
        <is>
          <t>CORE</t>
        </is>
      </c>
      <c r="J88" s="4" t="inlineStr">
        <is>
          <t>原則適用。案件スコープ・成果物・規制・リスク上非該当の場合はN/A根拠を記録。</t>
        </is>
      </c>
      <c r="K88" s="4" t="inlineStr">
        <is>
          <t>SRC-SWEBOK-V4A</t>
        </is>
      </c>
      <c r="L88" s="4" t="inlineStr"/>
      <c r="M88" s="4" t="n"/>
      <c r="N88" s="4" t="n"/>
      <c r="O88" s="4" t="n"/>
      <c r="P88" s="4" t="n"/>
      <c r="Q88" s="4" t="n"/>
      <c r="R88" s="4" t="n"/>
      <c r="S88" s="4" t="n"/>
      <c r="T88" s="4" t="n"/>
      <c r="U88" s="4" t="n"/>
      <c r="V88" s="4" t="n"/>
      <c r="W88" s="4" t="n"/>
    </row>
    <row r="89">
      <c r="A89" s="5" t="inlineStr">
        <is>
          <t>QUA-121</t>
        </is>
      </c>
      <c r="B89" s="5" t="inlineStr">
        <is>
          <t>SWEBOK</t>
        </is>
      </c>
      <c r="C89" s="4" t="inlineStr">
        <is>
          <t>12. 品質ツール(Software Quality Tools)</t>
        </is>
      </c>
      <c r="D89" s="9" t="inlineStr">
        <is>
          <t>High</t>
        </is>
      </c>
      <c r="E89" s="4" t="inlineStr">
        <is>
          <t>記載されたツールが実在するか</t>
        </is>
      </c>
      <c r="F89" s="4" t="inlineStr">
        <is>
          <t>成果物中のツール名がすべて実在し、用途(静的解析、CI/CD、測定可視化等)と対応付けられている</t>
        </is>
      </c>
      <c r="G89" s="4" t="inlineStr">
        <is>
          <t>架空・廃止済みツール名の記載は計画の実行可能性を損ない、レビューアや監査人の成果物全体への信頼を失わせる。実在確認と用途の対応付けで計画の実効性を担保する。</t>
        </is>
      </c>
      <c r="H89" s="4" t="inlineStr">
        <is>
          <t>swebok-v4a.pdf ch12 Software Quality &gt; 4. Software Quality Tools(静的解析・問題追跡・データ可視化等のツールカテゴリ)</t>
        </is>
      </c>
      <c r="I89" s="4" t="inlineStr">
        <is>
          <t>CORE</t>
        </is>
      </c>
      <c r="J89" s="4" t="inlineStr">
        <is>
          <t>原則適用。案件スコープ・成果物・規制・リスク上非該当の場合はN/A根拠を記録。</t>
        </is>
      </c>
      <c r="K89" s="4" t="inlineStr">
        <is>
          <t>SRC-SWEBOK-V4A</t>
        </is>
      </c>
      <c r="L89" s="4" t="inlineStr"/>
      <c r="M89" s="4" t="n"/>
      <c r="N89" s="4" t="n"/>
      <c r="O89" s="4" t="n"/>
      <c r="P89" s="4" t="n"/>
      <c r="Q89" s="4" t="n"/>
      <c r="R89" s="4" t="n"/>
      <c r="S89" s="4" t="n"/>
      <c r="T89" s="4" t="n"/>
      <c r="U89" s="4" t="n"/>
      <c r="V89" s="4" t="n"/>
      <c r="W89" s="4" t="n"/>
    </row>
    <row r="90">
      <c r="A90" s="5" t="inlineStr">
        <is>
          <t>QUA-122</t>
        </is>
      </c>
      <c r="B90" s="5" t="inlineStr">
        <is>
          <t>SWEBOK</t>
        </is>
      </c>
      <c r="C90" s="4" t="inlineStr">
        <is>
          <t>12. 品質ツール(Software Quality Tools)</t>
        </is>
      </c>
      <c r="D90" s="10" t="inlineStr">
        <is>
          <t>Medium</t>
        </is>
      </c>
      <c r="E90" s="4" t="inlineStr">
        <is>
          <t>コードレビュー・CI/CDの品質活動への組込みが定義されているか</t>
        </is>
      </c>
      <c r="F90" s="4" t="inlineStr">
        <is>
          <t>バージョン管理・プルリクエストレビュー・CI/CD 上の自動チェック(静的解析、自動テスト)が品質ゲートまたはSQA活動と対応付けられている</t>
        </is>
      </c>
      <c r="G90" s="4" t="inlineStr">
        <is>
          <t>バージョン管理・PRレビュー・CI/CD自動チェックは品質への重要な貢献要素だが、SQA活動・ゲートと対応付けないと「動いているが品質保証としては誰も見ていない」状態になる。</t>
        </is>
      </c>
      <c r="H90" s="4" t="inlineStr">
        <is>
          <t>swebok-v4a.pdf ch12 Software Quality &gt; 4. Software Quality Tools(Git・pull request・CI/CD・コード品質評価・自動テスト)/ 3.4.5(pull request によるコードレビュー)</t>
        </is>
      </c>
      <c r="I90" s="4" t="inlineStr">
        <is>
          <t>CORE</t>
        </is>
      </c>
      <c r="J90" s="4" t="inlineStr">
        <is>
          <t>原則適用。案件スコープ・成果物・規制・リスク上非該当の場合はN/A根拠を記録。</t>
        </is>
      </c>
      <c r="K90" s="4" t="inlineStr">
        <is>
          <t>SRC-SWEBOK-V4A</t>
        </is>
      </c>
      <c r="L90" s="4" t="inlineStr"/>
      <c r="M90" s="4" t="n"/>
      <c r="N90" s="4" t="n"/>
      <c r="O90" s="4" t="n"/>
      <c r="P90" s="4" t="n"/>
      <c r="Q90" s="4" t="n"/>
      <c r="R90" s="4" t="n"/>
      <c r="S90" s="4" t="n"/>
      <c r="T90" s="4" t="n"/>
      <c r="U90" s="4" t="n"/>
      <c r="V90" s="4" t="n"/>
      <c r="W90" s="4" t="n"/>
    </row>
    <row r="91">
      <c r="A91" s="5" t="inlineStr">
        <is>
          <t>QUA-123</t>
        </is>
      </c>
      <c r="B91" s="5" t="inlineStr">
        <is>
          <t>SWEBOK</t>
        </is>
      </c>
      <c r="C91" s="4" t="inlineStr">
        <is>
          <t>12. 品質ツール(Software Quality Tools)</t>
        </is>
      </c>
      <c r="D91" s="10" t="inlineStr">
        <is>
          <t>Medium</t>
        </is>
      </c>
      <c r="E91" s="4" t="inlineStr">
        <is>
          <t>トレーサビリティを支えるフォーム類が定義されているか</t>
        </is>
      </c>
      <c r="F91" s="4" t="inlineStr">
        <is>
          <t>要求トレーサビリティマトリクスやレビューチェックリスト等、使用するフォーム・チェックリストの様式と保管場所が定義されている</t>
        </is>
      </c>
      <c r="G91" s="4" t="inlineStr">
        <is>
          <t>要求トレーサビリティマトリクスやレビューチェックリストのような単純なフォーム類も品質を支えるツールであり、様式・保管場所が未定義だと運用が属人化し証跡が散逸する。</t>
        </is>
      </c>
      <c r="H91" s="4" t="inlineStr">
        <is>
          <t>swebok-v4a.pdf ch12 Software Quality &gt; 4. Software Quality Tools(forms and checklists: requirements traceability matrix, code review checklist)</t>
        </is>
      </c>
      <c r="I91" s="4" t="inlineStr">
        <is>
          <t>CORE</t>
        </is>
      </c>
      <c r="J91" s="4" t="inlineStr">
        <is>
          <t>原則適用。案件スコープ・成果物・規制・リスク上非該当の場合はN/A根拠を記録。</t>
        </is>
      </c>
      <c r="K91" s="4" t="inlineStr">
        <is>
          <t>SRC-SWEBOK-V4A</t>
        </is>
      </c>
      <c r="L91" s="4" t="inlineStr"/>
      <c r="M91" s="4" t="n"/>
      <c r="N91" s="4" t="n"/>
      <c r="O91" s="4" t="n"/>
      <c r="P91" s="4" t="n"/>
      <c r="Q91" s="4" t="n"/>
      <c r="R91" s="4" t="n"/>
      <c r="S91" s="4" t="n"/>
      <c r="T91" s="4" t="n"/>
      <c r="U91" s="4" t="n"/>
      <c r="V91" s="4" t="n"/>
      <c r="W91" s="4" t="n"/>
    </row>
    <row r="92">
      <c r="A92" s="5" t="inlineStr">
        <is>
          <t>QUA-124</t>
        </is>
      </c>
      <c r="B92" s="5" t="inlineStr">
        <is>
          <t>SWEBOK</t>
        </is>
      </c>
      <c r="C92" s="4" t="inlineStr">
        <is>
          <t>12. 品質ツール(Software Quality Tools)</t>
        </is>
      </c>
      <c r="D92" s="11" t="inlineStr">
        <is>
          <t>Low</t>
        </is>
      </c>
      <c r="E92" s="4" t="inlineStr">
        <is>
          <t>測定データの可視化手段が定義されているか</t>
        </is>
      </c>
      <c r="F92" s="4" t="inlineStr">
        <is>
          <t>メトリクスをグラフ・チャート・表で可視化する手段(ツールまたは手順)が定義されている</t>
        </is>
      </c>
      <c r="G92" s="4" t="inlineStr">
        <is>
          <t>測定データはグラフ・チャート化されて初めて意思決定者が問題領域に資源を集中できる。可視化手段がないと測定結果が数表のまま活用されない。</t>
        </is>
      </c>
      <c r="H92" s="4" t="inlineStr">
        <is>
          <t>swebok-v4a.pdf ch12 Software Quality &gt; 4.(データ分析・可視化ツール)/ 2.3.1(charts and graphs are visualization aids for decision-makers)</t>
        </is>
      </c>
      <c r="I92" s="4" t="inlineStr">
        <is>
          <t>CORE</t>
        </is>
      </c>
      <c r="J92" s="4" t="inlineStr">
        <is>
          <t>原則適用。案件スコープ・成果物・規制・リスク上非該当の場合はN/A根拠を記録。</t>
        </is>
      </c>
      <c r="K92" s="4" t="inlineStr">
        <is>
          <t>SRC-SWEBOK-V4A;SRC-CIS</t>
        </is>
      </c>
      <c r="L92" s="4" t="inlineStr"/>
      <c r="M92" s="4" t="n"/>
      <c r="N92" s="4" t="n"/>
      <c r="O92" s="4" t="n"/>
      <c r="P92" s="4" t="n"/>
      <c r="Q92" s="4" t="n"/>
      <c r="R92" s="4" t="n"/>
      <c r="S92" s="4" t="n"/>
      <c r="T92" s="4" t="n"/>
      <c r="U92" s="4" t="n"/>
      <c r="V92" s="4" t="n"/>
      <c r="W92" s="4" t="n"/>
    </row>
  </sheetData>
  <autoFilter ref="A1:W92"/>
  <conditionalFormatting sqref="O2:O2000">
    <cfRule type="cellIs" priority="1" operator="equal" dxfId="0">
      <formula>"Fail"</formula>
    </cfRule>
    <cfRule type="cellIs" priority="2" operator="equal" dxfId="1">
      <formula>"Pass"</formula>
    </cfRule>
    <cfRule type="cellIs" priority="4" operator="equal" dxfId="0">
      <formula>"Fail"</formula>
    </cfRule>
    <cfRule type="cellIs" priority="5" operator="equal" dxfId="1">
      <formula>"Pass"</formula>
    </cfRule>
    <cfRule type="cellIs" priority="7" operator="equal" dxfId="0">
      <formula>"Fail"</formula>
    </cfRule>
    <cfRule type="cellIs" priority="8" operator="equal" dxfId="1">
      <formula>"Pass"</formula>
    </cfRule>
    <cfRule type="cellIs" priority="10" operator="equal" dxfId="0">
      <formula>"Fail"</formula>
    </cfRule>
    <cfRule type="cellIs" priority="11" operator="equal" dxfId="1">
      <formula>"Pass"</formula>
    </cfRule>
    <cfRule type="cellIs" priority="13" operator="equal" dxfId="0">
      <formula>"Fail"</formula>
    </cfRule>
    <cfRule type="cellIs" priority="14" operator="equal" dxfId="1">
      <formula>"Pass"</formula>
    </cfRule>
  </conditionalFormatting>
  <conditionalFormatting sqref="N2:N2000">
    <cfRule type="cellIs" priority="3" operator="equal" dxfId="2">
      <formula>"N/A"</formula>
    </cfRule>
    <cfRule type="cellIs" priority="6" operator="equal" dxfId="2">
      <formula>"N/A"</formula>
    </cfRule>
    <cfRule type="cellIs" priority="9" operator="equal" dxfId="2">
      <formula>"N/A"</formula>
    </cfRule>
    <cfRule type="cellIs" priority="12" operator="equal" dxfId="2">
      <formula>"N/A"</formula>
    </cfRule>
    <cfRule type="cellIs" priority="15" operator="equal" dxfId="2">
      <formula>"N/A"</formula>
    </cfRule>
  </conditionalFormatting>
  <dataValidations count="20">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s>
  <pageMargins left="0.75" right="0.75" top="1" bottom="1" header="0.5" footer="0.5"/>
  <pageSetup orientation="landscape" fitToWidth="1"/>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W105"/>
  <sheetViews>
    <sheetView workbookViewId="0">
      <pane xSplit="4" ySplit="1" topLeftCell="E2"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4" customWidth="1" min="1" max="1"/>
    <col width="14" customWidth="1" min="2" max="2"/>
    <col width="28" customWidth="1" min="3" max="3"/>
    <col width="12" customWidth="1" min="4" max="4"/>
    <col width="46" customWidth="1" min="5" max="5"/>
    <col width="52" customWidth="1" min="6" max="6"/>
    <col width="48" customWidth="1" min="7" max="7"/>
    <col width="46" customWidth="1" min="8" max="8"/>
    <col width="18" customWidth="1" min="9" max="9"/>
    <col width="38" customWidth="1" min="10" max="10"/>
    <col width="28" customWidth="1" min="11" max="11"/>
    <col width="25" customWidth="1" min="12" max="12"/>
    <col width="13" customWidth="1" min="13" max="13"/>
    <col width="12" customWidth="1" min="14" max="14"/>
    <col width="12" customWidth="1" min="15" max="15"/>
    <col width="38" customWidth="1" min="16" max="16"/>
    <col width="24" customWidth="1" min="17" max="17"/>
    <col width="30" customWidth="1" min="18" max="18"/>
    <col width="23" customWidth="1" min="19" max="19"/>
    <col width="15" customWidth="1" min="20" max="20"/>
    <col width="18" customWidth="1" min="21" max="21"/>
    <col width="15" customWidth="1" min="22" max="22"/>
    <col width="15" customWidth="1" min="23" max="23"/>
  </cols>
  <sheetData>
    <row r="1">
      <c r="A1" s="3" t="inlineStr">
        <is>
          <t>ID</t>
        </is>
      </c>
      <c r="B1" s="3" t="inlineStr">
        <is>
          <t>区分</t>
        </is>
      </c>
      <c r="C1" s="3" t="inlineStr">
        <is>
          <t>カテゴリ</t>
        </is>
      </c>
      <c r="D1" s="3" t="inlineStr">
        <is>
          <t>基準重要度</t>
        </is>
      </c>
      <c r="E1" s="3" t="inlineStr">
        <is>
          <t>チェック項目</t>
        </is>
      </c>
      <c r="F1" s="3" t="inlineStr">
        <is>
          <t>合格基準</t>
        </is>
      </c>
      <c r="G1" s="3" t="inlineStr">
        <is>
          <t>意図(なぜ確認するか)</t>
        </is>
      </c>
      <c r="H1" s="3" t="inlineStr">
        <is>
          <t>対象ドキュメント(参照箇所)</t>
        </is>
      </c>
      <c r="I1" s="21" t="inlineStr">
        <is>
          <t>適用プロファイル</t>
        </is>
      </c>
      <c r="J1" s="21" t="inlineStr">
        <is>
          <t>適用条件</t>
        </is>
      </c>
      <c r="K1" s="21" t="inlineStr">
        <is>
          <t>出典ID</t>
        </is>
      </c>
      <c r="L1" s="21" t="inlineStr">
        <is>
          <t>重複統制グループ</t>
        </is>
      </c>
      <c r="M1" s="21" t="inlineStr">
        <is>
          <t>案件重要度</t>
        </is>
      </c>
      <c r="N1" s="21" t="inlineStr">
        <is>
          <t>適用判定</t>
        </is>
      </c>
      <c r="O1" s="21" t="inlineStr">
        <is>
          <t>判定</t>
        </is>
      </c>
      <c r="P1" s="21" t="inlineStr">
        <is>
          <t>証跡・参照箇所</t>
        </is>
      </c>
      <c r="Q1" s="21" t="inlineStr">
        <is>
          <t>指摘・Issue ID</t>
        </is>
      </c>
      <c r="R1" s="21" t="inlineStr">
        <is>
          <t>対応方針</t>
        </is>
      </c>
      <c r="S1" s="21" t="inlineStr">
        <is>
          <t>例外・リスク受容承認者</t>
        </is>
      </c>
      <c r="T1" s="21" t="inlineStr">
        <is>
          <t>是正期限</t>
        </is>
      </c>
      <c r="U1" s="21" t="inlineStr">
        <is>
          <t>レビュアー</t>
        </is>
      </c>
      <c r="V1" s="21" t="inlineStr">
        <is>
          <t>レビュー日</t>
        </is>
      </c>
      <c r="W1" s="21" t="inlineStr">
        <is>
          <t>再確認結果</t>
        </is>
      </c>
    </row>
    <row r="2">
      <c r="A2" s="5" t="inlineStr">
        <is>
          <t>SEC-001</t>
        </is>
      </c>
      <c r="B2" s="5" t="inlineStr">
        <is>
          <t>SWEBOK</t>
        </is>
      </c>
      <c r="C2" s="4" t="inlineStr">
        <is>
          <t>1. 脅威モデリング(SEC-001〜)</t>
        </is>
      </c>
      <c r="D2" s="8" t="inlineStr">
        <is>
          <t>Critical</t>
        </is>
      </c>
      <c r="E2" s="4" t="inlineStr">
        <is>
          <t>対象システムのスコープが定義されている</t>
        </is>
      </c>
      <c r="F2" s="4" t="inlineStr">
        <is>
          <t>脅威モデルに対象バージョン・対象範囲・除外範囲が明記されている</t>
        </is>
      </c>
      <c r="G2" s="4" t="inlineStr">
        <is>
          <t>スコープが曖昧だと分析対象外の箇所に脅威が残置され、後工程で「そこは見ていなかった」という致命的な検討漏れが発覚する。対象と除外を先に固定することで分析の完全性を判定可能にする。</t>
        </is>
      </c>
      <c r="H2" s="4" t="inlineStr">
        <is>
          <t>swebok-v4a.pdf ch13 Software Security &gt; 4.2 Security Design(脅威モデリング)</t>
        </is>
      </c>
      <c r="I2" s="4" t="inlineStr">
        <is>
          <t>CORE</t>
        </is>
      </c>
      <c r="J2" s="4" t="inlineStr">
        <is>
          <t>原則適用。案件スコープ・成果物・規制・リスク上非該当の場合はN/A根拠を記録。</t>
        </is>
      </c>
      <c r="K2" s="4" t="inlineStr">
        <is>
          <t>SRC-SWEBOK-V4A</t>
        </is>
      </c>
      <c r="L2" s="4" t="inlineStr"/>
      <c r="M2" s="4" t="n"/>
      <c r="N2" s="4" t="n"/>
      <c r="O2" s="4" t="n"/>
      <c r="P2" s="4" t="n"/>
      <c r="Q2" s="4" t="n"/>
      <c r="R2" s="4" t="n"/>
      <c r="S2" s="4" t="n"/>
      <c r="T2" s="4" t="n"/>
      <c r="U2" s="4" t="n"/>
      <c r="V2" s="4" t="n"/>
      <c r="W2" s="4" t="n"/>
    </row>
    <row r="3">
      <c r="A3" s="5" t="inlineStr">
        <is>
          <t>SEC-002</t>
        </is>
      </c>
      <c r="B3" s="5" t="inlineStr">
        <is>
          <t>SWEBOK</t>
        </is>
      </c>
      <c r="C3" s="4" t="inlineStr">
        <is>
          <t>1. 脅威モデリング(SEC-001〜)</t>
        </is>
      </c>
      <c r="D3" s="8" t="inlineStr">
        <is>
          <t>Critical</t>
        </is>
      </c>
      <c r="E3" s="4" t="inlineStr">
        <is>
          <t>保護対象資産が列挙されている</t>
        </is>
      </c>
      <c r="F3" s="4" t="inlineStr">
        <is>
          <t>資産一覧に資産名・保存場所・データフロー上の経路が記載され、システムが扱う個人情報・認証情報・機微データが漏れなく含まれる</t>
        </is>
      </c>
      <c r="G3" s="4" t="inlineStr">
        <is>
          <t>守るべき資産が列挙されていなければ脅威分析も対策も的外れになり、個人情報や認証情報の漏えいという最も重大な事故に直結する。資産の所在とデータフロー経路の把握が全セキュリティ活動の起点となる。</t>
        </is>
      </c>
      <c r="H3" s="4" t="inlineStr">
        <is>
          <t>swebok-v4a.pdf ch13 Software Security &gt; 1.1 Software Security / 4.2 Security Design</t>
        </is>
      </c>
      <c r="I3" s="4" t="inlineStr">
        <is>
          <t>CORE</t>
        </is>
      </c>
      <c r="J3" s="4" t="inlineStr">
        <is>
          <t>原則適用。案件スコープ・成果物・規制・リスク上非該当の場合はN/A根拠を記録。</t>
        </is>
      </c>
      <c r="K3" s="4" t="inlineStr">
        <is>
          <t>SRC-SWEBOK-V4A</t>
        </is>
      </c>
      <c r="L3" s="4" t="inlineStr"/>
      <c r="M3" s="4" t="n"/>
      <c r="N3" s="4" t="n"/>
      <c r="O3" s="4" t="n"/>
      <c r="P3" s="4" t="n"/>
      <c r="Q3" s="4" t="n"/>
      <c r="R3" s="4" t="n"/>
      <c r="S3" s="4" t="n"/>
      <c r="T3" s="4" t="n"/>
      <c r="U3" s="4" t="n"/>
      <c r="V3" s="4" t="n"/>
      <c r="W3" s="4" t="n"/>
    </row>
    <row r="4">
      <c r="A4" s="5" t="inlineStr">
        <is>
          <t>SEC-003</t>
        </is>
      </c>
      <c r="B4" s="5" t="inlineStr">
        <is>
          <t>SWEBOK</t>
        </is>
      </c>
      <c r="C4" s="4" t="inlineStr">
        <is>
          <t>1. 脅威モデリング(SEC-001〜)</t>
        </is>
      </c>
      <c r="D4" s="8" t="inlineStr">
        <is>
          <t>Critical</t>
        </is>
      </c>
      <c r="E4" s="4" t="inlineStr">
        <is>
          <t>資産ごとに CIA 要求レベルが定義されている</t>
        </is>
      </c>
      <c r="F4" s="4" t="inlineStr">
        <is>
          <t>全資産に機密性・完全性・可用性の要求レベル(High/Medium/Low 等)と根拠が付されている</t>
        </is>
      </c>
      <c r="G4" s="4" t="inlineStr">
        <is>
          <t>CIA(機密性・完全性・可用性)の要求レベルがないと対策の強度を決められず、過剰投資か防御不足のどちらかに倒れる。資産ごとの要求レベルが暗号化やアクセス制御の設計判断の根拠になる。</t>
        </is>
      </c>
      <c r="H4" s="4" t="inlineStr">
        <is>
          <t>swebok-v4a.pdf ch13 Software Security &gt; 1.2 Information Security(CIAの定義とライフサイクルを通じた維持)</t>
        </is>
      </c>
      <c r="I4" s="4" t="inlineStr">
        <is>
          <t>CORE</t>
        </is>
      </c>
      <c r="J4" s="4" t="inlineStr">
        <is>
          <t>原則適用。案件スコープ・成果物・規制・リスク上非該当の場合はN/A根拠を記録。</t>
        </is>
      </c>
      <c r="K4" s="4" t="inlineStr">
        <is>
          <t>SRC-SWEBOK-V4A</t>
        </is>
      </c>
      <c r="L4" s="4" t="inlineStr"/>
      <c r="M4" s="4" t="n"/>
      <c r="N4" s="4" t="n"/>
      <c r="O4" s="4" t="n"/>
      <c r="P4" s="4" t="n"/>
      <c r="Q4" s="4" t="n"/>
      <c r="R4" s="4" t="n"/>
      <c r="S4" s="4" t="n"/>
      <c r="T4" s="4" t="n"/>
      <c r="U4" s="4" t="n"/>
      <c r="V4" s="4" t="n"/>
      <c r="W4" s="4" t="n"/>
    </row>
    <row r="5">
      <c r="A5" s="5" t="inlineStr">
        <is>
          <t>SEC-004</t>
        </is>
      </c>
      <c r="B5" s="5" t="inlineStr">
        <is>
          <t>SWEBOK</t>
        </is>
      </c>
      <c r="C5" s="4" t="inlineStr">
        <is>
          <t>1. 脅威モデリング(SEC-001〜)</t>
        </is>
      </c>
      <c r="D5" s="8" t="inlineStr">
        <is>
          <t>Critical</t>
        </is>
      </c>
      <c r="E5" s="4" t="inlineStr">
        <is>
          <t>データフロー図に信頼境界が明示されている</t>
        </is>
      </c>
      <c r="F5" s="4" t="inlineStr">
        <is>
          <t>DFD 上に外部エンティティ・プロセス・データストア・データフローが図示され、信頼境界が線で示されている</t>
        </is>
      </c>
      <c r="G5" s="4" t="inlineStr">
        <is>
          <t>信頼境界が図示されていないと「どこで検証・認証すべきか」の判断が個人の勘に依存し、境界越えの未検証入力が見逃される。DFDと信頼境界は脅威列挙の網羅性を担保する土台である。</t>
        </is>
      </c>
      <c r="H5" s="4" t="inlineStr">
        <is>
          <t>swebok-v4a.pdf ch13 Software Security &gt; 4.2 Security Design(脅威モデリング)</t>
        </is>
      </c>
      <c r="I5" s="4" t="inlineStr">
        <is>
          <t>CORE</t>
        </is>
      </c>
      <c r="J5" s="4" t="inlineStr">
        <is>
          <t>原則適用。案件スコープ・成果物・規制・リスク上非該当の場合はN/A根拠を記録。</t>
        </is>
      </c>
      <c r="K5" s="4" t="inlineStr">
        <is>
          <t>SRC-SWEBOK-V4A</t>
        </is>
      </c>
      <c r="L5" s="4" t="inlineStr"/>
      <c r="M5" s="4" t="n"/>
      <c r="N5" s="4" t="n"/>
      <c r="O5" s="4" t="n"/>
      <c r="P5" s="4" t="n"/>
      <c r="Q5" s="4" t="n"/>
      <c r="R5" s="4" t="n"/>
      <c r="S5" s="4" t="n"/>
      <c r="T5" s="4" t="n"/>
      <c r="U5" s="4" t="n"/>
      <c r="V5" s="4" t="n"/>
      <c r="W5" s="4" t="n"/>
    </row>
    <row r="6">
      <c r="A6" s="5" t="inlineStr">
        <is>
          <t>SEC-005</t>
        </is>
      </c>
      <c r="B6" s="5" t="inlineStr">
        <is>
          <t>SWEBOK</t>
        </is>
      </c>
      <c r="C6" s="4" t="inlineStr">
        <is>
          <t>1. 脅威モデリング(SEC-001〜)</t>
        </is>
      </c>
      <c r="D6" s="8" t="inlineStr">
        <is>
          <t>Critical</t>
        </is>
      </c>
      <c r="E6" s="4" t="inlineStr">
        <is>
          <t>信頼境界を越える各データフローについて、脅威の有無と分析根拠が記録されている</t>
        </is>
      </c>
      <c r="F6" s="4" t="inlineStr">
        <is>
          <t>境界を越える各フローにSTRIDE等による脅威が対応付くか、脅威なしの場合は資産・攻撃面・既存統制に基づく非該当理由が記録されている</t>
        </is>
      </c>
      <c r="G6" s="4" t="inlineStr">
        <is>
          <t>機械的に脅威を1件以上作るのではなく、全フローを分析した証跡と、該当なし判断の説明可能性を確保する。</t>
        </is>
      </c>
      <c r="H6" s="4" t="inlineStr">
        <is>
          <t>swebok-v4a.pdf ch13 Software Security &gt; 4.2 Security Design(脅威モデリング)</t>
        </is>
      </c>
      <c r="I6" s="4" t="inlineStr">
        <is>
          <t>CORE</t>
        </is>
      </c>
      <c r="J6" s="4" t="inlineStr">
        <is>
          <t>原則適用。案件スコープ・成果物・規制・リスク上非該当の場合はN/A根拠を記録。</t>
        </is>
      </c>
      <c r="K6" s="4" t="inlineStr">
        <is>
          <t>SRC-SWEBOK-V4A</t>
        </is>
      </c>
      <c r="L6" s="4" t="inlineStr"/>
      <c r="M6" s="4" t="n"/>
      <c r="N6" s="4" t="n"/>
      <c r="O6" s="4" t="n"/>
      <c r="P6" s="4" t="n"/>
      <c r="Q6" s="4" t="n"/>
      <c r="R6" s="4" t="n"/>
      <c r="S6" s="4" t="n"/>
      <c r="T6" s="4" t="n"/>
      <c r="U6" s="4" t="n"/>
      <c r="V6" s="4" t="n"/>
      <c r="W6" s="4" t="n"/>
    </row>
    <row r="7">
      <c r="A7" s="5" t="inlineStr">
        <is>
          <t>SEC-006</t>
        </is>
      </c>
      <c r="B7" s="5" t="inlineStr">
        <is>
          <t>SWEBOK</t>
        </is>
      </c>
      <c r="C7" s="4" t="inlineStr">
        <is>
          <t>1. 脅威モデリング(SEC-001〜)</t>
        </is>
      </c>
      <c r="D7" s="9" t="inlineStr">
        <is>
          <t>High</t>
        </is>
      </c>
      <c r="E7" s="4" t="inlineStr">
        <is>
          <t>STRIDE の6分類が体系的に適用されている</t>
        </is>
      </c>
      <c r="F7" s="4" t="inlineStr">
        <is>
          <t>Spoofing/Tampering/Repudiation/Information Disclosure/DoS/Elevation of Privilege の各分類について検討結果(該当脅威または「該当なし」の根拠)が記録されている</t>
        </is>
      </c>
      <c r="G7" s="4" t="inlineStr">
        <is>
          <t>脅威の列挙を自由発想に任せると否認防止やDoSなど地味な分類が抜けやすい。6分類を強制的に検討させることで、思いつきベースの分析による系統的な漏れを防ぐ。</t>
        </is>
      </c>
      <c r="H7" s="4" t="inlineStr">
        <is>
          <t>swebok-v4a.pdf ch13 Software Security &gt; 4.2 Security Design(脅威モデリング)/ 実務補完(Microsoft STRIDE)</t>
        </is>
      </c>
      <c r="I7" s="4" t="inlineStr">
        <is>
          <t>CORE</t>
        </is>
      </c>
      <c r="J7" s="4" t="inlineStr">
        <is>
          <t>原則適用。案件スコープ・成果物・規制・リスク上非該当の場合はN/A根拠を記録。</t>
        </is>
      </c>
      <c r="K7" s="4" t="inlineStr">
        <is>
          <t>SRC-SWEBOK-V4A;SRC-PRACTICE</t>
        </is>
      </c>
      <c r="L7" s="4" t="inlineStr"/>
      <c r="M7" s="4" t="n"/>
      <c r="N7" s="4" t="n"/>
      <c r="O7" s="4" t="n"/>
      <c r="P7" s="4" t="n"/>
      <c r="Q7" s="4" t="n"/>
      <c r="R7" s="4" t="n"/>
      <c r="S7" s="4" t="n"/>
      <c r="T7" s="4" t="n"/>
      <c r="U7" s="4" t="n"/>
      <c r="V7" s="4" t="n"/>
      <c r="W7" s="4" t="n"/>
    </row>
    <row r="8">
      <c r="A8" s="5" t="inlineStr">
        <is>
          <t>SEC-007</t>
        </is>
      </c>
      <c r="B8" s="5" t="inlineStr">
        <is>
          <t>SWEBOK</t>
        </is>
      </c>
      <c r="C8" s="4" t="inlineStr">
        <is>
          <t>1. 脅威モデリング(SEC-001〜)</t>
        </is>
      </c>
      <c r="D8" s="9" t="inlineStr">
        <is>
          <t>High</t>
        </is>
      </c>
      <c r="E8" s="4" t="inlineStr">
        <is>
          <t>各脅威にリスク評価が付されている</t>
        </is>
      </c>
      <c r="F8" s="4" t="inlineStr">
        <is>
          <t>全脅威に影響度×発生可能性(または CVSS 等の定量指標)による評価値が記載されている</t>
        </is>
      </c>
      <c r="G8" s="4" t="inlineStr">
        <is>
          <t>リスク評価がないと全脅威が同列に扱われ、限られた工数が重大脅威に配分されず軽微な対策に浪費される。評価値は対応の優先順位と受容判断の根拠になる。</t>
        </is>
      </c>
      <c r="H8" s="4" t="inlineStr">
        <is>
          <t>swebok-v4a.pdf ch13 Software Security &gt; 4.1 Security Requirements(security risk assessments)</t>
        </is>
      </c>
      <c r="I8" s="4" t="inlineStr">
        <is>
          <t>CORE</t>
        </is>
      </c>
      <c r="J8" s="4" t="inlineStr">
        <is>
          <t>原則適用。案件スコープ・成果物・規制・リスク上非該当の場合はN/A根拠を記録。</t>
        </is>
      </c>
      <c r="K8" s="4" t="inlineStr">
        <is>
          <t>SRC-SWEBOK-V4A</t>
        </is>
      </c>
      <c r="L8" s="4" t="inlineStr"/>
      <c r="M8" s="4" t="n"/>
      <c r="N8" s="4" t="n"/>
      <c r="O8" s="4" t="n"/>
      <c r="P8" s="4" t="n"/>
      <c r="Q8" s="4" t="n"/>
      <c r="R8" s="4" t="n"/>
      <c r="S8" s="4" t="n"/>
      <c r="T8" s="4" t="n"/>
      <c r="U8" s="4" t="n"/>
      <c r="V8" s="4" t="n"/>
      <c r="W8" s="4" t="n"/>
    </row>
    <row r="9">
      <c r="A9" s="5" t="inlineStr">
        <is>
          <t>SEC-008</t>
        </is>
      </c>
      <c r="B9" s="5" t="inlineStr">
        <is>
          <t>SWEBOK</t>
        </is>
      </c>
      <c r="C9" s="4" t="inlineStr">
        <is>
          <t>1. 脅威モデリング(SEC-001〜)</t>
        </is>
      </c>
      <c r="D9" s="8" t="inlineStr">
        <is>
          <t>Critical</t>
        </is>
      </c>
      <c r="E9" s="4" t="inlineStr">
        <is>
          <t>各脅威に対応方針が決定されている</t>
        </is>
      </c>
      <c r="F9" s="4" t="inlineStr">
        <is>
          <t>全脅威が緩和/除去/転嫁/受容のいずれかに分類され、緩和策には具体的な実現方法が書かれている</t>
        </is>
      </c>
      <c r="G9" s="4" t="inlineStr">
        <is>
          <t>脅威を列挙しただけで対応方針が未決だと、緩和策の実装漏れが設計・実装工程まで引き継がれ、リリース直前に大きな手戻りが発生する。全脅威の処置決定が脅威モデルの完了条件である。</t>
        </is>
      </c>
      <c r="H9" s="4" t="inlineStr">
        <is>
          <t>swebok-v4a.pdf ch13 Software Security &gt; 4.2 Security Design(threat modelingによる緩和の設計)</t>
        </is>
      </c>
      <c r="I9" s="4" t="inlineStr">
        <is>
          <t>CORE</t>
        </is>
      </c>
      <c r="J9" s="4" t="inlineStr">
        <is>
          <t>原則適用。案件スコープ・成果物・規制・リスク上非該当の場合はN/A根拠を記録。</t>
        </is>
      </c>
      <c r="K9" s="4" t="inlineStr">
        <is>
          <t>SRC-SWEBOK-V4A</t>
        </is>
      </c>
      <c r="L9" s="4" t="inlineStr"/>
      <c r="M9" s="4" t="n"/>
      <c r="N9" s="4" t="n"/>
      <c r="O9" s="4" t="n"/>
      <c r="P9" s="4" t="n"/>
      <c r="Q9" s="4" t="n"/>
      <c r="R9" s="4" t="n"/>
      <c r="S9" s="4" t="n"/>
      <c r="T9" s="4" t="n"/>
      <c r="U9" s="4" t="n"/>
      <c r="V9" s="4" t="n"/>
      <c r="W9" s="4" t="n"/>
    </row>
    <row r="10">
      <c r="A10" s="5" t="inlineStr">
        <is>
          <t>SEC-009</t>
        </is>
      </c>
      <c r="B10" s="5" t="inlineStr">
        <is>
          <t>SWEBOK</t>
        </is>
      </c>
      <c r="C10" s="4" t="inlineStr">
        <is>
          <t>1. 脅威モデリング(SEC-001〜)</t>
        </is>
      </c>
      <c r="D10" s="8" t="inlineStr">
        <is>
          <t>Critical</t>
        </is>
      </c>
      <c r="E10" s="4" t="inlineStr">
        <is>
          <t>リスク受容に承認記録がある</t>
        </is>
      </c>
      <c r="F10" s="4" t="inlineStr">
        <is>
          <t>受容とした全リスクに承認者名と承認日が記録されている</t>
        </is>
      </c>
      <c r="G10" s="4" t="inlineStr">
        <is>
          <t>承認記録のないリスク受容は「担当者が黙って放置した」のと区別できず、事故発生時に組織として説明責任を果たせない。受容は権限者の明示的判断として残す必要がある。</t>
        </is>
      </c>
      <c r="H10" s="4" t="inlineStr">
        <is>
          <t>swebok-v4a.pdf ch13 Software Security &gt; 2. Security Management and Organization(リスクの文書化と対処)</t>
        </is>
      </c>
      <c r="I10" s="4" t="inlineStr">
        <is>
          <t>CORE</t>
        </is>
      </c>
      <c r="J10" s="4" t="inlineStr">
        <is>
          <t>原則適用。案件スコープ・成果物・規制・リスク上非該当の場合はN/A根拠を記録。</t>
        </is>
      </c>
      <c r="K10" s="4" t="inlineStr">
        <is>
          <t>SRC-SWEBOK-V4A</t>
        </is>
      </c>
      <c r="L10" s="4" t="inlineStr"/>
      <c r="M10" s="4" t="n"/>
      <c r="N10" s="4" t="n"/>
      <c r="O10" s="4" t="n"/>
      <c r="P10" s="4" t="n"/>
      <c r="Q10" s="4" t="n"/>
      <c r="R10" s="4" t="n"/>
      <c r="S10" s="4" t="n"/>
      <c r="T10" s="4" t="n"/>
      <c r="U10" s="4" t="n"/>
      <c r="V10" s="4" t="n"/>
      <c r="W10" s="4" t="n"/>
    </row>
    <row r="11">
      <c r="A11" s="5" t="inlineStr">
        <is>
          <t>SEC-010</t>
        </is>
      </c>
      <c r="B11" s="5" t="inlineStr">
        <is>
          <t>SWEBOK</t>
        </is>
      </c>
      <c r="C11" s="4" t="inlineStr">
        <is>
          <t>1. 脅威モデリング(SEC-001〜)</t>
        </is>
      </c>
      <c r="D11" s="9" t="inlineStr">
        <is>
          <t>High</t>
        </is>
      </c>
      <c r="E11" s="4" t="inlineStr">
        <is>
          <t>脅威 ID とセキュリティ要件 ID のトレースがある</t>
        </is>
      </c>
      <c r="F11" s="4" t="inlineStr">
        <is>
          <t>緩和対象の全脅威から対応するセキュリティ要件 ID を辿れる</t>
        </is>
      </c>
      <c r="G11" s="4" t="inlineStr">
        <is>
          <t>脅威と要件のトレースがないと、緩和すると決めた脅威が要件化されずに実装から抜け落ちても誰も気づけない。トレースは「決めた対策が本当に作られる」ことの唯一の保証手段である。</t>
        </is>
      </c>
      <c r="H11" s="4" t="inlineStr">
        <is>
          <t>swebok-v4a.pdf ch13 Software Security &gt; 4.1 Security Requirements(traceability)</t>
        </is>
      </c>
      <c r="I11" s="4" t="inlineStr">
        <is>
          <t>CORE</t>
        </is>
      </c>
      <c r="J11" s="4" t="inlineStr">
        <is>
          <t>原則適用。案件スコープ・成果物・規制・リスク上非該当の場合はN/A根拠を記録。</t>
        </is>
      </c>
      <c r="K11" s="4" t="inlineStr">
        <is>
          <t>SRC-SWEBOK-V4A</t>
        </is>
      </c>
      <c r="L11" s="4" t="inlineStr">
        <is>
          <t>OPS-OBSERVABILITY</t>
        </is>
      </c>
      <c r="M11" s="4" t="n"/>
      <c r="N11" s="4" t="n"/>
      <c r="O11" s="4" t="n"/>
      <c r="P11" s="4" t="n"/>
      <c r="Q11" s="4" t="n"/>
      <c r="R11" s="4" t="n"/>
      <c r="S11" s="4" t="n"/>
      <c r="T11" s="4" t="n"/>
      <c r="U11" s="4" t="n"/>
      <c r="V11" s="4" t="n"/>
      <c r="W11" s="4" t="n"/>
    </row>
    <row r="12">
      <c r="A12" s="5" t="inlineStr">
        <is>
          <t>SEC-011</t>
        </is>
      </c>
      <c r="B12" s="5" t="inlineStr">
        <is>
          <t>SWEBOK</t>
        </is>
      </c>
      <c r="C12" s="4" t="inlineStr">
        <is>
          <t>1. 脅威モデリング(SEC-001〜)</t>
        </is>
      </c>
      <c r="D12" s="10" t="inlineStr">
        <is>
          <t>Medium</t>
        </is>
      </c>
      <c r="E12" s="4" t="inlineStr">
        <is>
          <t>見直しトリガーが定義されている</t>
        </is>
      </c>
      <c r="F12" s="4" t="inlineStr">
        <is>
          <t>機能追加・外部接続追加・取り扱いデータ変更時に脅威モデルを見直す旨と改訂履歴欄がある</t>
        </is>
      </c>
      <c r="G12" s="4" t="inlineStr">
        <is>
          <t>システムは変化するのに脅威モデルが初版のまま凍結されると、機能追加で生じた新しい攻撃面が未分析のまま本番に出る。見直しトリガーの明文化が脅威モデルの陳腐化を防ぐ。</t>
        </is>
      </c>
      <c r="H12" s="4" t="inlineStr">
        <is>
          <t>swebok-v4a.pdf ch13 Software Security &gt; 4.1 Security Requirements(product revision implies revisiting)</t>
        </is>
      </c>
      <c r="I12" s="4" t="inlineStr">
        <is>
          <t>CORE</t>
        </is>
      </c>
      <c r="J12" s="4" t="inlineStr">
        <is>
          <t>原則適用。案件スコープ・成果物・規制・リスク上非該当の場合はN/A根拠を記録。</t>
        </is>
      </c>
      <c r="K12" s="4" t="inlineStr">
        <is>
          <t>SRC-SWEBOK-V4A</t>
        </is>
      </c>
      <c r="L12" s="4" t="inlineStr"/>
      <c r="M12" s="4" t="n"/>
      <c r="N12" s="4" t="n"/>
      <c r="O12" s="4" t="n"/>
      <c r="P12" s="4" t="n"/>
      <c r="Q12" s="4" t="n"/>
      <c r="R12" s="4" t="n"/>
      <c r="S12" s="4" t="n"/>
      <c r="T12" s="4" t="n"/>
      <c r="U12" s="4" t="n"/>
      <c r="V12" s="4" t="n"/>
      <c r="W12" s="4" t="n"/>
    </row>
    <row r="13">
      <c r="A13" s="5" t="inlineStr">
        <is>
          <t>SEC-012</t>
        </is>
      </c>
      <c r="B13" s="5" t="inlineStr">
        <is>
          <t>SWEBOK</t>
        </is>
      </c>
      <c r="C13" s="4" t="inlineStr">
        <is>
          <t>1. 脅威モデリング(SEC-001〜)</t>
        </is>
      </c>
      <c r="D13" s="10" t="inlineStr">
        <is>
          <t>Medium</t>
        </is>
      </c>
      <c r="E13" s="4" t="inlineStr">
        <is>
          <t>脅威モデルに必要な攻撃経路を記述し、機微度に応じて文書を分類・アクセス制御している</t>
        </is>
      </c>
      <c r="F13" s="4" t="inlineStr">
        <is>
          <t>防御設計と検証に必要な攻撃経路・前提・影響が記載され、詳細度に応じた情報分類、閲覧権限、共有・保管ルールが適用されている</t>
        </is>
      </c>
      <c r="G13" s="4" t="inlineStr">
        <is>
          <t>攻撃経路を削ると設計・検証に使えない。必要な技術情報を残したうえで、文書自体を機密資産として保護する。</t>
        </is>
      </c>
      <c r="H13" s="4" t="inlineStr">
        <is>
          <t>実務補完(脅威モデリング文書の取り扱い実務)</t>
        </is>
      </c>
      <c r="I13" s="4" t="inlineStr">
        <is>
          <t>CORE</t>
        </is>
      </c>
      <c r="J13" s="4" t="inlineStr">
        <is>
          <t>原則適用。案件スコープ・成果物・規制・リスク上非該当の場合はN/A根拠を記録。</t>
        </is>
      </c>
      <c r="K13" s="4" t="inlineStr">
        <is>
          <t>SRC-PRACTICE</t>
        </is>
      </c>
      <c r="L13" s="4" t="inlineStr"/>
      <c r="M13" s="4" t="n"/>
      <c r="N13" s="4" t="n"/>
      <c r="O13" s="4" t="n"/>
      <c r="P13" s="4" t="n"/>
      <c r="Q13" s="4" t="n"/>
      <c r="R13" s="4" t="n"/>
      <c r="S13" s="4" t="n"/>
      <c r="T13" s="4" t="n"/>
      <c r="U13" s="4" t="n"/>
      <c r="V13" s="4" t="n"/>
      <c r="W13" s="4" t="n"/>
    </row>
    <row r="14">
      <c r="A14" s="5" t="inlineStr">
        <is>
          <t>SEC-912</t>
        </is>
      </c>
      <c r="B14" s="5" t="inlineStr">
        <is>
          <t>追加承認</t>
        </is>
      </c>
      <c r="C14" s="4" t="inlineStr">
        <is>
          <t>1. 脅威モデリング(SEC-001〜)</t>
        </is>
      </c>
      <c r="D14" s="10" t="inlineStr">
        <is>
          <t>Medium</t>
        </is>
      </c>
      <c r="E14" s="4" t="inlineStr">
        <is>
          <t>人を介する攻撃(ソーシャルエンジニアリング)が脅威として検討されている</t>
        </is>
      </c>
      <c r="F14" s="4" t="inlineStr">
        <is>
          <t>フィッシングによる認証情報窃取、サポート窓口へのなりすまし依頼等、利用者・運用者を騙す攻撃シナリオの検討結果(該当脅威と緩和策、または「該当なし」の根拠)が脅威モデルに記録されている</t>
        </is>
      </c>
      <c r="G14" s="4" t="inlineStr">
        <is>
          <t>技術的防御が堅牢でも、パスワードリセットの電話一本で突破される事例は多い。人を介する経路を脅威分析の対象外にすると、最も安価な攻撃経路が無防備のまま残る。</t>
        </is>
      </c>
      <c r="H14" s="4" t="inlineStr">
        <is>
          <t>swebok-v4a.pdf ch13 Software Security &gt; 1.3 Cybersecurity(ソーシャルエンジニアリング攻撃・マルウェア等の脅威緩和)</t>
        </is>
      </c>
      <c r="I14" s="4" t="inlineStr">
        <is>
          <t>CORE</t>
        </is>
      </c>
      <c r="J14" s="4" t="inlineStr">
        <is>
          <t>原則適用。案件スコープ・成果物・規制・リスク上非該当の場合はN/A根拠を記録。</t>
        </is>
      </c>
      <c r="K14" s="4" t="inlineStr">
        <is>
          <t>SRC-SWEBOK-V4A</t>
        </is>
      </c>
      <c r="L14" s="4" t="inlineStr"/>
      <c r="M14" s="4" t="n"/>
      <c r="N14" s="4" t="n"/>
      <c r="O14" s="4" t="n"/>
      <c r="P14" s="4" t="n"/>
      <c r="Q14" s="4" t="n"/>
      <c r="R14" s="4" t="n"/>
      <c r="S14" s="4" t="n"/>
      <c r="T14" s="4" t="n"/>
      <c r="U14" s="4" t="n"/>
      <c r="V14" s="4" t="n"/>
      <c r="W14" s="4" t="n"/>
    </row>
    <row r="15">
      <c r="A15" s="5" t="inlineStr">
        <is>
          <t>SEC-101</t>
        </is>
      </c>
      <c r="B15" s="5" t="inlineStr">
        <is>
          <t>SWEBOK</t>
        </is>
      </c>
      <c r="C15" s="4" t="inlineStr">
        <is>
          <t>2. セキュリティ要件(SEC-101〜)</t>
        </is>
      </c>
      <c r="D15" s="8" t="inlineStr">
        <is>
          <t>Critical</t>
        </is>
      </c>
      <c r="E15" s="4" t="inlineStr">
        <is>
          <t>セキュリティ要件が検証可能な文で書かれている</t>
        </is>
      </c>
      <c r="F15" s="4" t="inlineStr">
        <is>
          <t>全要件がテストケースに変換できる具体性(閾値・条件・期待動作)を持ち、「十分セキュアであること」等の検証不能な表現がない</t>
        </is>
      </c>
      <c r="G15" s="4" t="inlineStr">
        <is>
          <t>「十分セキュアであること」のような検証不能な要件はテストできず、実装者の解釈次第で骨抜きになる。検証可能性がないとセキュリティテスト(SEC-401)との対応付け自体が成立しない。</t>
        </is>
      </c>
      <c r="H15" s="4" t="inlineStr">
        <is>
          <t>swebok-v4a.pdf ch13 Software Security &gt; 4.1 Security Requirements(specification)</t>
        </is>
      </c>
      <c r="I15" s="4" t="inlineStr">
        <is>
          <t>CORE</t>
        </is>
      </c>
      <c r="J15" s="4" t="inlineStr">
        <is>
          <t>原則適用。案件スコープ・成果物・規制・リスク上非該当の場合はN/A根拠を記録。</t>
        </is>
      </c>
      <c r="K15" s="4" t="inlineStr">
        <is>
          <t>SRC-SWEBOK-V4A</t>
        </is>
      </c>
      <c r="L15" s="4" t="inlineStr"/>
      <c r="M15" s="4" t="n"/>
      <c r="N15" s="4" t="n"/>
      <c r="O15" s="4" t="n"/>
      <c r="P15" s="4" t="n"/>
      <c r="Q15" s="4" t="n"/>
      <c r="R15" s="4" t="n"/>
      <c r="S15" s="4" t="n"/>
      <c r="T15" s="4" t="n"/>
      <c r="U15" s="4" t="n"/>
      <c r="V15" s="4" t="n"/>
      <c r="W15" s="4" t="n"/>
    </row>
    <row r="16">
      <c r="A16" s="5" t="inlineStr">
        <is>
          <t>SEC-102</t>
        </is>
      </c>
      <c r="B16" s="5" t="inlineStr">
        <is>
          <t>SWEBOK</t>
        </is>
      </c>
      <c r="C16" s="4" t="inlineStr">
        <is>
          <t>2. セキュリティ要件(SEC-101〜)</t>
        </is>
      </c>
      <c r="D16" s="8" t="inlineStr">
        <is>
          <t>Critical</t>
        </is>
      </c>
      <c r="E16" s="4" t="inlineStr">
        <is>
          <t>要件に一意の ID が付与されている</t>
        </is>
      </c>
      <c r="F16" s="4" t="inlineStr">
        <is>
          <t>全セキュリティ要件に一意 ID があり、他文書から参照可能である</t>
        </is>
      </c>
      <c r="G16" s="4" t="inlineStr">
        <is>
          <t>IDがないと設計書・テストケースから要件を参照できず、トレーサビリティ(SEC-111)が構造的に不可能になる。参照不能な要件は改訂時に黙って消えても検知できない。</t>
        </is>
      </c>
      <c r="H16" s="4" t="inlineStr">
        <is>
          <t>swebok-v4a.pdf ch13 Software Security &gt; 4.1 Security Requirements(traceability)</t>
        </is>
      </c>
      <c r="I16" s="4" t="inlineStr">
        <is>
          <t>CORE</t>
        </is>
      </c>
      <c r="J16" s="4" t="inlineStr">
        <is>
          <t>原則適用。案件スコープ・成果物・規制・リスク上非該当の場合はN/A根拠を記録。</t>
        </is>
      </c>
      <c r="K16" s="4" t="inlineStr">
        <is>
          <t>SRC-SWEBOK-V4A</t>
        </is>
      </c>
      <c r="L16" s="4" t="inlineStr"/>
      <c r="M16" s="4" t="n"/>
      <c r="N16" s="4" t="n"/>
      <c r="O16" s="4" t="n"/>
      <c r="P16" s="4" t="n"/>
      <c r="Q16" s="4" t="n"/>
      <c r="R16" s="4" t="n"/>
      <c r="S16" s="4" t="n"/>
      <c r="T16" s="4" t="n"/>
      <c r="U16" s="4" t="n"/>
      <c r="V16" s="4" t="n"/>
      <c r="W16" s="4" t="n"/>
    </row>
    <row r="17">
      <c r="A17" s="5" t="inlineStr">
        <is>
          <t>SEC-103</t>
        </is>
      </c>
      <c r="B17" s="5" t="inlineStr">
        <is>
          <t>SWEBOK</t>
        </is>
      </c>
      <c r="C17" s="4" t="inlineStr">
        <is>
          <t>2. セキュリティ要件(SEC-101〜)</t>
        </is>
      </c>
      <c r="D17" s="9" t="inlineStr">
        <is>
          <t>High</t>
        </is>
      </c>
      <c r="E17" s="4" t="inlineStr">
        <is>
          <t>誤用・悪用ケースが記述されている</t>
        </is>
      </c>
      <c r="F17" s="4" t="inlineStr">
        <is>
          <t>主要ユースケースに対応する誤用/悪用ケース(アクター・シナリオ・期待される防御動作)が1件以上ある</t>
        </is>
      </c>
      <c r="G17" s="4" t="inlineStr">
        <is>
          <t>正常系ユースケースだけでは「攻撃者がどう悪用するか」の視点が抜け、防御要件の導出漏れが起きる。誤用・悪用ケースは攻撃者視点を要件工程に強制的に持ち込む手段である。</t>
        </is>
      </c>
      <c r="H17" s="4" t="inlineStr">
        <is>
          <t>swebok-v4a.pdf ch13 Software Security &gt; 4.1 Security Requirements(misuse and abuse cases, threat actors)</t>
        </is>
      </c>
      <c r="I17" s="4" t="inlineStr">
        <is>
          <t>CORE</t>
        </is>
      </c>
      <c r="J17" s="4" t="inlineStr">
        <is>
          <t>原則適用。案件スコープ・成果物・規制・リスク上非該当の場合はN/A根拠を記録。</t>
        </is>
      </c>
      <c r="K17" s="4" t="inlineStr">
        <is>
          <t>SRC-SWEBOK-V4A</t>
        </is>
      </c>
      <c r="L17" s="4" t="inlineStr"/>
      <c r="M17" s="4" t="n"/>
      <c r="N17" s="4" t="n"/>
      <c r="O17" s="4" t="n"/>
      <c r="P17" s="4" t="n"/>
      <c r="Q17" s="4" t="n"/>
      <c r="R17" s="4" t="n"/>
      <c r="S17" s="4" t="n"/>
      <c r="T17" s="4" t="n"/>
      <c r="U17" s="4" t="n"/>
      <c r="V17" s="4" t="n"/>
      <c r="W17" s="4" t="n"/>
    </row>
    <row r="18">
      <c r="A18" s="5" t="inlineStr">
        <is>
          <t>SEC-104</t>
        </is>
      </c>
      <c r="B18" s="5" t="inlineStr">
        <is>
          <t>SWEBOK</t>
        </is>
      </c>
      <c r="C18" s="4" t="inlineStr">
        <is>
          <t>2. セキュリティ要件(SEC-101〜)</t>
        </is>
      </c>
      <c r="D18" s="9" t="inlineStr">
        <is>
          <t>High</t>
        </is>
      </c>
      <c r="E18" s="4" t="inlineStr">
        <is>
          <t>準拠する検証標準とレベルが選定されている</t>
        </is>
      </c>
      <c r="F18" s="4" t="inlineStr">
        <is>
          <t>OWASP ASVS のレベル(L1/L2/L3)または同等の基準と選定理由が明記されている</t>
        </is>
      </c>
      <c r="G18" s="4" t="inlineStr">
        <is>
          <t>検証標準とレベルを決めないと「どこまでやれば十分か」の基準がなく、要件の粒度と網羅性がレビューできない。ASVSレベルの選定はリスクに応じた要求水準の合意形成である。</t>
        </is>
      </c>
      <c r="H18" s="4" t="inlineStr">
        <is>
          <t>実務補完(OWASP ASVS)</t>
        </is>
      </c>
      <c r="I18" s="4" t="inlineStr">
        <is>
          <t>CORE</t>
        </is>
      </c>
      <c r="J18" s="4" t="inlineStr">
        <is>
          <t>原則適用。案件スコープ・成果物・規制・リスク上非該当の場合はN/A根拠を記録。</t>
        </is>
      </c>
      <c r="K18" s="4" t="inlineStr">
        <is>
          <t>SRC-OWASP;SRC-PRACTICE</t>
        </is>
      </c>
      <c r="L18" s="4" t="inlineStr"/>
      <c r="M18" s="4" t="n"/>
      <c r="N18" s="4" t="n"/>
      <c r="O18" s="4" t="n"/>
      <c r="P18" s="4" t="n"/>
      <c r="Q18" s="4" t="n"/>
      <c r="R18" s="4" t="n"/>
      <c r="S18" s="4" t="n"/>
      <c r="T18" s="4" t="n"/>
      <c r="U18" s="4" t="n"/>
      <c r="V18" s="4" t="n"/>
      <c r="W18" s="4" t="n"/>
    </row>
    <row r="19">
      <c r="A19" s="5" t="inlineStr">
        <is>
          <t>SEC-105</t>
        </is>
      </c>
      <c r="B19" s="5" t="inlineStr">
        <is>
          <t>SWEBOK</t>
        </is>
      </c>
      <c r="C19" s="4" t="inlineStr">
        <is>
          <t>2. セキュリティ要件(SEC-101〜)</t>
        </is>
      </c>
      <c r="D19" s="8" t="inlineStr">
        <is>
          <t>Critical</t>
        </is>
      </c>
      <c r="E19" s="4" t="inlineStr">
        <is>
          <t>認証に関する要件が定義されている</t>
        </is>
      </c>
      <c r="F19" s="4" t="inlineStr">
        <is>
          <t>パスワードポリシー(または多要素認証等の方式)、認証失敗時の挙動(ロックアウト条件等)が具体値付きで定義されている</t>
        </is>
      </c>
      <c r="G19" s="4" t="inlineStr">
        <is>
          <t>認証要件が具体値なしだと弱いパスワード許容やロックアウトなしの実装がすり抜け、なりすまし(Spoofing)への防御が実装者任せになる。認証は攻撃の最初の標的であり具体値の定義が必須。</t>
        </is>
      </c>
      <c r="H19" s="4" t="inlineStr">
        <is>
          <t>swebok-v4a.pdf ch13 Software Security &gt; 4.1 Security Requirements / 4.2 Security Design(access control)</t>
        </is>
      </c>
      <c r="I19" s="4" t="inlineStr">
        <is>
          <t>CORE</t>
        </is>
      </c>
      <c r="J19" s="4" t="inlineStr">
        <is>
          <t>原則適用。案件スコープ・成果物・規制・リスク上非該当の場合はN/A根拠を記録。</t>
        </is>
      </c>
      <c r="K19" s="4" t="inlineStr">
        <is>
          <t>SRC-SWEBOK-V4A</t>
        </is>
      </c>
      <c r="L19" s="4" t="inlineStr">
        <is>
          <t>SEC-IAM</t>
        </is>
      </c>
      <c r="M19" s="4" t="n"/>
      <c r="N19" s="4" t="n"/>
      <c r="O19" s="4" t="n"/>
      <c r="P19" s="4" t="n"/>
      <c r="Q19" s="4" t="n"/>
      <c r="R19" s="4" t="n"/>
      <c r="S19" s="4" t="n"/>
      <c r="T19" s="4" t="n"/>
      <c r="U19" s="4" t="n"/>
      <c r="V19" s="4" t="n"/>
      <c r="W19" s="4" t="n"/>
    </row>
    <row r="20">
      <c r="A20" s="5" t="inlineStr">
        <is>
          <t>SEC-106</t>
        </is>
      </c>
      <c r="B20" s="5" t="inlineStr">
        <is>
          <t>SWEBOK</t>
        </is>
      </c>
      <c r="C20" s="4" t="inlineStr">
        <is>
          <t>2. セキュリティ要件(SEC-101〜)</t>
        </is>
      </c>
      <c r="D20" s="8" t="inlineStr">
        <is>
          <t>Critical</t>
        </is>
      </c>
      <c r="E20" s="4" t="inlineStr">
        <is>
          <t>認可に関する要件が定義されている</t>
        </is>
      </c>
      <c r="F20" s="4" t="inlineStr">
        <is>
          <t>アクセス制御モデル(RBAC/ABAC 等)と、権限外アクセスを拒否する要件が定義されている</t>
        </is>
      </c>
      <c r="G20" s="4" t="inlineStr">
        <is>
          <t>認可要件が未定義だと「認証さえ通れば何でもできる」実装になりがちで、権限昇格や他者データ閲覧の事故に直結する。アクセス制御モデルの明示が認可実装の一貫性を担保する。</t>
        </is>
      </c>
      <c r="H20" s="4" t="inlineStr">
        <is>
          <t>swebok-v4a.pdf ch13 Software Security &gt; 4.2 Security Design(access control is a fundamental concept)</t>
        </is>
      </c>
      <c r="I20" s="4" t="inlineStr">
        <is>
          <t>CORE</t>
        </is>
      </c>
      <c r="J20" s="4" t="inlineStr">
        <is>
          <t>原則適用。案件スコープ・成果物・規制・リスク上非該当の場合はN/A根拠を記録。</t>
        </is>
      </c>
      <c r="K20" s="4" t="inlineStr">
        <is>
          <t>SRC-SWEBOK-V4A</t>
        </is>
      </c>
      <c r="L20" s="4" t="inlineStr">
        <is>
          <t>SEC-IAM</t>
        </is>
      </c>
      <c r="M20" s="4" t="n"/>
      <c r="N20" s="4" t="n"/>
      <c r="O20" s="4" t="n"/>
      <c r="P20" s="4" t="n"/>
      <c r="Q20" s="4" t="n"/>
      <c r="R20" s="4" t="n"/>
      <c r="S20" s="4" t="n"/>
      <c r="T20" s="4" t="n"/>
      <c r="U20" s="4" t="n"/>
      <c r="V20" s="4" t="n"/>
      <c r="W20" s="4" t="n"/>
    </row>
    <row r="21">
      <c r="A21" s="5" t="inlineStr">
        <is>
          <t>SEC-107</t>
        </is>
      </c>
      <c r="B21" s="5" t="inlineStr">
        <is>
          <t>SWEBOK</t>
        </is>
      </c>
      <c r="C21" s="4" t="inlineStr">
        <is>
          <t>2. セキュリティ要件(SEC-101〜)</t>
        </is>
      </c>
      <c r="D21" s="9" t="inlineStr">
        <is>
          <t>High</t>
        </is>
      </c>
      <c r="E21" s="4" t="inlineStr">
        <is>
          <t>セッション管理の要件が定義されている</t>
        </is>
      </c>
      <c r="F21" s="4" t="inlineStr">
        <is>
          <t>セッションの有効期限、ログアウト時の無効化、セッション ID の再発行条件が定義されている</t>
        </is>
      </c>
      <c r="G21" s="4" t="inlineStr">
        <is>
          <t>セッション要件がないと無期限セッションやログアウト後も有効なトークンが放置され、セッションハイジャックや固定化攻撃の温床になる。</t>
        </is>
      </c>
      <c r="H21" s="4" t="inlineStr">
        <is>
          <t>swebok-v4a.pdf ch13 Software Security &gt; 4.1 Security Requirements / 実務補完(OWASP ASVS セッション管理)</t>
        </is>
      </c>
      <c r="I21" s="4" t="inlineStr">
        <is>
          <t>CORE</t>
        </is>
      </c>
      <c r="J21" s="4" t="inlineStr">
        <is>
          <t>原則適用。案件スコープ・成果物・規制・リスク上非該当の場合はN/A根拠を記録。</t>
        </is>
      </c>
      <c r="K21" s="4" t="inlineStr">
        <is>
          <t>SRC-SWEBOK-V4A;SRC-OWASP;SRC-PRACTICE</t>
        </is>
      </c>
      <c r="L21" s="4" t="inlineStr"/>
      <c r="M21" s="4" t="n"/>
      <c r="N21" s="4" t="n"/>
      <c r="O21" s="4" t="n"/>
      <c r="P21" s="4" t="n"/>
      <c r="Q21" s="4" t="n"/>
      <c r="R21" s="4" t="n"/>
      <c r="S21" s="4" t="n"/>
      <c r="T21" s="4" t="n"/>
      <c r="U21" s="4" t="n"/>
      <c r="V21" s="4" t="n"/>
      <c r="W21" s="4" t="n"/>
    </row>
    <row r="22">
      <c r="A22" s="5" t="inlineStr">
        <is>
          <t>SEC-108</t>
        </is>
      </c>
      <c r="B22" s="5" t="inlineStr">
        <is>
          <t>SWEBOK</t>
        </is>
      </c>
      <c r="C22" s="4" t="inlineStr">
        <is>
          <t>2. セキュリティ要件(SEC-101〜)</t>
        </is>
      </c>
      <c r="D22" s="9" t="inlineStr">
        <is>
          <t>High</t>
        </is>
      </c>
      <c r="E22" s="4" t="inlineStr">
        <is>
          <t>データ保護の要件が定義されている</t>
        </is>
      </c>
      <c r="F22" s="4" t="inlineStr">
        <is>
          <t>保存時暗号化・通信時暗号化の対象データと方式(TLS バージョン等)が定義されている</t>
        </is>
      </c>
      <c r="G22" s="4" t="inlineStr">
        <is>
          <t>暗号化の対象と方式を要件で確定しないと、機微データの平文保存や旧TLSの使用が実装段階で「知らなかった」まま混入する。データ保護要件は機密性要求(SEC-003)の具体化である。</t>
        </is>
      </c>
      <c r="H22" s="4" t="inlineStr">
        <is>
          <t>swebok-v4a.pdf ch13 Software Security &gt; 1.2 Information Security(機密性)/ 4.2 Security Design(暗号)</t>
        </is>
      </c>
      <c r="I22" s="4" t="inlineStr">
        <is>
          <t>CORE</t>
        </is>
      </c>
      <c r="J22" s="4" t="inlineStr">
        <is>
          <t>原則適用。案件スコープ・成果物・規制・リスク上非該当の場合はN/A根拠を記録。</t>
        </is>
      </c>
      <c r="K22" s="4" t="inlineStr">
        <is>
          <t>SRC-SWEBOK-V4A</t>
        </is>
      </c>
      <c r="L22" s="4" t="inlineStr"/>
      <c r="M22" s="4" t="n"/>
      <c r="N22" s="4" t="n"/>
      <c r="O22" s="4" t="n"/>
      <c r="P22" s="4" t="n"/>
      <c r="Q22" s="4" t="n"/>
      <c r="R22" s="4" t="n"/>
      <c r="S22" s="4" t="n"/>
      <c r="T22" s="4" t="n"/>
      <c r="U22" s="4" t="n"/>
      <c r="V22" s="4" t="n"/>
      <c r="W22" s="4" t="n"/>
    </row>
    <row r="23">
      <c r="A23" s="5" t="inlineStr">
        <is>
          <t>SEC-109</t>
        </is>
      </c>
      <c r="B23" s="5" t="inlineStr">
        <is>
          <t>SWEBOK</t>
        </is>
      </c>
      <c r="C23" s="4" t="inlineStr">
        <is>
          <t>2. セキュリティ要件(SEC-101〜)</t>
        </is>
      </c>
      <c r="D23" s="9" t="inlineStr">
        <is>
          <t>High</t>
        </is>
      </c>
      <c r="E23" s="4" t="inlineStr">
        <is>
          <t>監査ログの要件が定義されている</t>
        </is>
      </c>
      <c r="F23" s="4" t="inlineStr">
        <is>
          <t>記録すべきイベント(認証成功/失敗、権限変更、機微データアクセス等)、保持期間、改ざん防止策が定義されている</t>
        </is>
      </c>
      <c r="G23" s="4" t="inlineStr">
        <is>
          <t>監査ログ要件がないとインシデント発生時に「何が起きたか分からない」状態になり、原因究明・影響範囲特定・法的対応が全て不可能になる。説明責任(accountability)の実現手段である。</t>
        </is>
      </c>
      <c r="H23" s="4" t="inlineStr">
        <is>
          <t>swebok-v4a.pdf ch13 Software Security &gt; 1.2 Information Security(accountability, non-repudiation)</t>
        </is>
      </c>
      <c r="I23" s="4" t="inlineStr">
        <is>
          <t>CORE</t>
        </is>
      </c>
      <c r="J23" s="4" t="inlineStr">
        <is>
          <t>原則適用。案件スコープ・成果物・規制・リスク上非該当の場合はN/A根拠を記録。</t>
        </is>
      </c>
      <c r="K23" s="4" t="inlineStr">
        <is>
          <t>SRC-SWEBOK-V4A</t>
        </is>
      </c>
      <c r="L23" s="4" t="inlineStr">
        <is>
          <t>OPS-OBSERVABILITY</t>
        </is>
      </c>
      <c r="M23" s="4" t="n"/>
      <c r="N23" s="4" t="n"/>
      <c r="O23" s="4" t="n"/>
      <c r="P23" s="4" t="n"/>
      <c r="Q23" s="4" t="n"/>
      <c r="R23" s="4" t="n"/>
      <c r="S23" s="4" t="n"/>
      <c r="T23" s="4" t="n"/>
      <c r="U23" s="4" t="n"/>
      <c r="V23" s="4" t="n"/>
      <c r="W23" s="4" t="n"/>
    </row>
    <row r="24">
      <c r="A24" s="5" t="inlineStr">
        <is>
          <t>SEC-110</t>
        </is>
      </c>
      <c r="B24" s="5" t="inlineStr">
        <is>
          <t>SWEBOK</t>
        </is>
      </c>
      <c r="C24" s="4" t="inlineStr">
        <is>
          <t>2. セキュリティ要件(SEC-101〜)</t>
        </is>
      </c>
      <c r="D24" s="9" t="inlineStr">
        <is>
          <t>High</t>
        </is>
      </c>
      <c r="E24" s="4" t="inlineStr">
        <is>
          <t>法規制・契約上の要求が反映されている</t>
        </is>
      </c>
      <c r="F24" s="4" t="inlineStr">
        <is>
          <t>適用される法規制(個人情報保護法、GDPR、PCI DSS 等)の特定結果と、対応する要件へのマッピングがある。適用なしの場合はその判断根拠がある</t>
        </is>
      </c>
      <c r="G24" s="4" t="inlineStr">
        <is>
          <t>法規制由来の要件を見落とすと、技術的に安全でも法令違反・契約違反となり事業リスクに直結する。SWEBOKもISMSと法規制がセキュリティ要件の源泉であると明示している。</t>
        </is>
      </c>
      <c r="H24" s="4" t="inlineStr">
        <is>
          <t>swebok-v4a.pdf ch13 Software Security &gt; 2.2 Information Security Management System(laws, regulations and obligations for compliance)</t>
        </is>
      </c>
      <c r="I24" s="4" t="inlineStr">
        <is>
          <t>CORE</t>
        </is>
      </c>
      <c r="J24" s="4" t="inlineStr">
        <is>
          <t>原則適用。案件スコープ・成果物・規制・リスク上非該当の場合はN/A根拠を記録。</t>
        </is>
      </c>
      <c r="K24" s="4" t="inlineStr">
        <is>
          <t>SRC-SWEBOK-V4A;SRC-AWS-WAF</t>
        </is>
      </c>
      <c r="L24" s="4" t="inlineStr"/>
      <c r="M24" s="4" t="n"/>
      <c r="N24" s="4" t="n"/>
      <c r="O24" s="4" t="n"/>
      <c r="P24" s="4" t="n"/>
      <c r="Q24" s="4" t="n"/>
      <c r="R24" s="4" t="n"/>
      <c r="S24" s="4" t="n"/>
      <c r="T24" s="4" t="n"/>
      <c r="U24" s="4" t="n"/>
      <c r="V24" s="4" t="n"/>
      <c r="W24" s="4" t="n"/>
    </row>
    <row r="25">
      <c r="A25" s="5" t="inlineStr">
        <is>
          <t>SEC-111</t>
        </is>
      </c>
      <c r="B25" s="5" t="inlineStr">
        <is>
          <t>SWEBOK</t>
        </is>
      </c>
      <c r="C25" s="4" t="inlineStr">
        <is>
          <t>2. セキュリティ要件(SEC-101〜)</t>
        </is>
      </c>
      <c r="D25" s="9" t="inlineStr">
        <is>
          <t>High</t>
        </is>
      </c>
      <c r="E25" s="4" t="inlineStr">
        <is>
          <t>要件のトレーサビリティが双方向に確保されている</t>
        </is>
      </c>
      <c r="F25" s="4" t="inlineStr">
        <is>
          <t>脅威 ⇔ 要件 ⇔ テストケースを両方向に辿れる表または属性がある</t>
        </is>
      </c>
      <c r="G25" s="4" t="inlineStr">
        <is>
          <t>双方向トレースがないと「テストされていない要件」「要件の裏付けがないテスト」が検出できず、カバレッジ判定(SEC-401)が成立しない。片方向だけでは削除・変更時の影響が追えない。</t>
        </is>
      </c>
      <c r="H25" s="4" t="inlineStr">
        <is>
          <t>swebok-v4a.pdf ch13 Software Security &gt; 4.1 Security Requirements(traceability throughout the development process)</t>
        </is>
      </c>
      <c r="I25" s="4" t="inlineStr">
        <is>
          <t>CORE</t>
        </is>
      </c>
      <c r="J25" s="4" t="inlineStr">
        <is>
          <t>原則適用。案件スコープ・成果物・規制・リスク上非該当の場合はN/A根拠を記録。</t>
        </is>
      </c>
      <c r="K25" s="4" t="inlineStr">
        <is>
          <t>SRC-SWEBOK-V4A</t>
        </is>
      </c>
      <c r="L25" s="4" t="inlineStr"/>
      <c r="M25" s="4" t="n"/>
      <c r="N25" s="4" t="n"/>
      <c r="O25" s="4" t="n"/>
      <c r="P25" s="4" t="n"/>
      <c r="Q25" s="4" t="n"/>
      <c r="R25" s="4" t="n"/>
      <c r="S25" s="4" t="n"/>
      <c r="T25" s="4" t="n"/>
      <c r="U25" s="4" t="n"/>
      <c r="V25" s="4" t="n"/>
      <c r="W25" s="4" t="n"/>
    </row>
    <row r="26">
      <c r="A26" s="5" t="inlineStr">
        <is>
          <t>SEC-112</t>
        </is>
      </c>
      <c r="B26" s="5" t="inlineStr">
        <is>
          <t>SWEBOK</t>
        </is>
      </c>
      <c r="C26" s="4" t="inlineStr">
        <is>
          <t>2. セキュリティ要件(SEC-101〜)</t>
        </is>
      </c>
      <c r="D26" s="10" t="inlineStr">
        <is>
          <t>Medium</t>
        </is>
      </c>
      <c r="E26" s="4" t="inlineStr">
        <is>
          <t>要件の優先順位付けがされている</t>
        </is>
      </c>
      <c r="F26" s="4" t="inlineStr">
        <is>
          <t>全要件に優先度(必須/推奨等)が付与され、その基準が説明されている</t>
        </is>
      </c>
      <c r="G26" s="4" t="inlineStr">
        <is>
          <t>優先順位がないと工数逼迫時にどの要件を落とすかが場当たりで決まり、重大リスクへの対策が先に削られる事故が起きる。</t>
        </is>
      </c>
      <c r="H26" s="4" t="inlineStr">
        <is>
          <t>swebok-v4a.pdf ch13 Software Security &gt; 4.1 Security Requirements(prioritization)</t>
        </is>
      </c>
      <c r="I26" s="4" t="inlineStr">
        <is>
          <t>CORE</t>
        </is>
      </c>
      <c r="J26" s="4" t="inlineStr">
        <is>
          <t>原則適用。案件スコープ・成果物・規制・リスク上非該当の場合はN/A根拠を記録。</t>
        </is>
      </c>
      <c r="K26" s="4" t="inlineStr">
        <is>
          <t>SRC-SWEBOK-V4A</t>
        </is>
      </c>
      <c r="L26" s="4" t="inlineStr"/>
      <c r="M26" s="4" t="n"/>
      <c r="N26" s="4" t="n"/>
      <c r="O26" s="4" t="n"/>
      <c r="P26" s="4" t="n"/>
      <c r="Q26" s="4" t="n"/>
      <c r="R26" s="4" t="n"/>
      <c r="S26" s="4" t="n"/>
      <c r="T26" s="4" t="n"/>
      <c r="U26" s="4" t="n"/>
      <c r="V26" s="4" t="n"/>
      <c r="W26" s="4" t="n"/>
    </row>
    <row r="27">
      <c r="A27" s="5" t="inlineStr">
        <is>
          <t>SEC-113</t>
        </is>
      </c>
      <c r="B27" s="5" t="inlineStr">
        <is>
          <t>SWEBOK</t>
        </is>
      </c>
      <c r="C27" s="4" t="inlineStr">
        <is>
          <t>2. セキュリティ要件(SEC-101〜)</t>
        </is>
      </c>
      <c r="D27" s="10" t="inlineStr">
        <is>
          <t>Medium</t>
        </is>
      </c>
      <c r="E27" s="4" t="inlineStr">
        <is>
          <t>製品改訂時の要件見直しが規定されている</t>
        </is>
      </c>
      <c r="F27" s="4" t="inlineStr">
        <is>
          <t>製品改訂・機能追加時にセキュリティ要件を見直すプロセスが記載されている</t>
        </is>
      </c>
      <c r="G27" s="4" t="inlineStr">
        <is>
          <t>製品改訂で前提が変わってもセキュリティ要件が据え置きだと、新機能が旧要件の穴を突く形で脆弱性を生む。SWEBOKは製品改訂時の要件再訪を明示的に要求している。</t>
        </is>
      </c>
      <c r="H27" s="4" t="inlineStr">
        <is>
          <t>swebok-v4a.pdf ch13 Software Security &gt; 4.1 Security Requirements(software product revision implies a need to revisit security requirements)</t>
        </is>
      </c>
      <c r="I27" s="4" t="inlineStr">
        <is>
          <t>CORE</t>
        </is>
      </c>
      <c r="J27" s="4" t="inlineStr">
        <is>
          <t>原則適用。案件スコープ・成果物・規制・リスク上非該当の場合はN/A根拠を記録。</t>
        </is>
      </c>
      <c r="K27" s="4" t="inlineStr">
        <is>
          <t>SRC-SWEBOK-V4A</t>
        </is>
      </c>
      <c r="L27" s="4" t="inlineStr"/>
      <c r="M27" s="4" t="n"/>
      <c r="N27" s="4" t="n"/>
      <c r="O27" s="4" t="n"/>
      <c r="P27" s="4" t="n"/>
      <c r="Q27" s="4" t="n"/>
      <c r="R27" s="4" t="n"/>
      <c r="S27" s="4" t="n"/>
      <c r="T27" s="4" t="n"/>
      <c r="U27" s="4" t="n"/>
      <c r="V27" s="4" t="n"/>
      <c r="W27" s="4" t="n"/>
    </row>
    <row r="28">
      <c r="A28" s="5" t="inlineStr">
        <is>
          <t>SEC-114</t>
        </is>
      </c>
      <c r="B28" s="5" t="inlineStr">
        <is>
          <t>SWEBOK</t>
        </is>
      </c>
      <c r="C28" s="4" t="inlineStr">
        <is>
          <t>2. セキュリティ要件(SEC-101〜)</t>
        </is>
      </c>
      <c r="D28" s="10" t="inlineStr">
        <is>
          <t>Medium</t>
        </is>
      </c>
      <c r="E28" s="4" t="inlineStr">
        <is>
          <t>他の非機能要件とのトレードオフが記録されている</t>
        </is>
      </c>
      <c r="F28" s="4" t="inlineStr">
        <is>
          <t>性能・可用性・ユーザビリティとの衝突がある場合、その調整結果と合意記録がある。衝突がない場合は N/A</t>
        </is>
      </c>
      <c r="G28" s="4" t="inlineStr">
        <is>
          <t>性能や利便性との衝突を暗黙のうちに現場判断で解消すると、セキュリティ側が黙って弱められる(例: タイムアウト延長、検証省略)。トレードオフの記録が後からの説明と再判断を可能にする。</t>
        </is>
      </c>
      <c r="H28" s="4" t="inlineStr">
        <is>
          <t>swebok-v4a.pdf ch13 Software Security &gt; 4.1 Security Requirements(inspections, revisions)/ 実務補完(NFRトレードオフ管理)</t>
        </is>
      </c>
      <c r="I28" s="4" t="inlineStr">
        <is>
          <t>CORE</t>
        </is>
      </c>
      <c r="J28" s="4" t="inlineStr">
        <is>
          <t>原則適用。案件スコープ・成果物・規制・リスク上非該当の場合はN/A根拠を記録。</t>
        </is>
      </c>
      <c r="K28" s="4" t="inlineStr">
        <is>
          <t>SRC-SWEBOK-V4A;SRC-PRACTICE</t>
        </is>
      </c>
      <c r="L28" s="4" t="inlineStr"/>
      <c r="M28" s="4" t="n"/>
      <c r="N28" s="4" t="n"/>
      <c r="O28" s="4" t="n"/>
      <c r="P28" s="4" t="n"/>
      <c r="Q28" s="4" t="n"/>
      <c r="R28" s="4" t="n"/>
      <c r="S28" s="4" t="n"/>
      <c r="T28" s="4" t="n"/>
      <c r="U28" s="4" t="n"/>
      <c r="V28" s="4" t="n"/>
      <c r="W28" s="4" t="n"/>
    </row>
    <row r="29">
      <c r="A29" s="5" t="inlineStr">
        <is>
          <t>SEC-201</t>
        </is>
      </c>
      <c r="B29" s="5" t="inlineStr">
        <is>
          <t>SWEBOK</t>
        </is>
      </c>
      <c r="C29" s="4" t="inlineStr">
        <is>
          <t>3. セキュリティ設計(SEC-201〜)</t>
        </is>
      </c>
      <c r="D29" s="8" t="inlineStr">
        <is>
          <t>Critical</t>
        </is>
      </c>
      <c r="E29" s="4" t="inlineStr">
        <is>
          <t>最小権限の原則が設計に適用されている</t>
        </is>
      </c>
      <c r="F29" s="4" t="inlineStr">
        <is>
          <t>コンポーネント・サービスアカウント・利用者ロールの権限が必要最小限で定義され、権限マトリクス(主体×資源×操作)が存在する</t>
        </is>
      </c>
      <c r="G29" s="4" t="inlineStr">
        <is>
          <t>過剰権限は侵害時の被害範囲をそのまま拡大させる。1コンポーネントの侵害が全システムの侵害に波及する事態を防ぐため、権限マトリクスで最小性を検証可能にする。</t>
        </is>
      </c>
      <c r="H29" s="4" t="inlineStr">
        <is>
          <t>swebok-v4a.pdf ch13 Software Security &gt; 4.4 Construction for Security(CERT Top 10: Adhere to the principle of least privilege)</t>
        </is>
      </c>
      <c r="I29" s="4" t="inlineStr">
        <is>
          <t>CORE</t>
        </is>
      </c>
      <c r="J29" s="4" t="inlineStr">
        <is>
          <t>原則適用。案件スコープ・成果物・規制・リスク上非該当の場合はN/A根拠を記録。</t>
        </is>
      </c>
      <c r="K29" s="4" t="inlineStr">
        <is>
          <t>SRC-SWEBOK-V4A</t>
        </is>
      </c>
      <c r="L29" s="4" t="inlineStr">
        <is>
          <t>SEC-IAM</t>
        </is>
      </c>
      <c r="M29" s="4" t="n"/>
      <c r="N29" s="4" t="n"/>
      <c r="O29" s="4" t="n"/>
      <c r="P29" s="4" t="n"/>
      <c r="Q29" s="4" t="n"/>
      <c r="R29" s="4" t="n"/>
      <c r="S29" s="4" t="n"/>
      <c r="T29" s="4" t="n"/>
      <c r="U29" s="4" t="n"/>
      <c r="V29" s="4" t="n"/>
      <c r="W29" s="4" t="n"/>
    </row>
    <row r="30">
      <c r="A30" s="5" t="inlineStr">
        <is>
          <t>SEC-202</t>
        </is>
      </c>
      <c r="B30" s="5" t="inlineStr">
        <is>
          <t>SWEBOK</t>
        </is>
      </c>
      <c r="C30" s="4" t="inlineStr">
        <is>
          <t>3. セキュリティ設計(SEC-201〜)</t>
        </is>
      </c>
      <c r="D30" s="8" t="inlineStr">
        <is>
          <t>Critical</t>
        </is>
      </c>
      <c r="E30" s="4" t="inlineStr">
        <is>
          <t>デフォルト拒否が採用されている</t>
        </is>
      </c>
      <c r="F30" s="4" t="inlineStr">
        <is>
          <t>アクセス制御の既定動作が「明示的に許可されない限り拒否」であることが設計書に明記されている</t>
        </is>
      </c>
      <c r="G30" s="4" t="inlineStr">
        <is>
          <t>デフォルト許可の設計は「許可ルールの書き漏れ=全開放」となり、設定ミス1つが即座に不正アクセスを許す。デフォルト拒否なら書き漏れは機能不全として安全側に現れる。</t>
        </is>
      </c>
      <c r="H30" s="4" t="inlineStr">
        <is>
          <t>swebok-v4a.pdf ch13 Software Security &gt; 4.4 Construction for Security(CERT Top 10: Default deny)</t>
        </is>
      </c>
      <c r="I30" s="4" t="inlineStr">
        <is>
          <t>CORE</t>
        </is>
      </c>
      <c r="J30" s="4" t="inlineStr">
        <is>
          <t>原則適用。案件スコープ・成果物・規制・リスク上非該当の場合はN/A根拠を記録。</t>
        </is>
      </c>
      <c r="K30" s="4" t="inlineStr">
        <is>
          <t>SRC-SWEBOK-V4A</t>
        </is>
      </c>
      <c r="L30" s="4" t="inlineStr"/>
      <c r="M30" s="4" t="n"/>
      <c r="N30" s="4" t="n"/>
      <c r="O30" s="4" t="n"/>
      <c r="P30" s="4" t="n"/>
      <c r="Q30" s="4" t="n"/>
      <c r="R30" s="4" t="n"/>
      <c r="S30" s="4" t="n"/>
      <c r="T30" s="4" t="n"/>
      <c r="U30" s="4" t="n"/>
      <c r="V30" s="4" t="n"/>
      <c r="W30" s="4" t="n"/>
    </row>
    <row r="31">
      <c r="A31" s="5" t="inlineStr">
        <is>
          <t>SEC-203</t>
        </is>
      </c>
      <c r="B31" s="5" t="inlineStr">
        <is>
          <t>SWEBOK</t>
        </is>
      </c>
      <c r="C31" s="4" t="inlineStr">
        <is>
          <t>3. セキュリティ設計(SEC-201〜)</t>
        </is>
      </c>
      <c r="D31" s="9" t="inlineStr">
        <is>
          <t>High</t>
        </is>
      </c>
      <c r="E31" s="4" t="inlineStr">
        <is>
          <t>多層防御が設計されている</t>
        </is>
      </c>
      <c r="F31" s="4" t="inlineStr">
        <is>
          <t>重要資産への経路上に2層以上の独立した防御(例: 入力検証+認可チェック+監査ログ)が図示または記述されている</t>
        </is>
      </c>
      <c r="G31" s="4" t="inlineStr">
        <is>
          <t>単一の防御に依存すると、その1点の突破(WAFバイパス、検証漏れ)が即座に資産侵害になる。独立した多層があれば1層の欠陥が事故に至る前に他層で止まる。</t>
        </is>
      </c>
      <c r="H31" s="4" t="inlineStr">
        <is>
          <t>swebok-v4a.pdf ch13 Software Security &gt; 4.4 Construction for Security(CERT Top 10: Practice defense in depth)</t>
        </is>
      </c>
      <c r="I31" s="4" t="inlineStr">
        <is>
          <t>CORE</t>
        </is>
      </c>
      <c r="J31" s="4" t="inlineStr">
        <is>
          <t>原則適用。案件スコープ・成果物・規制・リスク上非該当の場合はN/A根拠を記録。</t>
        </is>
      </c>
      <c r="K31" s="4" t="inlineStr">
        <is>
          <t>SRC-SWEBOK-V4A</t>
        </is>
      </c>
      <c r="L31" s="4" t="inlineStr"/>
      <c r="M31" s="4" t="n"/>
      <c r="N31" s="4" t="n"/>
      <c r="O31" s="4" t="n"/>
      <c r="P31" s="4" t="n"/>
      <c r="Q31" s="4" t="n"/>
      <c r="R31" s="4" t="n"/>
      <c r="S31" s="4" t="n"/>
      <c r="T31" s="4" t="n"/>
      <c r="U31" s="4" t="n"/>
      <c r="V31" s="4" t="n"/>
      <c r="W31" s="4" t="n"/>
    </row>
    <row r="32">
      <c r="A32" s="5" t="inlineStr">
        <is>
          <t>SEC-204</t>
        </is>
      </c>
      <c r="B32" s="5" t="inlineStr">
        <is>
          <t>SWEBOK</t>
        </is>
      </c>
      <c r="C32" s="4" t="inlineStr">
        <is>
          <t>3. セキュリティ設計(SEC-201〜)</t>
        </is>
      </c>
      <c r="D32" s="8" t="inlineStr">
        <is>
          <t>Critical</t>
        </is>
      </c>
      <c r="E32" s="4" t="inlineStr">
        <is>
          <t>独自暗号を実装していない</t>
        </is>
      </c>
      <c r="F32" s="4" t="inlineStr">
        <is>
          <t>暗号化・ハッシュ・署名はすべて標準アルゴリズムと実績あるライブラリを使用し、自作アルゴリズム・自作プロトコルがない</t>
        </is>
      </c>
      <c r="G32" s="4" t="inlineStr">
        <is>
          <t>自作暗号は専門家のレビューを経ておらずほぼ確実に破られる。標準アルゴリズムと実績あるライブラリの使用は、暗号の安全性を自前で証明する不可能な負担を回避する唯一の現実解である。</t>
        </is>
      </c>
      <c r="H32" s="4" t="inlineStr">
        <is>
          <t>swebok-v4a.pdf ch13 Software Security &gt; 4.2 Security Design(cryptographic algorithms の慎重な選定)</t>
        </is>
      </c>
      <c r="I32" s="4" t="inlineStr">
        <is>
          <t>CORE</t>
        </is>
      </c>
      <c r="J32" s="4" t="inlineStr">
        <is>
          <t>原則適用。案件スコープ・成果物・規制・リスク上非該当の場合はN/A根拠を記録。</t>
        </is>
      </c>
      <c r="K32" s="4" t="inlineStr">
        <is>
          <t>SRC-SWEBOK-V4A</t>
        </is>
      </c>
      <c r="L32" s="4" t="inlineStr">
        <is>
          <t>SEC-CRYPTO</t>
        </is>
      </c>
      <c r="M32" s="4" t="n"/>
      <c r="N32" s="4" t="n"/>
      <c r="O32" s="4" t="n"/>
      <c r="P32" s="4" t="n"/>
      <c r="Q32" s="4" t="n"/>
      <c r="R32" s="4" t="n"/>
      <c r="S32" s="4" t="n"/>
      <c r="T32" s="4" t="n"/>
      <c r="U32" s="4" t="n"/>
      <c r="V32" s="4" t="n"/>
      <c r="W32" s="4" t="n"/>
    </row>
    <row r="33">
      <c r="A33" s="5" t="inlineStr">
        <is>
          <t>SEC-205</t>
        </is>
      </c>
      <c r="B33" s="5" t="inlineStr">
        <is>
          <t>SWEBOK</t>
        </is>
      </c>
      <c r="C33" s="4" t="inlineStr">
        <is>
          <t>3. セキュリティ設計(SEC-201〜)</t>
        </is>
      </c>
      <c r="D33" s="8" t="inlineStr">
        <is>
          <t>Critical</t>
        </is>
      </c>
      <c r="E33" s="4" t="inlineStr">
        <is>
          <t>暗号アルゴリズムと強度が適切である</t>
        </is>
      </c>
      <c r="F33" s="4" t="inlineStr">
        <is>
          <t>使用アルゴリズム・鍵長・プロトコルバージョンが列挙され、既知の脆弱な方式(平文パスワード保存、高速ハッシュによるパスワード保存、廃止された SSL/TLS バージョン等)を含まない</t>
        </is>
      </c>
      <c r="G33" s="4" t="inlineStr">
        <is>
          <t>アルゴリズム名だけ正しくても鍵長不足や廃止プロトコルの使用で保護は無効化される。脆弱な方式の混入は「暗号化している」という誤った安心感を生む分だけ平文より危険な場合がある。</t>
        </is>
      </c>
      <c r="H33" s="4" t="inlineStr">
        <is>
          <t>swebok-v4a.pdf ch13 Software Security &gt; 4.2 Security Design(暗号アルゴリズムの選定)</t>
        </is>
      </c>
      <c r="I33" s="4" t="inlineStr">
        <is>
          <t>CORE</t>
        </is>
      </c>
      <c r="J33" s="4" t="inlineStr">
        <is>
          <t>原則適用。案件スコープ・成果物・規制・リスク上非該当の場合はN/A根拠を記録。</t>
        </is>
      </c>
      <c r="K33" s="4" t="inlineStr">
        <is>
          <t>SRC-SWEBOK-V4A</t>
        </is>
      </c>
      <c r="L33" s="4" t="inlineStr">
        <is>
          <t>SEC-CRYPTO</t>
        </is>
      </c>
      <c r="M33" s="4" t="n"/>
      <c r="N33" s="4" t="n"/>
      <c r="O33" s="4" t="n"/>
      <c r="P33" s="4" t="n"/>
      <c r="Q33" s="4" t="n"/>
      <c r="R33" s="4" t="n"/>
      <c r="S33" s="4" t="n"/>
      <c r="T33" s="4" t="n"/>
      <c r="U33" s="4" t="n"/>
      <c r="V33" s="4" t="n"/>
      <c r="W33" s="4" t="n"/>
    </row>
    <row r="34">
      <c r="A34" s="5" t="inlineStr">
        <is>
          <t>SEC-206</t>
        </is>
      </c>
      <c r="B34" s="5" t="inlineStr">
        <is>
          <t>SWEBOK</t>
        </is>
      </c>
      <c r="C34" s="4" t="inlineStr">
        <is>
          <t>3. セキュリティ設計(SEC-201〜)</t>
        </is>
      </c>
      <c r="D34" s="8" t="inlineStr">
        <is>
          <t>Critical</t>
        </is>
      </c>
      <c r="E34" s="4" t="inlineStr">
        <is>
          <t>鍵管理が設計されている</t>
        </is>
      </c>
      <c r="F34" s="4" t="inlineStr">
        <is>
          <t>鍵・証明書の生成・保管場所・アクセス制御・ローテーション・失効の方式が文書化されている</t>
        </is>
      </c>
      <c r="G34" s="4" t="inlineStr">
        <is>
          <t>暗号は鍵管理が破綻すれば無意味になる。鍵の平文保存・ローテーションなし・失効手段なしは、漏えい時に全過去データの復号を許し、かつ被害を止める手段がない状態を作る。</t>
        </is>
      </c>
      <c r="H34" s="4" t="inlineStr">
        <is>
          <t>swebok-v4a.pdf ch13 Software Security &gt; 4.2 Security Design(cryptographic material の生成・配布・管理)</t>
        </is>
      </c>
      <c r="I34" s="4" t="inlineStr">
        <is>
          <t>CORE</t>
        </is>
      </c>
      <c r="J34" s="4" t="inlineStr">
        <is>
          <t>原則適用。案件スコープ・成果物・規制・リスク上非該当の場合はN/A根拠を記録。</t>
        </is>
      </c>
      <c r="K34" s="4" t="inlineStr">
        <is>
          <t>SRC-SWEBOK-V4A</t>
        </is>
      </c>
      <c r="L34" s="4" t="inlineStr">
        <is>
          <t>SEC-CRYPTO</t>
        </is>
      </c>
      <c r="M34" s="4" t="n"/>
      <c r="N34" s="4" t="n"/>
      <c r="O34" s="4" t="n"/>
      <c r="P34" s="4" t="n"/>
      <c r="Q34" s="4" t="n"/>
      <c r="R34" s="4" t="n"/>
      <c r="S34" s="4" t="n"/>
      <c r="T34" s="4" t="n"/>
      <c r="U34" s="4" t="n"/>
      <c r="V34" s="4" t="n"/>
      <c r="W34" s="4" t="n"/>
    </row>
    <row r="35">
      <c r="A35" s="5" t="inlineStr">
        <is>
          <t>SEC-207</t>
        </is>
      </c>
      <c r="B35" s="5" t="inlineStr">
        <is>
          <t>SWEBOK</t>
        </is>
      </c>
      <c r="C35" s="4" t="inlineStr">
        <is>
          <t>3. セキュリティ設計(SEC-201〜)</t>
        </is>
      </c>
      <c r="D35" s="9" t="inlineStr">
        <is>
          <t>High</t>
        </is>
      </c>
      <c r="E35" s="4" t="inlineStr">
        <is>
          <t>脅威モデルの緩和策が設計に反映されている</t>
        </is>
      </c>
      <c r="F35" s="4" t="inlineStr">
        <is>
          <t>脅威モデルの全緩和策が設計書の該当節に対応付けられている(対応表または参照がある)</t>
        </is>
      </c>
      <c r="G35" s="4" t="inlineStr">
        <is>
          <t>脅威モデルで決めた緩和策が設計書に反映されなければ、分析工数が無駄になるだけでなく「対策済みのつもり」の脅威が無防備で残る。対応表がこの断絶を検出する。</t>
        </is>
      </c>
      <c r="H35" s="4" t="inlineStr">
        <is>
          <t>swebok-v4a.pdf ch13 Software Security &gt; 4.2 Security Design(threat modelingの結果を設計へ反映)</t>
        </is>
      </c>
      <c r="I35" s="4" t="inlineStr">
        <is>
          <t>CORE</t>
        </is>
      </c>
      <c r="J35" s="4" t="inlineStr">
        <is>
          <t>原則適用。案件スコープ・成果物・規制・リスク上非該当の場合はN/A根拠を記録。</t>
        </is>
      </c>
      <c r="K35" s="4" t="inlineStr">
        <is>
          <t>SRC-SWEBOK-V4A</t>
        </is>
      </c>
      <c r="L35" s="4" t="inlineStr"/>
      <c r="M35" s="4" t="n"/>
      <c r="N35" s="4" t="n"/>
      <c r="O35" s="4" t="n"/>
      <c r="P35" s="4" t="n"/>
      <c r="Q35" s="4" t="n"/>
      <c r="R35" s="4" t="n"/>
      <c r="S35" s="4" t="n"/>
      <c r="T35" s="4" t="n"/>
      <c r="U35" s="4" t="n"/>
      <c r="V35" s="4" t="n"/>
      <c r="W35" s="4" t="n"/>
    </row>
    <row r="36">
      <c r="A36" s="5" t="inlineStr">
        <is>
          <t>SEC-208</t>
        </is>
      </c>
      <c r="B36" s="5" t="inlineStr">
        <is>
          <t>SWEBOK</t>
        </is>
      </c>
      <c r="C36" s="4" t="inlineStr">
        <is>
          <t>3. セキュリティ設計(SEC-201〜)</t>
        </is>
      </c>
      <c r="D36" s="9" t="inlineStr">
        <is>
          <t>High</t>
        </is>
      </c>
      <c r="E36" s="4" t="inlineStr">
        <is>
          <t>セキュリティパターンが活用されている</t>
        </is>
      </c>
      <c r="F36" s="4" t="inlineStr">
        <is>
          <t>認証・認可・セッション等の設計が既知のセキュリティパターンまたはフレームワーク標準機能に基づき、独自方式の場合は採用理由が記録されている</t>
        </is>
      </c>
      <c r="G36" s="4" t="inlineStr">
        <is>
          <t>認証・認可・セッションの独自実装は既知の落とし穴を踏み直すことになる。実証済みパターンとフレームワーク標準機能の利用が、車輪の再発明による脆弱性混入を防ぐ。</t>
        </is>
      </c>
      <c r="H36" s="4" t="inlineStr">
        <is>
          <t>swebok-v4a.pdf ch13 Software Security &gt; 4.3 Security Patterns</t>
        </is>
      </c>
      <c r="I36" s="4" t="inlineStr">
        <is>
          <t>CORE</t>
        </is>
      </c>
      <c r="J36" s="4" t="inlineStr">
        <is>
          <t>原則適用。案件スコープ・成果物・規制・リスク上非該当の場合はN/A根拠を記録。</t>
        </is>
      </c>
      <c r="K36" s="4" t="inlineStr">
        <is>
          <t>SRC-SWEBOK-V4A</t>
        </is>
      </c>
      <c r="L36" s="4" t="inlineStr"/>
      <c r="M36" s="4" t="n"/>
      <c r="N36" s="4" t="n"/>
      <c r="O36" s="4" t="n"/>
      <c r="P36" s="4" t="n"/>
      <c r="Q36" s="4" t="n"/>
      <c r="R36" s="4" t="n"/>
      <c r="S36" s="4" t="n"/>
      <c r="T36" s="4" t="n"/>
      <c r="U36" s="4" t="n"/>
      <c r="V36" s="4" t="n"/>
      <c r="W36" s="4" t="n"/>
    </row>
    <row r="37">
      <c r="A37" s="5" t="inlineStr">
        <is>
          <t>SEC-209</t>
        </is>
      </c>
      <c r="B37" s="5" t="inlineStr">
        <is>
          <t>SWEBOK</t>
        </is>
      </c>
      <c r="C37" s="4" t="inlineStr">
        <is>
          <t>3. セキュリティ設計(SEC-201〜)</t>
        </is>
      </c>
      <c r="D37" s="9" t="inlineStr">
        <is>
          <t>High</t>
        </is>
      </c>
      <c r="E37" s="4" t="inlineStr">
        <is>
          <t>フェイルセキュアが設計されている</t>
        </is>
      </c>
      <c r="F37" s="4" t="inlineStr">
        <is>
          <t>認証・認可・検証処理の失敗時にアクセスを拒否する側に倒れることが例外処理方針として明記されている</t>
        </is>
      </c>
      <c r="G37" s="4" t="inlineStr">
        <is>
          <t>例外発生時に許可側へ倒れる実装(検証エラーを握りつぶして続行等)は、攻撃者が意図的にエラーを起こすことで防御を迂回する定番の穴になる。失敗時拒否の方針明記が実装のばらつきを防ぐ。</t>
        </is>
      </c>
      <c r="H37" s="4" t="inlineStr">
        <is>
          <t>swebok-v4a.pdf ch13 Software Security &gt; 4.2 Security Design(failing and recovering securely)</t>
        </is>
      </c>
      <c r="I37" s="4" t="inlineStr">
        <is>
          <t>CORE</t>
        </is>
      </c>
      <c r="J37" s="4" t="inlineStr">
        <is>
          <t>原則適用。案件スコープ・成果物・規制・リスク上非該当の場合はN/A根拠を記録。</t>
        </is>
      </c>
      <c r="K37" s="4" t="inlineStr">
        <is>
          <t>SRC-SWEBOK-V4A</t>
        </is>
      </c>
      <c r="L37" s="4" t="inlineStr"/>
      <c r="M37" s="4" t="n"/>
      <c r="N37" s="4" t="n"/>
      <c r="O37" s="4" t="n"/>
      <c r="P37" s="4" t="n"/>
      <c r="Q37" s="4" t="n"/>
      <c r="R37" s="4" t="n"/>
      <c r="S37" s="4" t="n"/>
      <c r="T37" s="4" t="n"/>
      <c r="U37" s="4" t="n"/>
      <c r="V37" s="4" t="n"/>
      <c r="W37" s="4" t="n"/>
    </row>
    <row r="38">
      <c r="A38" s="5" t="inlineStr">
        <is>
          <t>SEC-210</t>
        </is>
      </c>
      <c r="B38" s="5" t="inlineStr">
        <is>
          <t>SWEBOK</t>
        </is>
      </c>
      <c r="C38" s="4" t="inlineStr">
        <is>
          <t>3. セキュリティ設計(SEC-201〜)</t>
        </is>
      </c>
      <c r="D38" s="9" t="inlineStr">
        <is>
          <t>High</t>
        </is>
      </c>
      <c r="E38" s="4" t="inlineStr">
        <is>
          <t>エラー処理で内部情報を露出しない設計である</t>
        </is>
      </c>
      <c r="F38" s="4" t="inlineStr">
        <is>
          <t>利用者向けエラー応答にスタックトレース・内部パス・SQL 文・バージョン情報を含めない方針が定義されている</t>
        </is>
      </c>
      <c r="G38" s="4" t="inlineStr">
        <is>
          <t>スタックトレースやSQL文の露出は攻撃者に内部構造の偵察情報を無償提供し、後続攻撃の精度を上げる。エラー応答の設計方針がないと開発時のデバッグ出力がそのまま本番に残る。</t>
        </is>
      </c>
      <c r="H38" s="4" t="inlineStr">
        <is>
          <t>swebok-v4a.pdf ch13 Software Security &gt; 4.2 Security Design / 実務補完(OWASP エラーハンドリング)</t>
        </is>
      </c>
      <c r="I38" s="4" t="inlineStr">
        <is>
          <t>CORE</t>
        </is>
      </c>
      <c r="J38" s="4" t="inlineStr">
        <is>
          <t>原則適用。案件スコープ・成果物・規制・リスク上非該当の場合はN/A根拠を記録。</t>
        </is>
      </c>
      <c r="K38" s="4" t="inlineStr">
        <is>
          <t>SRC-SWEBOK-V4A;SRC-OWASP;SRC-PRACTICE</t>
        </is>
      </c>
      <c r="L38" s="4" t="inlineStr"/>
      <c r="M38" s="4" t="n"/>
      <c r="N38" s="4" t="n"/>
      <c r="O38" s="4" t="n"/>
      <c r="P38" s="4" t="n"/>
      <c r="Q38" s="4" t="n"/>
      <c r="R38" s="4" t="n"/>
      <c r="S38" s="4" t="n"/>
      <c r="T38" s="4" t="n"/>
      <c r="U38" s="4" t="n"/>
      <c r="V38" s="4" t="n"/>
      <c r="W38" s="4" t="n"/>
    </row>
    <row r="39">
      <c r="A39" s="5" t="inlineStr">
        <is>
          <t>SEC-211</t>
        </is>
      </c>
      <c r="B39" s="5" t="inlineStr">
        <is>
          <t>SWEBOK</t>
        </is>
      </c>
      <c r="C39" s="4" t="inlineStr">
        <is>
          <t>3. セキュリティ設計(SEC-201〜)</t>
        </is>
      </c>
      <c r="D39" s="10" t="inlineStr">
        <is>
          <t>Medium</t>
        </is>
      </c>
      <c r="E39" s="4" t="inlineStr">
        <is>
          <t>監査ログの設計に機微情報保護が含まれる</t>
        </is>
      </c>
      <c r="F39" s="4" t="inlineStr">
        <is>
          <t>ログに出力しない項目(パスワード、トークン、カード番号等)とマスキング方式が定義されている</t>
        </is>
      </c>
      <c r="G39" s="4" t="inlineStr">
        <is>
          <t>ログにパスワードやトークンが混入すると、ログ閲覧権限者全員が機微情報にアクセスできる状態になり、ログ基盤経由の大規模漏えいを引き起こす。除外項目の事前定義が必要。</t>
        </is>
      </c>
      <c r="H39" s="4" t="inlineStr">
        <is>
          <t>swebok-v4a.pdf ch13 Software Security &gt; 1.2 Information Security(機密性)/ 実務補完(ログ設計実務)</t>
        </is>
      </c>
      <c r="I39" s="4" t="inlineStr">
        <is>
          <t>CORE</t>
        </is>
      </c>
      <c r="J39" s="4" t="inlineStr">
        <is>
          <t>原則適用。案件スコープ・成果物・規制・リスク上非該当の場合はN/A根拠を記録。</t>
        </is>
      </c>
      <c r="K39" s="4" t="inlineStr">
        <is>
          <t>SRC-SWEBOK-V4A;SRC-PRACTICE</t>
        </is>
      </c>
      <c r="L39" s="4" t="inlineStr">
        <is>
          <t>OPS-OBSERVABILITY</t>
        </is>
      </c>
      <c r="M39" s="4" t="n"/>
      <c r="N39" s="4" t="n"/>
      <c r="O39" s="4" t="n"/>
      <c r="P39" s="4" t="n"/>
      <c r="Q39" s="4" t="n"/>
      <c r="R39" s="4" t="n"/>
      <c r="S39" s="4" t="n"/>
      <c r="T39" s="4" t="n"/>
      <c r="U39" s="4" t="n"/>
      <c r="V39" s="4" t="n"/>
      <c r="W39" s="4" t="n"/>
    </row>
    <row r="40">
      <c r="A40" s="5" t="inlineStr">
        <is>
          <t>SEC-212</t>
        </is>
      </c>
      <c r="B40" s="5" t="inlineStr">
        <is>
          <t>SWEBOK</t>
        </is>
      </c>
      <c r="C40" s="4" t="inlineStr">
        <is>
          <t>3. セキュリティ設計(SEC-201〜)</t>
        </is>
      </c>
      <c r="D40" s="10" t="inlineStr">
        <is>
          <t>Medium</t>
        </is>
      </c>
      <c r="E40" s="4" t="inlineStr">
        <is>
          <t>攻撃対象領域の最小化が検討されている</t>
        </is>
      </c>
      <c r="F40" s="4" t="inlineStr">
        <is>
          <t>不要なエンドポイント・ポート・機能・アカウントを無効化する方針が設計書に記載されている</t>
        </is>
      </c>
      <c r="G40" s="4" t="inlineStr">
        <is>
          <t>使われていないエンドポイントやアカウントは監視もパッチも忘れられ、攻撃者にとって最も侵入しやすい入口になる。攻撃対象領域の最小化は防御コストを下げる根本策である。</t>
        </is>
      </c>
      <c r="H40" s="4" t="inlineStr">
        <is>
          <t>swebok-v4a.pdf ch13 Software Security &gt; 4.2 Security Design / 6.1 Security for Container and Cloud(忘れられた資産のリスク)</t>
        </is>
      </c>
      <c r="I40" s="4" t="inlineStr">
        <is>
          <t>CORE</t>
        </is>
      </c>
      <c r="J40" s="4" t="inlineStr">
        <is>
          <t>原則適用。案件スコープ・成果物・規制・リスク上非該当の場合はN/A根拠を記録。</t>
        </is>
      </c>
      <c r="K40" s="4" t="inlineStr">
        <is>
          <t>SRC-SWEBOK-V4A</t>
        </is>
      </c>
      <c r="L40" s="4" t="inlineStr"/>
      <c r="M40" s="4" t="n"/>
      <c r="N40" s="4" t="n"/>
      <c r="O40" s="4" t="n"/>
      <c r="P40" s="4" t="n"/>
      <c r="Q40" s="4" t="n"/>
      <c r="R40" s="4" t="n"/>
      <c r="S40" s="4" t="n"/>
      <c r="T40" s="4" t="n"/>
      <c r="U40" s="4" t="n"/>
      <c r="V40" s="4" t="n"/>
      <c r="W40" s="4" t="n"/>
    </row>
    <row r="41">
      <c r="A41" s="5" t="inlineStr">
        <is>
          <t>SEC-213</t>
        </is>
      </c>
      <c r="B41" s="5" t="inlineStr">
        <is>
          <t>SWEBOK</t>
        </is>
      </c>
      <c r="C41" s="4" t="inlineStr">
        <is>
          <t>3. セキュリティ設計(SEC-201〜)</t>
        </is>
      </c>
      <c r="D41" s="10" t="inlineStr">
        <is>
          <t>Medium</t>
        </is>
      </c>
      <c r="E41" s="4" t="inlineStr">
        <is>
          <t>設計のシンプルさが保たれている</t>
        </is>
      </c>
      <c r="F41" s="4" t="inlineStr">
        <is>
          <t>セキュリティ機構が過度に複雑でなく、レビュー担当が挙動を追跡できる(CERT「Keep it simple」)。複雑な箇所には説明文書がある</t>
        </is>
      </c>
      <c r="G41" s="4" t="inlineStr">
        <is>
          <t>複雑なセキュリティ機構はレビューで挙動を追えず、欠陥が発見されないまま残る。シンプルさは「レビューにより安全性を確認できる」ことの前提条件である。</t>
        </is>
      </c>
      <c r="H41" s="4" t="inlineStr">
        <is>
          <t>swebok-v4a.pdf ch13 Software Security &gt; 4.4 Construction for Security(CERT Top 10: Keep it simple)</t>
        </is>
      </c>
      <c r="I41" s="4" t="inlineStr">
        <is>
          <t>CORE</t>
        </is>
      </c>
      <c r="J41" s="4" t="inlineStr">
        <is>
          <t>原則適用。案件スコープ・成果物・規制・リスク上非該当の場合はN/A根拠を記録。</t>
        </is>
      </c>
      <c r="K41" s="4" t="inlineStr">
        <is>
          <t>SRC-SWEBOK-V4A</t>
        </is>
      </c>
      <c r="L41" s="4" t="inlineStr"/>
      <c r="M41" s="4" t="n"/>
      <c r="N41" s="4" t="n"/>
      <c r="O41" s="4" t="n"/>
      <c r="P41" s="4" t="n"/>
      <c r="Q41" s="4" t="n"/>
      <c r="R41" s="4" t="n"/>
      <c r="S41" s="4" t="n"/>
      <c r="T41" s="4" t="n"/>
      <c r="U41" s="4" t="n"/>
      <c r="V41" s="4" t="n"/>
      <c r="W41" s="4" t="n"/>
    </row>
    <row r="42">
      <c r="A42" s="5" t="inlineStr">
        <is>
          <t>SEC-913</t>
        </is>
      </c>
      <c r="B42" s="5" t="inlineStr">
        <is>
          <t>追加承認</t>
        </is>
      </c>
      <c r="C42" s="4" t="inlineStr">
        <is>
          <t>3. セキュリティ設計(SEC-201〜)</t>
        </is>
      </c>
      <c r="D42" s="9" t="inlineStr">
        <is>
          <t>High</t>
        </is>
      </c>
      <c r="E42" s="4" t="inlineStr">
        <is>
          <t>侵害発生を前提とした被害限定と復旧が設計されている</t>
        </is>
      </c>
      <c r="F42" s="4" t="inlineStr">
        <is>
          <t>コンポーネント侵害時の影響波及を限定する分離(ネットワークセグメント、テナント分離等)、侵害検知後のサービス継続・復旧手段(隔離、認証情報の一斉失効、クリーンな状態への復元)が設計書に記述されている</t>
        </is>
      </c>
      <c r="G42" s="4" t="inlineStr">
        <is>
          <t>防止策のみの設計は、1点の突破が全面侵害と長期停止に直結する。侵害を前提とした被害限定・復旧の設計がないと、インシデント発生時の損害と復旧時間が桁違いに膨らむ。</t>
        </is>
      </c>
      <c r="H42" s="4" t="inlineStr">
        <is>
          <t>swebok-v4a.pdf ch13 Software Security &gt; 4.2 Security Design(攻撃の許容: 被害限定・サービス継続・迅速な復旧)</t>
        </is>
      </c>
      <c r="I42" s="4" t="inlineStr">
        <is>
          <t>CORE</t>
        </is>
      </c>
      <c r="J42" s="4" t="inlineStr">
        <is>
          <t>原則適用。案件スコープ・成果物・規制・リスク上非該当の場合はN/A根拠を記録。</t>
        </is>
      </c>
      <c r="K42" s="4" t="inlineStr">
        <is>
          <t>SRC-SWEBOK-V4A</t>
        </is>
      </c>
      <c r="L42" s="4" t="inlineStr"/>
      <c r="M42" s="4" t="n"/>
      <c r="N42" s="4" t="n"/>
      <c r="O42" s="4" t="n"/>
      <c r="P42" s="4" t="n"/>
      <c r="Q42" s="4" t="n"/>
      <c r="R42" s="4" t="n"/>
      <c r="S42" s="4" t="n"/>
      <c r="T42" s="4" t="n"/>
      <c r="U42" s="4" t="n"/>
      <c r="V42" s="4" t="n"/>
      <c r="W42" s="4" t="n"/>
    </row>
    <row r="43">
      <c r="A43" s="5" t="inlineStr">
        <is>
          <t>SEC-301</t>
        </is>
      </c>
      <c r="B43" s="5" t="inlineStr">
        <is>
          <t>SWEBOK</t>
        </is>
      </c>
      <c r="C43" s="4" t="inlineStr">
        <is>
          <t>4. セキュアコーディング(SEC-301〜)</t>
        </is>
      </c>
      <c r="D43" s="8" t="inlineStr">
        <is>
          <t>Critical</t>
        </is>
      </c>
      <c r="E43" s="4" t="inlineStr">
        <is>
          <t>信頼境界での入力検証が実装されている</t>
        </is>
      </c>
      <c r="F43" s="4" t="inlineStr">
        <is>
          <t>外部入力(HTTP パラメータ、ファイル、API 応答等)がサーバ側で型・長さ・形式・範囲を検証されている。クライアント側検証のみに依存していない</t>
        </is>
      </c>
      <c r="G43" s="4" t="inlineStr">
        <is>
          <t>未検証の外部入力はインジェクション・オーバーフロー等ほぼ全ての実装脆弱性の起点である。クライアント側検証は攻撃者が自由に迂回できるため、サーバ側検証がなければ防御ゼロに等しい。</t>
        </is>
      </c>
      <c r="H43" s="4" t="inlineStr">
        <is>
          <t>swebok-v4a.pdf ch13 Software Security &gt; 4.4 Construction for Security(CERT Top 10: Validate input)</t>
        </is>
      </c>
      <c r="I43" s="4" t="inlineStr">
        <is>
          <t>CORE</t>
        </is>
      </c>
      <c r="J43" s="4" t="inlineStr">
        <is>
          <t>原則適用。案件スコープ・成果物・規制・リスク上非該当の場合はN/A根拠を記録。</t>
        </is>
      </c>
      <c r="K43" s="4" t="inlineStr">
        <is>
          <t>SRC-SWEBOK-V4A</t>
        </is>
      </c>
      <c r="L43" s="4" t="inlineStr"/>
      <c r="M43" s="4" t="n"/>
      <c r="N43" s="4" t="n"/>
      <c r="O43" s="4" t="n"/>
      <c r="P43" s="4" t="n"/>
      <c r="Q43" s="4" t="n"/>
      <c r="R43" s="4" t="n"/>
      <c r="S43" s="4" t="n"/>
      <c r="T43" s="4" t="n"/>
      <c r="U43" s="4" t="n"/>
      <c r="V43" s="4" t="n"/>
      <c r="W43" s="4" t="n"/>
    </row>
    <row r="44">
      <c r="A44" s="5" t="inlineStr">
        <is>
          <t>SEC-302</t>
        </is>
      </c>
      <c r="B44" s="5" t="inlineStr">
        <is>
          <t>SWEBOK</t>
        </is>
      </c>
      <c r="C44" s="4" t="inlineStr">
        <is>
          <t>4. セキュアコーディング(SEC-301〜)</t>
        </is>
      </c>
      <c r="D44" s="8" t="inlineStr">
        <is>
          <t>Critical</t>
        </is>
      </c>
      <c r="E44" s="4" t="inlineStr">
        <is>
          <t>インジェクション対策が実装されている</t>
        </is>
      </c>
      <c r="F44" s="4" t="inlineStr">
        <is>
          <t>SQL はプレースホルダ/パラメータ化クエリ、OS コマンドは引数配列渡しまたは回避、で統一されており、文字列連結によるクエリ・コマンド組み立てがない(OWASP Top 10: Injection)</t>
        </is>
      </c>
      <c r="G44" s="4" t="inlineStr">
        <is>
          <t>文字列連結によるクエリ組み立ては、入力検証をすり抜けた1件でデータベース全体の窃取・改ざんを許す。パラメータ化の徹底は個別の検証品質に依存しない構造的防御である。</t>
        </is>
      </c>
      <c r="H44" s="4" t="inlineStr">
        <is>
          <t>swebok-v4a.pdf ch13 Software Security &gt; 4.4 Construction for Security / 実務補完(OWASP Top 10: Injection)</t>
        </is>
      </c>
      <c r="I44" s="4" t="inlineStr">
        <is>
          <t>CORE</t>
        </is>
      </c>
      <c r="J44" s="4" t="inlineStr">
        <is>
          <t>原則適用。案件スコープ・成果物・規制・リスク上非該当の場合はN/A根拠を記録。</t>
        </is>
      </c>
      <c r="K44" s="4" t="inlineStr">
        <is>
          <t>SRC-SWEBOK-V4A;SRC-OWASP;SRC-PRACTICE</t>
        </is>
      </c>
      <c r="L44" s="4" t="inlineStr"/>
      <c r="M44" s="4" t="n"/>
      <c r="N44" s="4" t="n"/>
      <c r="O44" s="4" t="n"/>
      <c r="P44" s="4" t="n"/>
      <c r="Q44" s="4" t="n"/>
      <c r="R44" s="4" t="n"/>
      <c r="S44" s="4" t="n"/>
      <c r="T44" s="4" t="n"/>
      <c r="U44" s="4" t="n"/>
      <c r="V44" s="4" t="n"/>
      <c r="W44" s="4" t="n"/>
    </row>
    <row r="45">
      <c r="A45" s="5" t="inlineStr">
        <is>
          <t>SEC-303</t>
        </is>
      </c>
      <c r="B45" s="5" t="inlineStr">
        <is>
          <t>SWEBOK</t>
        </is>
      </c>
      <c r="C45" s="4" t="inlineStr">
        <is>
          <t>4. セキュアコーディング(SEC-301〜)</t>
        </is>
      </c>
      <c r="D45" s="8" t="inlineStr">
        <is>
          <t>Critical</t>
        </is>
      </c>
      <c r="E45" s="4" t="inlineStr">
        <is>
          <t>出力エンコーディングが実装されている</t>
        </is>
      </c>
      <c r="F45" s="4" t="inlineStr">
        <is>
          <t>HTML/JS/URL 等の出力先に応じたエスケープまたは自動エスケープ機構(テンプレートエンジン)が使われ、無効化(raw 出力)箇所には安全性の根拠がある</t>
        </is>
      </c>
      <c r="G45" s="4" t="inlineStr">
        <is>
          <t>出力エスケープの欠落はXSSとしてユーザーのセッション窃取・操作の乗っ取りを許す。自動エスケープ機構への統一とraw出力の根拠管理で、開発者ごとの対応漏れを防ぐ。</t>
        </is>
      </c>
      <c r="H45" s="4" t="inlineStr">
        <is>
          <t>swebok-v4a.pdf ch13 Software Security &gt; 4.4 Construction for Security(Sanitize data sent to other software)/ 実務補完(OWASP Top 10)</t>
        </is>
      </c>
      <c r="I45" s="4" t="inlineStr">
        <is>
          <t>CORE</t>
        </is>
      </c>
      <c r="J45" s="4" t="inlineStr">
        <is>
          <t>原則適用。案件スコープ・成果物・規制・リスク上非該当の場合はN/A根拠を記録。</t>
        </is>
      </c>
      <c r="K45" s="4" t="inlineStr">
        <is>
          <t>SRC-SWEBOK-V4A;SRC-OWASP;SRC-PRACTICE</t>
        </is>
      </c>
      <c r="L45" s="4" t="inlineStr"/>
      <c r="M45" s="4" t="n"/>
      <c r="N45" s="4" t="n"/>
      <c r="O45" s="4" t="n"/>
      <c r="P45" s="4" t="n"/>
      <c r="Q45" s="4" t="n"/>
      <c r="R45" s="4" t="n"/>
      <c r="S45" s="4" t="n"/>
      <c r="T45" s="4" t="n"/>
      <c r="U45" s="4" t="n"/>
      <c r="V45" s="4" t="n"/>
      <c r="W45" s="4" t="n"/>
    </row>
    <row r="46">
      <c r="A46" s="5" t="inlineStr">
        <is>
          <t>SEC-304</t>
        </is>
      </c>
      <c r="B46" s="5" t="inlineStr">
        <is>
          <t>SWEBOK</t>
        </is>
      </c>
      <c r="C46" s="4" t="inlineStr">
        <is>
          <t>4. セキュアコーディング(SEC-301〜)</t>
        </is>
      </c>
      <c r="D46" s="8" t="inlineStr">
        <is>
          <t>Critical</t>
        </is>
      </c>
      <c r="E46" s="4" t="inlineStr">
        <is>
          <t>シークレットがハードコードされていない</t>
        </is>
      </c>
      <c r="F46" s="4" t="inlineStr">
        <is>
          <t>ソースコード・設定ファイル・リポジトリ履歴に API キー・パスワード・秘密鍵が含まれず、シークレットストアまたは環境変数経由で注入される</t>
        </is>
      </c>
      <c r="G46" s="4" t="inlineStr">
        <is>
          <t>ハードコードされたシークレットはリポジトリにアクセスできる全員(退職者・侵害されたCI・公開ミス時は全世界)に漏れ、履歴に残るため削除しても失効しない。事故時の被害が恒久化する。</t>
        </is>
      </c>
      <c r="H46" s="4" t="inlineStr">
        <is>
          <t>実務補完(OWASP/シークレット管理実務)</t>
        </is>
      </c>
      <c r="I46" s="4" t="inlineStr">
        <is>
          <t>CORE</t>
        </is>
      </c>
      <c r="J46" s="4" t="inlineStr">
        <is>
          <t>原則適用。案件スコープ・成果物・規制・リスク上非該当の場合はN/A根拠を記録。</t>
        </is>
      </c>
      <c r="K46" s="4" t="inlineStr">
        <is>
          <t>SRC-OWASP;SRC-PRACTICE</t>
        </is>
      </c>
      <c r="L46" s="4" t="inlineStr"/>
      <c r="M46" s="4" t="n"/>
      <c r="N46" s="4" t="n"/>
      <c r="O46" s="4" t="n"/>
      <c r="P46" s="4" t="n"/>
      <c r="Q46" s="4" t="n"/>
      <c r="R46" s="4" t="n"/>
      <c r="S46" s="4" t="n"/>
      <c r="T46" s="4" t="n"/>
      <c r="U46" s="4" t="n"/>
      <c r="V46" s="4" t="n"/>
      <c r="W46" s="4" t="n"/>
    </row>
    <row r="47">
      <c r="A47" s="5" t="inlineStr">
        <is>
          <t>SEC-305</t>
        </is>
      </c>
      <c r="B47" s="5" t="inlineStr">
        <is>
          <t>SWEBOK</t>
        </is>
      </c>
      <c r="C47" s="4" t="inlineStr">
        <is>
          <t>4. セキュアコーディング(SEC-301〜)</t>
        </is>
      </c>
      <c r="D47" s="8" t="inlineStr">
        <is>
          <t>Critical</t>
        </is>
      </c>
      <c r="E47" s="4" t="inlineStr">
        <is>
          <t>認可チェックがサーバ側の全アクセス経路で行われる</t>
        </is>
      </c>
      <c r="F47" s="4" t="inlineStr">
        <is>
          <t>各 API/画面のリソースアクセスにサーバ側の認可チェックがあり、ID 直接指定による他者リソースアクセス(いわゆる IDOR)を拒否するテストまたは実装が確認できる</t>
        </is>
      </c>
      <c r="G47" s="4" t="inlineStr">
        <is>
          <t>URLのID書き換えだけで他人のデータが見えるIDORは、発見が容易なわりに被害が大きい頻出脆弱性である。画面制御でなくサーバ側の全経路チェックでなければ防御にならない。</t>
        </is>
      </c>
      <c r="H47" s="4" t="inlineStr">
        <is>
          <t>swebok-v4a.pdf ch13 Software Security &gt; 4.2 Security Design(access control)/ 実務補完(OWASP Top 10: Broken Access Control)</t>
        </is>
      </c>
      <c r="I47" s="4" t="inlineStr">
        <is>
          <t>CORE</t>
        </is>
      </c>
      <c r="J47" s="4" t="inlineStr">
        <is>
          <t>原則適用。案件スコープ・成果物・規制・リスク上非該当の場合はN/A根拠を記録。</t>
        </is>
      </c>
      <c r="K47" s="4" t="inlineStr">
        <is>
          <t>SRC-SWEBOK-V4A;SRC-OWASP;SRC-PRACTICE</t>
        </is>
      </c>
      <c r="L47" s="4" t="inlineStr">
        <is>
          <t>SEC-IAM</t>
        </is>
      </c>
      <c r="M47" s="4" t="n"/>
      <c r="N47" s="4" t="n"/>
      <c r="O47" s="4" t="n"/>
      <c r="P47" s="4" t="n"/>
      <c r="Q47" s="4" t="n"/>
      <c r="R47" s="4" t="n"/>
      <c r="S47" s="4" t="n"/>
      <c r="T47" s="4" t="n"/>
      <c r="U47" s="4" t="n"/>
      <c r="V47" s="4" t="n"/>
      <c r="W47" s="4" t="n"/>
    </row>
    <row r="48">
      <c r="A48" s="5" t="inlineStr">
        <is>
          <t>SEC-306</t>
        </is>
      </c>
      <c r="B48" s="5" t="inlineStr">
        <is>
          <t>SWEBOK</t>
        </is>
      </c>
      <c r="C48" s="4" t="inlineStr">
        <is>
          <t>4. セキュアコーディング(SEC-301〜)</t>
        </is>
      </c>
      <c r="D48" s="9" t="inlineStr">
        <is>
          <t>High</t>
        </is>
      </c>
      <c r="E48" s="4" t="inlineStr">
        <is>
          <t>パスワードが安全に保管されている</t>
        </is>
      </c>
      <c r="F48" s="4" t="inlineStr">
        <is>
          <t>パスワードは bcrypt/scrypt/Argon2 等のパスワード向けハッシュで保存され、平文・可逆暗号・単純ハッシュでない</t>
        </is>
      </c>
      <c r="G48" s="4" t="inlineStr">
        <is>
          <t>高速ハッシュや平文でのパスワード保存は、DB漏えい時に全ユーザーの認証情報が即座に割られ、他サービスへのパスワード使い回し攻撃まで波及する。専用ハッシュはこの被害を時間的に封じる。</t>
        </is>
      </c>
      <c r="H48" s="4" t="inlineStr">
        <is>
          <t>swebok-v4a.pdf ch13 Software Security &gt; 4.4 Construction for Security / 実務補完(OWASP パスワード保管)</t>
        </is>
      </c>
      <c r="I48" s="4" t="inlineStr">
        <is>
          <t>CORE</t>
        </is>
      </c>
      <c r="J48" s="4" t="inlineStr">
        <is>
          <t>原則適用。案件スコープ・成果物・規制・リスク上非該当の場合はN/A根拠を記録。</t>
        </is>
      </c>
      <c r="K48" s="4" t="inlineStr">
        <is>
          <t>SRC-SWEBOK-V4A;SRC-OWASP;SRC-PRACTICE</t>
        </is>
      </c>
      <c r="L48" s="4" t="inlineStr"/>
      <c r="M48" s="4" t="n"/>
      <c r="N48" s="4" t="n"/>
      <c r="O48" s="4" t="n"/>
      <c r="P48" s="4" t="n"/>
      <c r="Q48" s="4" t="n"/>
      <c r="R48" s="4" t="n"/>
      <c r="S48" s="4" t="n"/>
      <c r="T48" s="4" t="n"/>
      <c r="U48" s="4" t="n"/>
      <c r="V48" s="4" t="n"/>
      <c r="W48" s="4" t="n"/>
    </row>
    <row r="49">
      <c r="A49" s="5" t="inlineStr">
        <is>
          <t>SEC-307</t>
        </is>
      </c>
      <c r="B49" s="5" t="inlineStr">
        <is>
          <t>SWEBOK</t>
        </is>
      </c>
      <c r="C49" s="4" t="inlineStr">
        <is>
          <t>4. セキュアコーディング(SEC-301〜)</t>
        </is>
      </c>
      <c r="D49" s="9" t="inlineStr">
        <is>
          <t>High</t>
        </is>
      </c>
      <c r="E49" s="4" t="inlineStr">
        <is>
          <t>安全でない直列化・評価を使用していない</t>
        </is>
      </c>
      <c r="F49" s="4" t="inlineStr">
        <is>
          <t>信頼できない入力に対する eval 相当の実行や安全でないデシリアライズがない。使用箇所がある場合は入力元が信頼済みである根拠がある</t>
        </is>
      </c>
      <c r="G49" s="4" t="inlineStr">
        <is>
          <t>信頼できない入力のevalや安全でないデシリアライズは、任意コード実行という最悪クラスの脆弱性に直結する。利便性のために安易に使われがちなため、使用箇所の根拠管理が必要。</t>
        </is>
      </c>
      <c r="H49" s="4" t="inlineStr">
        <is>
          <t>swebok-v4a.pdf ch13 Software Security &gt; 4.4 Construction for Security / 実務補完(OWASP Top 10: Insecure Deserialization)</t>
        </is>
      </c>
      <c r="I49" s="4" t="inlineStr">
        <is>
          <t>CORE</t>
        </is>
      </c>
      <c r="J49" s="4" t="inlineStr">
        <is>
          <t>原則適用。案件スコープ・成果物・規制・リスク上非該当の場合はN/A根拠を記録。</t>
        </is>
      </c>
      <c r="K49" s="4" t="inlineStr">
        <is>
          <t>SRC-SWEBOK-V4A;SRC-OWASP;SRC-PRACTICE</t>
        </is>
      </c>
      <c r="L49" s="4" t="inlineStr"/>
      <c r="M49" s="4" t="n"/>
      <c r="N49" s="4" t="n"/>
      <c r="O49" s="4" t="n"/>
      <c r="P49" s="4" t="n"/>
      <c r="Q49" s="4" t="n"/>
      <c r="R49" s="4" t="n"/>
      <c r="S49" s="4" t="n"/>
      <c r="T49" s="4" t="n"/>
      <c r="U49" s="4" t="n"/>
      <c r="V49" s="4" t="n"/>
      <c r="W49" s="4" t="n"/>
    </row>
    <row r="50">
      <c r="A50" s="5" t="inlineStr">
        <is>
          <t>SEC-308</t>
        </is>
      </c>
      <c r="B50" s="5" t="inlineStr">
        <is>
          <t>SWEBOK</t>
        </is>
      </c>
      <c r="C50" s="4" t="inlineStr">
        <is>
          <t>4. セキュアコーディング(SEC-301〜)</t>
        </is>
      </c>
      <c r="D50" s="9" t="inlineStr">
        <is>
          <t>High</t>
        </is>
      </c>
      <c r="E50" s="4" t="inlineStr">
        <is>
          <t>ファイルアップロード・パス操作が防御されている</t>
        </is>
      </c>
      <c r="F50" s="4" t="inlineStr">
        <is>
          <t>アップロードファイルの種別・サイズ検証、保存先の Web 公開領域からの分離、パストラバーサル対策(正規化と許可リスト)がある。該当機能がなければ N/A</t>
        </is>
      </c>
      <c r="G50" s="4" t="inlineStr">
        <is>
          <t>アップロード機能の防御漏れはWebシェル設置による サーバ乗っ取り、パストラバーサルは任意ファイル読み取りに直結する。機能があるのに対策記述がない状態を検出する。</t>
        </is>
      </c>
      <c r="H50" s="4" t="inlineStr">
        <is>
          <t>swebok-v4a.pdf ch13 Software Security &gt; 4.4 Construction for Security(Validate input)/ 実務補完(OWASP)</t>
        </is>
      </c>
      <c r="I50" s="4" t="inlineStr">
        <is>
          <t>CORE</t>
        </is>
      </c>
      <c r="J50" s="4" t="inlineStr">
        <is>
          <t>原則適用。案件スコープ・成果物・規制・リスク上非該当の場合はN/A根拠を記録。</t>
        </is>
      </c>
      <c r="K50" s="4" t="inlineStr">
        <is>
          <t>SRC-SWEBOK-V4A;SRC-OWASP;SRC-PRACTICE</t>
        </is>
      </c>
      <c r="L50" s="4" t="inlineStr"/>
      <c r="M50" s="4" t="n"/>
      <c r="N50" s="4" t="n"/>
      <c r="O50" s="4" t="n"/>
      <c r="P50" s="4" t="n"/>
      <c r="Q50" s="4" t="n"/>
      <c r="R50" s="4" t="n"/>
      <c r="S50" s="4" t="n"/>
      <c r="T50" s="4" t="n"/>
      <c r="U50" s="4" t="n"/>
      <c r="V50" s="4" t="n"/>
      <c r="W50" s="4" t="n"/>
    </row>
    <row r="51">
      <c r="A51" s="5" t="inlineStr">
        <is>
          <t>SEC-309</t>
        </is>
      </c>
      <c r="B51" s="5" t="inlineStr">
        <is>
          <t>SWEBOK</t>
        </is>
      </c>
      <c r="C51" s="4" t="inlineStr">
        <is>
          <t>4. セキュアコーディング(SEC-301〜)</t>
        </is>
      </c>
      <c r="D51" s="9" t="inlineStr">
        <is>
          <t>High</t>
        </is>
      </c>
      <c r="E51" s="4" t="inlineStr">
        <is>
          <t>依存フレームワークのセキュリティ機能を無効化していない</t>
        </is>
      </c>
      <c r="F51" s="4" t="inlineStr">
        <is>
          <t>CSRF 対策・自動エスケープ・セキュリティヘッダ等のフレームワーク既定の防御を無効化した箇所がない。無効化がある場合は代替策と理由が記録されている</t>
        </is>
      </c>
      <c r="G51" s="4" t="inlineStr">
        <is>
          <t>フレームワークの防御(CSRF対策・自動エスケープ)は「邪魔だから」と無効化されがちで、その瞬間に既知攻撃への防御が消える。無効化箇所の棚卸しと代替策の確認が必要。</t>
        </is>
      </c>
      <c r="H51" s="4" t="inlineStr">
        <is>
          <t>swebok-v4a.pdf ch13 Software Security &gt; 4.3 Security Patterns(実証済み機構の利用)/ 実務補完</t>
        </is>
      </c>
      <c r="I51" s="4" t="inlineStr">
        <is>
          <t>CORE</t>
        </is>
      </c>
      <c r="J51" s="4" t="inlineStr">
        <is>
          <t>原則適用。案件スコープ・成果物・規制・リスク上非該当の場合はN/A根拠を記録。</t>
        </is>
      </c>
      <c r="K51" s="4" t="inlineStr">
        <is>
          <t>SRC-SWEBOK-V4A;SRC-PRACTICE</t>
        </is>
      </c>
      <c r="L51" s="4" t="inlineStr"/>
      <c r="M51" s="4" t="n"/>
      <c r="N51" s="4" t="n"/>
      <c r="O51" s="4" t="n"/>
      <c r="P51" s="4" t="n"/>
      <c r="Q51" s="4" t="n"/>
      <c r="R51" s="4" t="n"/>
      <c r="S51" s="4" t="n"/>
      <c r="T51" s="4" t="n"/>
      <c r="U51" s="4" t="n"/>
      <c r="V51" s="4" t="n"/>
      <c r="W51" s="4" t="n"/>
    </row>
    <row r="52">
      <c r="A52" s="5" t="inlineStr">
        <is>
          <t>SEC-310</t>
        </is>
      </c>
      <c r="B52" s="5" t="inlineStr">
        <is>
          <t>SWEBOK</t>
        </is>
      </c>
      <c r="C52" s="4" t="inlineStr">
        <is>
          <t>4. セキュアコーディング(SEC-301〜)</t>
        </is>
      </c>
      <c r="D52" s="9" t="inlineStr">
        <is>
          <t>High</t>
        </is>
      </c>
      <c r="E52" s="4" t="inlineStr">
        <is>
          <t>コンパイラ・リンタの警告が解消されている</t>
        </is>
      </c>
      <c r="F52" s="4" t="inlineStr">
        <is>
          <t>セキュリティ関連の警告(未使用戻り値、型不一致、非推奨 API 等)がビルドでゼロ、または個別に抑止理由が記録されている</t>
        </is>
      </c>
      <c r="G52" s="4" t="inlineStr">
        <is>
          <t>コンパイラ警告は未定義動作や型不一致などセキュリティ欠陥の前兆であり、放置の常態化は本物の危険信号を雑音に埋もれさせる。CERTも警告への対処をTop 10の2番目に挙げている。</t>
        </is>
      </c>
      <c r="H52" s="4" t="inlineStr">
        <is>
          <t>swebok-v4a.pdf ch13 Software Security &gt; 4.4 Construction for Security(CERT Top 10: Heed compiler warnings)</t>
        </is>
      </c>
      <c r="I52" s="4" t="inlineStr">
        <is>
          <t>CORE</t>
        </is>
      </c>
      <c r="J52" s="4" t="inlineStr">
        <is>
          <t>原則適用。案件スコープ・成果物・規制・リスク上非該当の場合はN/A根拠を記録。</t>
        </is>
      </c>
      <c r="K52" s="4" t="inlineStr">
        <is>
          <t>SRC-SWEBOK-V4A</t>
        </is>
      </c>
      <c r="L52" s="4" t="inlineStr"/>
      <c r="M52" s="4" t="n"/>
      <c r="N52" s="4" t="n"/>
      <c r="O52" s="4" t="n"/>
      <c r="P52" s="4" t="n"/>
      <c r="Q52" s="4" t="n"/>
      <c r="R52" s="4" t="n"/>
      <c r="S52" s="4" t="n"/>
      <c r="T52" s="4" t="n"/>
      <c r="U52" s="4" t="n"/>
      <c r="V52" s="4" t="n"/>
      <c r="W52" s="4" t="n"/>
    </row>
    <row r="53">
      <c r="A53" s="5" t="inlineStr">
        <is>
          <t>SEC-311</t>
        </is>
      </c>
      <c r="B53" s="5" t="inlineStr">
        <is>
          <t>SWEBOK</t>
        </is>
      </c>
      <c r="C53" s="4" t="inlineStr">
        <is>
          <t>4. セキュアコーディング(SEC-301〜)</t>
        </is>
      </c>
      <c r="D53" s="9" t="inlineStr">
        <is>
          <t>High</t>
        </is>
      </c>
      <c r="E53" s="4" t="inlineStr">
        <is>
          <t>他システムへ送るデータをサニタイズしている</t>
        </is>
      </c>
      <c r="F53" s="4" t="inlineStr">
        <is>
          <t>外部システム・下流コンポーネントへ渡すデータに対する検証・エスケープが実装されている(CERT: Sanitize data sent to other systems)</t>
        </is>
      </c>
      <c r="G53" s="4" t="inlineStr">
        <is>
          <t>自システムで無害なデータも下流システムでは命令として解釈されうる(ログインジェクション、下流SQLへの混入等)。送信側でのサニタイズが連鎖的な侵害の伝播を断つ。</t>
        </is>
      </c>
      <c r="H53" s="4" t="inlineStr">
        <is>
          <t>swebok-v4a.pdf ch13 Software Security &gt; 4.4 Construction for Security(CERT Top 10: Sanitize data sent to other software)</t>
        </is>
      </c>
      <c r="I53" s="4" t="inlineStr">
        <is>
          <t>CORE</t>
        </is>
      </c>
      <c r="J53" s="4" t="inlineStr">
        <is>
          <t>原則適用。案件スコープ・成果物・規制・リスク上非該当の場合はN/A根拠を記録。</t>
        </is>
      </c>
      <c r="K53" s="4" t="inlineStr">
        <is>
          <t>SRC-SWEBOK-V4A</t>
        </is>
      </c>
      <c r="L53" s="4" t="inlineStr"/>
      <c r="M53" s="4" t="n"/>
      <c r="N53" s="4" t="n"/>
      <c r="O53" s="4" t="n"/>
      <c r="P53" s="4" t="n"/>
      <c r="Q53" s="4" t="n"/>
      <c r="R53" s="4" t="n"/>
      <c r="S53" s="4" t="n"/>
      <c r="T53" s="4" t="n"/>
      <c r="U53" s="4" t="n"/>
      <c r="V53" s="4" t="n"/>
      <c r="W53" s="4" t="n"/>
    </row>
    <row r="54">
      <c r="A54" s="5" t="inlineStr">
        <is>
          <t>SEC-312</t>
        </is>
      </c>
      <c r="B54" s="5" t="inlineStr">
        <is>
          <t>SWEBOK</t>
        </is>
      </c>
      <c r="C54" s="4" t="inlineStr">
        <is>
          <t>4. セキュアコーディング(SEC-301〜)</t>
        </is>
      </c>
      <c r="D54" s="10" t="inlineStr">
        <is>
          <t>Medium</t>
        </is>
      </c>
      <c r="E54" s="4" t="inlineStr">
        <is>
          <t>セキュアコーディング規約が存在し参照されている</t>
        </is>
      </c>
      <c r="F54" s="4" t="inlineStr">
        <is>
          <t>プロジェクトの規約に OWASP Top 10 各カテゴリへの対策方針が含まれ、コードレビューで参照されている記録がある</t>
        </is>
      </c>
      <c r="G54" s="4" t="inlineStr">
        <is>
          <t>規約がない、またはレビューで参照されない状態では、セキュアコーディングが個人スキル依存になり品質が担当者ガチャになる。規約はチーム全体の下限品質を保証する装置である。</t>
        </is>
      </c>
      <c r="H54" s="4" t="inlineStr">
        <is>
          <t>swebok-v4a.pdf ch13 Software Security &gt; 4.4 Construction for Security(CERT Top 10: Adopt a software construction security standard)</t>
        </is>
      </c>
      <c r="I54" s="4" t="inlineStr">
        <is>
          <t>CORE</t>
        </is>
      </c>
      <c r="J54" s="4" t="inlineStr">
        <is>
          <t>原則適用。案件スコープ・成果物・規制・リスク上非該当の場合はN/A根拠を記録。</t>
        </is>
      </c>
      <c r="K54" s="4" t="inlineStr">
        <is>
          <t>SRC-SWEBOK-V4A</t>
        </is>
      </c>
      <c r="L54" s="4" t="inlineStr"/>
      <c r="M54" s="4" t="n"/>
      <c r="N54" s="4" t="n"/>
      <c r="O54" s="4" t="n"/>
      <c r="P54" s="4" t="n"/>
      <c r="Q54" s="4" t="n"/>
      <c r="R54" s="4" t="n"/>
      <c r="S54" s="4" t="n"/>
      <c r="T54" s="4" t="n"/>
      <c r="U54" s="4" t="n"/>
      <c r="V54" s="4" t="n"/>
      <c r="W54" s="4" t="n"/>
    </row>
    <row r="55">
      <c r="A55" s="5" t="inlineStr">
        <is>
          <t>SEC-313</t>
        </is>
      </c>
      <c r="B55" s="5" t="inlineStr">
        <is>
          <t>SWEBOK</t>
        </is>
      </c>
      <c r="C55" s="4" t="inlineStr">
        <is>
          <t>4. セキュアコーディング(SEC-301〜)</t>
        </is>
      </c>
      <c r="D55" s="10" t="inlineStr">
        <is>
          <t>Medium</t>
        </is>
      </c>
      <c r="E55" s="4" t="inlineStr">
        <is>
          <t>乱数の用途に応じた生成器が使われている</t>
        </is>
      </c>
      <c r="F55" s="4" t="inlineStr">
        <is>
          <t>セッション ID・トークン・鍵の生成に暗号論的擬似乱数生成器が使われ、統計用乱数が流用されていない</t>
        </is>
      </c>
      <c r="G55" s="4" t="inlineStr">
        <is>
          <t>統計用乱数で生成したセッションIDやトークンは予測可能であり、攻撃者による総当たりなしのセッション乗っ取りを許す。用途に応じたCSPRNGの使用は見た目では判別できないため明示チェックが要る。</t>
        </is>
      </c>
      <c r="H55" s="4" t="inlineStr">
        <is>
          <t>swebok-v4a.pdf ch13 Software Security &gt; 4.2 Security Design(cryptographic material)/ 実務補完(CWE-338)</t>
        </is>
      </c>
      <c r="I55" s="4" t="inlineStr">
        <is>
          <t>CORE</t>
        </is>
      </c>
      <c r="J55" s="4" t="inlineStr">
        <is>
          <t>原則適用。案件スコープ・成果物・規制・リスク上非該当の場合はN/A根拠を記録。</t>
        </is>
      </c>
      <c r="K55" s="4" t="inlineStr">
        <is>
          <t>SRC-SWEBOK-V4A;SRC-PRACTICE</t>
        </is>
      </c>
      <c r="L55" s="4" t="inlineStr"/>
      <c r="M55" s="4" t="n"/>
      <c r="N55" s="4" t="n"/>
      <c r="O55" s="4" t="n"/>
      <c r="P55" s="4" t="n"/>
      <c r="Q55" s="4" t="n"/>
      <c r="R55" s="4" t="n"/>
      <c r="S55" s="4" t="n"/>
      <c r="T55" s="4" t="n"/>
      <c r="U55" s="4" t="n"/>
      <c r="V55" s="4" t="n"/>
      <c r="W55" s="4" t="n"/>
    </row>
    <row r="56">
      <c r="A56" s="5" t="inlineStr">
        <is>
          <t>SEC-314</t>
        </is>
      </c>
      <c r="B56" s="5" t="inlineStr">
        <is>
          <t>SWEBOK</t>
        </is>
      </c>
      <c r="C56" s="4" t="inlineStr">
        <is>
          <t>4. セキュアコーディング(SEC-301〜)</t>
        </is>
      </c>
      <c r="D56" s="10" t="inlineStr">
        <is>
          <t>Medium</t>
        </is>
      </c>
      <c r="E56" s="4" t="inlineStr">
        <is>
          <t>デバッグ・テスト用コードが本番経路に残っていない</t>
        </is>
      </c>
      <c r="F56" s="4" t="inlineStr">
        <is>
          <t>デバッグエンドポイント、テスト用バックドア的アカウント、詳細デバッグログ出力が本番ビルド・本番設定で無効である</t>
        </is>
      </c>
      <c r="G56" s="4" t="inlineStr">
        <is>
          <t>デバッグエンドポイントやテスト用アカウントは認証を迂回する裏口としてそのまま攻撃に使われる。本番設定での無効化確認が「開発の便宜」が事故になるのを防ぐ。</t>
        </is>
      </c>
      <c r="H56" s="4" t="inlineStr">
        <is>
          <t>swebok-v4a.pdf ch13 Software Security &gt; 4.4 Construction for Security / 実務補完(セキュアリリース実務)</t>
        </is>
      </c>
      <c r="I56" s="4" t="inlineStr">
        <is>
          <t>CORE</t>
        </is>
      </c>
      <c r="J56" s="4" t="inlineStr">
        <is>
          <t>原則適用。案件スコープ・成果物・規制・リスク上非該当の場合はN/A根拠を記録。</t>
        </is>
      </c>
      <c r="K56" s="4" t="inlineStr">
        <is>
          <t>SRC-SWEBOK-V4A;SRC-PRACTICE</t>
        </is>
      </c>
      <c r="L56" s="4" t="inlineStr"/>
      <c r="M56" s="4" t="n"/>
      <c r="N56" s="4" t="n"/>
      <c r="O56" s="4" t="n"/>
      <c r="P56" s="4" t="n"/>
      <c r="Q56" s="4" t="n"/>
      <c r="R56" s="4" t="n"/>
      <c r="S56" s="4" t="n"/>
      <c r="T56" s="4" t="n"/>
      <c r="U56" s="4" t="n"/>
      <c r="V56" s="4" t="n"/>
      <c r="W56" s="4" t="n"/>
    </row>
    <row r="57">
      <c r="A57" s="5" t="inlineStr">
        <is>
          <t>SEC-914</t>
        </is>
      </c>
      <c r="B57" s="5" t="inlineStr">
        <is>
          <t>追加承認</t>
        </is>
      </c>
      <c r="C57" s="4" t="inlineStr">
        <is>
          <t>4. セキュアコーディング(SEC-301〜)</t>
        </is>
      </c>
      <c r="D57" s="10" t="inlineStr">
        <is>
          <t>Medium</t>
        </is>
      </c>
      <c r="E57" s="4" t="inlineStr">
        <is>
          <t>コードが依拠する前提が検証または文書化されている</t>
        </is>
      </c>
      <c r="F57" s="4" t="inlineStr">
        <is>
          <t>セキュリティに影響する前提(設定ファイルの権限、実行環境の隔離、呼び出し元が認証済みであること、ファイルパーミッション等)が、コード内のチェックで検証されているか、検証不能なものは構築・運用手順書に前提条件として明記されている</t>
        </is>
      </c>
      <c r="G57" s="4" t="inlineStr">
        <is>
          <t>「この関数は認証後にしか呼ばれないはず」等の暗黙の前提は、リファクタリングや運用変更で静かに崩れ、攻撃者が真っ先に突く穴になる。前提の検証・文書化が無自覚な防御の崩壊を防ぐ。</t>
        </is>
      </c>
      <c r="H57" s="4" t="inlineStr">
        <is>
          <t>swebok-v4a.pdf ch13 Software Security &gt; 4.4 Construction for Security(プログラム中の前提(assumption)の検証と文書化)</t>
        </is>
      </c>
      <c r="I57" s="4" t="inlineStr">
        <is>
          <t>CORE</t>
        </is>
      </c>
      <c r="J57" s="4" t="inlineStr">
        <is>
          <t>原則適用。案件スコープ・成果物・規制・リスク上非該当の場合はN/A根拠を記録。</t>
        </is>
      </c>
      <c r="K57" s="4" t="inlineStr">
        <is>
          <t>SRC-SWEBOK-V4A</t>
        </is>
      </c>
      <c r="L57" s="4" t="inlineStr"/>
      <c r="M57" s="4" t="n"/>
      <c r="N57" s="4" t="n"/>
      <c r="O57" s="4" t="n"/>
      <c r="P57" s="4" t="n"/>
      <c r="Q57" s="4" t="n"/>
      <c r="R57" s="4" t="n"/>
      <c r="S57" s="4" t="n"/>
      <c r="T57" s="4" t="n"/>
      <c r="U57" s="4" t="n"/>
      <c r="V57" s="4" t="n"/>
      <c r="W57" s="4" t="n"/>
    </row>
    <row r="58">
      <c r="A58" s="5" t="inlineStr">
        <is>
          <t>SEC-401</t>
        </is>
      </c>
      <c r="B58" s="5" t="inlineStr">
        <is>
          <t>SWEBOK</t>
        </is>
      </c>
      <c r="C58" s="4" t="inlineStr">
        <is>
          <t>5. セキュリティテスト(SEC-401〜)</t>
        </is>
      </c>
      <c r="D58" s="8" t="inlineStr">
        <is>
          <t>Critical</t>
        </is>
      </c>
      <c r="E58" s="4" t="inlineStr">
        <is>
          <t>テスト計画がセキュリティ要件を網羅している</t>
        </is>
      </c>
      <c r="F58" s="4" t="inlineStr">
        <is>
          <t>全セキュリティ要件 ID にテストケース ID が対応付き、カバレッジ表で未対応要件がゼロである</t>
        </is>
      </c>
      <c r="G58" s="4" t="inlineStr">
        <is>
          <t>テストされない要件は実装漏れが本番まで検出されない。要件⇔テストの対応表でカバレッジをゼロ漏れで確認することが、セキュリティテストの網羅性の唯一の客観的根拠になる。</t>
        </is>
      </c>
      <c r="H58" s="4" t="inlineStr">
        <is>
          <t>swebok-v4a.pdf ch13 Software Security &gt; 4.5 Security Testing(実装がセキュリティ要件を満たすことの確認)</t>
        </is>
      </c>
      <c r="I58" s="4" t="inlineStr">
        <is>
          <t>CORE</t>
        </is>
      </c>
      <c r="J58" s="4" t="inlineStr">
        <is>
          <t>原則適用。案件スコープ・成果物・規制・リスク上非該当の場合はN/A根拠を記録。</t>
        </is>
      </c>
      <c r="K58" s="4" t="inlineStr">
        <is>
          <t>SRC-SWEBOK-V4A</t>
        </is>
      </c>
      <c r="L58" s="4" t="inlineStr"/>
      <c r="M58" s="4" t="n"/>
      <c r="N58" s="4" t="n"/>
      <c r="O58" s="4" t="n"/>
      <c r="P58" s="4" t="n"/>
      <c r="Q58" s="4" t="n"/>
      <c r="R58" s="4" t="n"/>
      <c r="S58" s="4" t="n"/>
      <c r="T58" s="4" t="n"/>
      <c r="U58" s="4" t="n"/>
      <c r="V58" s="4" t="n"/>
      <c r="W58" s="4" t="n"/>
    </row>
    <row r="59">
      <c r="A59" s="5" t="inlineStr">
        <is>
          <t>SEC-402</t>
        </is>
      </c>
      <c r="B59" s="5" t="inlineStr">
        <is>
          <t>SWEBOK</t>
        </is>
      </c>
      <c r="C59" s="4" t="inlineStr">
        <is>
          <t>5. セキュリティテスト(SEC-401〜)</t>
        </is>
      </c>
      <c r="D59" s="8" t="inlineStr">
        <is>
          <t>Critical</t>
        </is>
      </c>
      <c r="E59" s="4" t="inlineStr">
        <is>
          <t>静的・動的の両アプローチが計画されている</t>
        </is>
      </c>
      <c r="F59" s="4" t="inlineStr">
        <is>
          <t>SAST(ソースまたはバイナリ解析)と動的テスト(DAST/脆弱性診断等)の双方について適用範囲・時期・ツールが記載されている(SWEBOK v4 4.5)</t>
        </is>
      </c>
      <c r="G59" s="4" t="inlineStr">
        <is>
          <t>静的解析はコードパターンの欠陥、動的テストは実行時の振る舞いの欠陥と、検出できる脆弱性の層が異なる。片方だけでは検出範囲に構造的な穴が残るため、SWEBOKも両アプローチを明示している。</t>
        </is>
      </c>
      <c r="H59" s="4" t="inlineStr">
        <is>
          <t>swebok-v4a.pdf ch13 Software Security &gt; 4.5 Security Testing(static analysis と dynamic testing の2アプローチ)</t>
        </is>
      </c>
      <c r="I59" s="4" t="inlineStr">
        <is>
          <t>CORE</t>
        </is>
      </c>
      <c r="J59" s="4" t="inlineStr">
        <is>
          <t>原則適用。案件スコープ・成果物・規制・リスク上非該当の場合はN/A根拠を記録。</t>
        </is>
      </c>
      <c r="K59" s="4" t="inlineStr">
        <is>
          <t>SRC-SWEBOK-V4A</t>
        </is>
      </c>
      <c r="L59" s="4" t="inlineStr"/>
      <c r="M59" s="4" t="n"/>
      <c r="N59" s="4" t="n"/>
      <c r="O59" s="4" t="n"/>
      <c r="P59" s="4" t="n"/>
      <c r="Q59" s="4" t="n"/>
      <c r="R59" s="4" t="n"/>
      <c r="S59" s="4" t="n"/>
      <c r="T59" s="4" t="n"/>
      <c r="U59" s="4" t="n"/>
      <c r="V59" s="4" t="n"/>
      <c r="W59" s="4" t="n"/>
    </row>
    <row r="60">
      <c r="A60" s="5" t="inlineStr">
        <is>
          <t>SEC-403</t>
        </is>
      </c>
      <c r="B60" s="5" t="inlineStr">
        <is>
          <t>SWEBOK</t>
        </is>
      </c>
      <c r="C60" s="4" t="inlineStr">
        <is>
          <t>5. セキュリティテスト(SEC-401〜)</t>
        </is>
      </c>
      <c r="D60" s="8" t="inlineStr">
        <is>
          <t>Critical</t>
        </is>
      </c>
      <c r="E60" s="4" t="inlineStr">
        <is>
          <t>動的テストの事前承認が文書化されている</t>
        </is>
      </c>
      <c r="F60" s="4" t="inlineStr">
        <is>
          <t>脆弱性診断・ペネトレーションテストの対象範囲・期間・実施者・承認者が実施前に文書で確認できる</t>
        </is>
      </c>
      <c r="G60" s="4" t="inlineStr">
        <is>
          <t>承認なしの侵入テストは不正アクセス行為と法的に区別できず、実施者と組織を刑事リスクに晒す。SWEBOKも「合法的範囲内・適切な承認」がテストと違法ハッキングを分けると明記している。</t>
        </is>
      </c>
      <c r="H60" s="4" t="inlineStr">
        <is>
          <t>swebok-v4a.pdf ch13 Software Security &gt; 4.5 Security Testing(within legal boundaries and with proper authorization)</t>
        </is>
      </c>
      <c r="I60" s="4" t="inlineStr">
        <is>
          <t>CORE</t>
        </is>
      </c>
      <c r="J60" s="4" t="inlineStr">
        <is>
          <t>原則適用。案件スコープ・成果物・規制・リスク上非該当の場合はN/A根拠を記録。</t>
        </is>
      </c>
      <c r="K60" s="4" t="inlineStr">
        <is>
          <t>SRC-SWEBOK-V4A</t>
        </is>
      </c>
      <c r="L60" s="4" t="inlineStr"/>
      <c r="M60" s="4" t="n"/>
      <c r="N60" s="4" t="n"/>
      <c r="O60" s="4" t="n"/>
      <c r="P60" s="4" t="n"/>
      <c r="Q60" s="4" t="n"/>
      <c r="R60" s="4" t="n"/>
      <c r="S60" s="4" t="n"/>
      <c r="T60" s="4" t="n"/>
      <c r="U60" s="4" t="n"/>
      <c r="V60" s="4" t="n"/>
      <c r="W60" s="4" t="n"/>
    </row>
    <row r="61">
      <c r="A61" s="5" t="inlineStr">
        <is>
          <t>SEC-404</t>
        </is>
      </c>
      <c r="B61" s="5" t="inlineStr">
        <is>
          <t>SWEBOK</t>
        </is>
      </c>
      <c r="C61" s="4" t="inlineStr">
        <is>
          <t>5. セキュリティテスト(SEC-401〜)</t>
        </is>
      </c>
      <c r="D61" s="9" t="inlineStr">
        <is>
          <t>High</t>
        </is>
      </c>
      <c r="E61" s="4" t="inlineStr">
        <is>
          <t>拒否系のテストケースが含まれている</t>
        </is>
      </c>
      <c r="F61" s="4" t="inlineStr">
        <is>
          <t>権限外アクセスの拒否、認証失敗時の挙動、不正入力の拒否を確認するネガティブテストが存在する</t>
        </is>
      </c>
      <c r="G61" s="4" t="inlineStr">
        <is>
          <t>正常系テストだけでは「拒否すべきものを拒否するか」が確認されず、認可バイパスや不正入力受理が全テスト合格のままリリースされる。セキュリティの本質は拒否系の検証にある。</t>
        </is>
      </c>
      <c r="H61" s="4" t="inlineStr">
        <is>
          <t>swebok-v4a.pdf ch13 Software Security &gt; 4.5 Security Testing / 4.1(misuse cases のテストへの反映)</t>
        </is>
      </c>
      <c r="I61" s="4" t="inlineStr">
        <is>
          <t>CORE</t>
        </is>
      </c>
      <c r="J61" s="4" t="inlineStr">
        <is>
          <t>原則適用。案件スコープ・成果物・規制・リスク上非該当の場合はN/A根拠を記録。</t>
        </is>
      </c>
      <c r="K61" s="4" t="inlineStr">
        <is>
          <t>SRC-SWEBOK-V4A</t>
        </is>
      </c>
      <c r="L61" s="4" t="inlineStr"/>
      <c r="M61" s="4" t="n"/>
      <c r="N61" s="4" t="n"/>
      <c r="O61" s="4" t="n"/>
      <c r="P61" s="4" t="n"/>
      <c r="Q61" s="4" t="n"/>
      <c r="R61" s="4" t="n"/>
      <c r="S61" s="4" t="n"/>
      <c r="T61" s="4" t="n"/>
      <c r="U61" s="4" t="n"/>
      <c r="V61" s="4" t="n"/>
      <c r="W61" s="4" t="n"/>
    </row>
    <row r="62">
      <c r="A62" s="5" t="inlineStr">
        <is>
          <t>SEC-405</t>
        </is>
      </c>
      <c r="B62" s="5" t="inlineStr">
        <is>
          <t>SWEBOK</t>
        </is>
      </c>
      <c r="C62" s="4" t="inlineStr">
        <is>
          <t>5. セキュリティテスト(SEC-401〜)</t>
        </is>
      </c>
      <c r="D62" s="9" t="inlineStr">
        <is>
          <t>High</t>
        </is>
      </c>
      <c r="E62" s="4" t="inlineStr">
        <is>
          <t>テストケースに客観的な合格基準がある</t>
        </is>
      </c>
      <c r="F62" s="4" t="inlineStr">
        <is>
          <t>各テストケースに期待結果が具体的に記述され、判定が実施者の主観に依存しない</t>
        </is>
      </c>
      <c r="G62" s="4" t="inlineStr">
        <is>
          <t>期待結果が曖昧なテストは実施者によって合否が変わり、「テスト済み」の意味が保証にならない。客観的基準は再テスト(SEC-410)や第三者検証の前提でもある。</t>
        </is>
      </c>
      <c r="H62" s="4" t="inlineStr">
        <is>
          <t>swebok-v4a.pdf ch13 Software Security &gt; 4.5 Security Testing / 実務補完(テスト設計実務)</t>
        </is>
      </c>
      <c r="I62" s="4" t="inlineStr">
        <is>
          <t>CORE</t>
        </is>
      </c>
      <c r="J62" s="4" t="inlineStr">
        <is>
          <t>原則適用。案件スコープ・成果物・規制・リスク上非該当の場合はN/A根拠を記録。</t>
        </is>
      </c>
      <c r="K62" s="4" t="inlineStr">
        <is>
          <t>SRC-SWEBOK-V4A;SRC-PRACTICE</t>
        </is>
      </c>
      <c r="L62" s="4" t="inlineStr"/>
      <c r="M62" s="4" t="n"/>
      <c r="N62" s="4" t="n"/>
      <c r="O62" s="4" t="n"/>
      <c r="P62" s="4" t="n"/>
      <c r="Q62" s="4" t="n"/>
      <c r="R62" s="4" t="n"/>
      <c r="S62" s="4" t="n"/>
      <c r="T62" s="4" t="n"/>
      <c r="U62" s="4" t="n"/>
      <c r="V62" s="4" t="n"/>
      <c r="W62" s="4" t="n"/>
    </row>
    <row r="63">
      <c r="A63" s="5" t="inlineStr">
        <is>
          <t>SEC-406</t>
        </is>
      </c>
      <c r="B63" s="5" t="inlineStr">
        <is>
          <t>SWEBOK</t>
        </is>
      </c>
      <c r="C63" s="4" t="inlineStr">
        <is>
          <t>5. セキュリティテスト(SEC-401〜)</t>
        </is>
      </c>
      <c r="D63" s="9" t="inlineStr">
        <is>
          <t>High</t>
        </is>
      </c>
      <c r="E63" s="4" t="inlineStr">
        <is>
          <t>リリース可否基準が深刻度で定義されている</t>
        </is>
      </c>
      <c r="F63" s="4" t="inlineStr">
        <is>
          <t>検出脆弱性の深刻度(CVSS 等)ごとにリリース可否・対応要否の基準が表で定義されている</t>
        </is>
      </c>
      <c r="G63" s="4" t="inlineStr">
        <is>
          <t>リリース可否基準が事前にないと、リリース間際に検出された脆弱性の扱いが政治的判断になり、重大な脆弱性が「スケジュール優先」で見逃される。深刻度別基準が判断を機械化する。</t>
        </is>
      </c>
      <c r="H63" s="4" t="inlineStr">
        <is>
          <t>swebok-v4a.pdf ch13 Software Security &gt; 4.6 Vulnerability Management(CVSSによる深刻度評価)</t>
        </is>
      </c>
      <c r="I63" s="4" t="inlineStr">
        <is>
          <t>CORE</t>
        </is>
      </c>
      <c r="J63" s="4" t="inlineStr">
        <is>
          <t>原則適用。案件スコープ・成果物・規制・リスク上非該当の場合はN/A根拠を記録。</t>
        </is>
      </c>
      <c r="K63" s="4" t="inlineStr">
        <is>
          <t>SRC-SWEBOK-V4A</t>
        </is>
      </c>
      <c r="L63" s="4" t="inlineStr"/>
      <c r="M63" s="4" t="n"/>
      <c r="N63" s="4" t="n"/>
      <c r="O63" s="4" t="n"/>
      <c r="P63" s="4" t="n"/>
      <c r="Q63" s="4" t="n"/>
      <c r="R63" s="4" t="n"/>
      <c r="S63" s="4" t="n"/>
      <c r="T63" s="4" t="n"/>
      <c r="U63" s="4" t="n"/>
      <c r="V63" s="4" t="n"/>
      <c r="W63" s="4" t="n"/>
    </row>
    <row r="64">
      <c r="A64" s="5" t="inlineStr">
        <is>
          <t>SEC-407</t>
        </is>
      </c>
      <c r="B64" s="5" t="inlineStr">
        <is>
          <t>SWEBOK</t>
        </is>
      </c>
      <c r="C64" s="4" t="inlineStr">
        <is>
          <t>5. セキュリティテスト(SEC-401〜)</t>
        </is>
      </c>
      <c r="D64" s="10" t="inlineStr">
        <is>
          <t>Medium</t>
        </is>
      </c>
      <c r="E64" s="4" t="inlineStr">
        <is>
          <t>ファジングの適用が検討されている</t>
        </is>
      </c>
      <c r="F64" s="4" t="inlineStr">
        <is>
          <t>外部入力を受けるパーサ・プロトコル処理に対しファジングの適用有無と判断根拠が記載されている</t>
        </is>
      </c>
      <c r="G64" s="4" t="inlineStr">
        <is>
          <t>パーサやプロトコル処理の脆弱性は正常系・既知パターンのテストでは出ず、想定外入力を大量に与えるファジングでしか見つからないものが多い。適用判断の記録が検討漏れを防ぐ。</t>
        </is>
      </c>
      <c r="H64" s="4" t="inlineStr">
        <is>
          <t>swebok-v4a.pdf ch13 Software Security &gt; 5.2 Penetration Testing Tools(fuzzing)</t>
        </is>
      </c>
      <c r="I64" s="4" t="inlineStr">
        <is>
          <t>CORE</t>
        </is>
      </c>
      <c r="J64" s="4" t="inlineStr">
        <is>
          <t>原則適用。案件スコープ・成果物・規制・リスク上非該当の場合はN/A根拠を記録。</t>
        </is>
      </c>
      <c r="K64" s="4" t="inlineStr">
        <is>
          <t>SRC-SWEBOK-V4A</t>
        </is>
      </c>
      <c r="L64" s="4" t="inlineStr"/>
      <c r="M64" s="4" t="n"/>
      <c r="N64" s="4" t="n"/>
      <c r="O64" s="4" t="n"/>
      <c r="P64" s="4" t="n"/>
      <c r="Q64" s="4" t="n"/>
      <c r="R64" s="4" t="n"/>
      <c r="S64" s="4" t="n"/>
      <c r="T64" s="4" t="n"/>
      <c r="U64" s="4" t="n"/>
      <c r="V64" s="4" t="n"/>
      <c r="W64" s="4" t="n"/>
    </row>
    <row r="65">
      <c r="A65" s="5" t="inlineStr">
        <is>
          <t>SEC-408</t>
        </is>
      </c>
      <c r="B65" s="5" t="inlineStr">
        <is>
          <t>SWEBOK</t>
        </is>
      </c>
      <c r="C65" s="4" t="inlineStr">
        <is>
          <t>5. セキュリティテスト(SEC-401〜)</t>
        </is>
      </c>
      <c r="D65" s="10" t="inlineStr">
        <is>
          <t>Medium</t>
        </is>
      </c>
      <c r="E65" s="4" t="inlineStr">
        <is>
          <t>テスト環境とデータの安全性が規定されている</t>
        </is>
      </c>
      <c r="F65" s="4" t="inlineStr">
        <is>
          <t>本番データをテストに使う場合のマスキング方針、テスト環境の隔離が記載されている</t>
        </is>
      </c>
      <c r="G65" s="4" t="inlineStr">
        <is>
          <t>マスキングなしの本番データ流用は、防御の弱いテスト環境からの個人情報漏えいという「テストが原因の事故」を生む。テスト環境は攻撃者にとって本番より侵入しやすい標的である。</t>
        </is>
      </c>
      <c r="H65" s="4" t="inlineStr">
        <is>
          <t>実務補完(テストデータ管理・環境分離)</t>
        </is>
      </c>
      <c r="I65" s="4" t="inlineStr">
        <is>
          <t>CORE</t>
        </is>
      </c>
      <c r="J65" s="4" t="inlineStr">
        <is>
          <t>原則適用。案件スコープ・成果物・規制・リスク上非該当の場合はN/A根拠を記録。</t>
        </is>
      </c>
      <c r="K65" s="4" t="inlineStr">
        <is>
          <t>SRC-PRACTICE</t>
        </is>
      </c>
      <c r="L65" s="4" t="inlineStr"/>
      <c r="M65" s="4" t="n"/>
      <c r="N65" s="4" t="n"/>
      <c r="O65" s="4" t="n"/>
      <c r="P65" s="4" t="n"/>
      <c r="Q65" s="4" t="n"/>
      <c r="R65" s="4" t="n"/>
      <c r="S65" s="4" t="n"/>
      <c r="T65" s="4" t="n"/>
      <c r="U65" s="4" t="n"/>
      <c r="V65" s="4" t="n"/>
      <c r="W65" s="4" t="n"/>
    </row>
    <row r="66">
      <c r="A66" s="5" t="inlineStr">
        <is>
          <t>SEC-409</t>
        </is>
      </c>
      <c r="B66" s="5" t="inlineStr">
        <is>
          <t>SWEBOK</t>
        </is>
      </c>
      <c r="C66" s="4" t="inlineStr">
        <is>
          <t>5. セキュリティテスト(SEC-401〜)</t>
        </is>
      </c>
      <c r="D66" s="10" t="inlineStr">
        <is>
          <t>Medium</t>
        </is>
      </c>
      <c r="E66" s="4" t="inlineStr">
        <is>
          <t>ツールの限界が認識されている</t>
        </is>
      </c>
      <c r="F66" s="4" t="inlineStr">
        <is>
          <t>「スキャンで検出ゼロ=脆弱性ゼロ」としない旨、手動レビュー等の補完手段が計画に含まれる</t>
        </is>
      </c>
      <c r="G66" s="4" t="inlineStr">
        <is>
          <t>「スキャン検出ゼロ=安全」という誤解は、ツールが原理的に見つけられない脆弱性(ロジック欠陥、稀な状態)を放置させる。SWEBOKもツールの限界と専門家関与の必要性を明記している。</t>
        </is>
      </c>
      <c r="H66" s="4" t="inlineStr">
        <is>
          <t>swebok-v4a.pdf ch13 Software Security &gt; 5.1 Security Vulnerability Checking Tools(they cannot find all vulnerabilities)/ 4.5(専門家の関与)</t>
        </is>
      </c>
      <c r="I66" s="4" t="inlineStr">
        <is>
          <t>CORE</t>
        </is>
      </c>
      <c r="J66" s="4" t="inlineStr">
        <is>
          <t>原則適用。案件スコープ・成果物・規制・リスク上非該当の場合はN/A根拠を記録。</t>
        </is>
      </c>
      <c r="K66" s="4" t="inlineStr">
        <is>
          <t>SRC-SWEBOK-V4A</t>
        </is>
      </c>
      <c r="L66" s="4" t="inlineStr"/>
      <c r="M66" s="4" t="n"/>
      <c r="N66" s="4" t="n"/>
      <c r="O66" s="4" t="n"/>
      <c r="P66" s="4" t="n"/>
      <c r="Q66" s="4" t="n"/>
      <c r="R66" s="4" t="n"/>
      <c r="S66" s="4" t="n"/>
      <c r="T66" s="4" t="n"/>
      <c r="U66" s="4" t="n"/>
      <c r="V66" s="4" t="n"/>
      <c r="W66" s="4" t="n"/>
    </row>
    <row r="67">
      <c r="A67" s="5" t="inlineStr">
        <is>
          <t>SEC-410</t>
        </is>
      </c>
      <c r="B67" s="5" t="inlineStr">
        <is>
          <t>SWEBOK</t>
        </is>
      </c>
      <c r="C67" s="4" t="inlineStr">
        <is>
          <t>5. セキュリティテスト(SEC-401〜)</t>
        </is>
      </c>
      <c r="D67" s="10" t="inlineStr">
        <is>
          <t>Medium</t>
        </is>
      </c>
      <c r="E67" s="4" t="inlineStr">
        <is>
          <t>再テスト(修正確認)の手順がある</t>
        </is>
      </c>
      <c r="F67" s="4" t="inlineStr">
        <is>
          <t>検出脆弱性の修正後に同一ケースで再検証する手順と記録様式が定義されている</t>
        </is>
      </c>
      <c r="G67" s="4" t="inlineStr">
        <is>
          <t>修正確認の手順がないと「直したつもり」の脆弱性が再テストされずに残存し、修正が不完全なまま完了扱いになる。同一ケースでの再検証が修正の実効性を担保する。</t>
        </is>
      </c>
      <c r="H67" s="4" t="inlineStr">
        <is>
          <t>swebok-v4a.pdf ch13 Software Security &gt; 4.6 Vulnerability Management(緩和タスクの完遂)</t>
        </is>
      </c>
      <c r="I67" s="4" t="inlineStr">
        <is>
          <t>CORE</t>
        </is>
      </c>
      <c r="J67" s="4" t="inlineStr">
        <is>
          <t>原則適用。案件スコープ・成果物・規制・リスク上非該当の場合はN/A根拠を記録。</t>
        </is>
      </c>
      <c r="K67" s="4" t="inlineStr">
        <is>
          <t>SRC-SWEBOK-V4A</t>
        </is>
      </c>
      <c r="L67" s="4" t="inlineStr"/>
      <c r="M67" s="4" t="n"/>
      <c r="N67" s="4" t="n"/>
      <c r="O67" s="4" t="n"/>
      <c r="P67" s="4" t="n"/>
      <c r="Q67" s="4" t="n"/>
      <c r="R67" s="4" t="n"/>
      <c r="S67" s="4" t="n"/>
      <c r="T67" s="4" t="n"/>
      <c r="U67" s="4" t="n"/>
      <c r="V67" s="4" t="n"/>
      <c r="W67" s="4" t="n"/>
    </row>
    <row r="68">
      <c r="A68" s="5" t="inlineStr">
        <is>
          <t>SEC-501</t>
        </is>
      </c>
      <c r="B68" s="5" t="inlineStr">
        <is>
          <t>SWEBOK</t>
        </is>
      </c>
      <c r="C68" s="4" t="inlineStr">
        <is>
          <t>6. 脆弱性管理(SEC-501〜)</t>
        </is>
      </c>
      <c r="D68" s="8" t="inlineStr">
        <is>
          <t>Critical</t>
        </is>
      </c>
      <c r="E68" s="4" t="inlineStr">
        <is>
          <t>脆弱性対応プロセスが端から端まで定義されている</t>
        </is>
      </c>
      <c r="F68" s="4" t="inlineStr">
        <is>
          <t>受付→トリアージ→修正→検証→公表の各段階の担当と手順が文書化されている(ISO/IEC 30111 整合)</t>
        </is>
      </c>
      <c r="G68" s="4" t="inlineStr">
        <is>
          <t>プロセスの一部(例: 受付だけ、修正だけ)が未定義だと、脆弱性が発見されても担当者間で滞留し、既知の脆弱性が長期間放置される。端から端までの定義が対応の停滞を防ぐ。</t>
        </is>
      </c>
      <c r="H68" s="4" t="inlineStr">
        <is>
          <t>swebok-v4a.pdf ch13 Software Security &gt; 4.6 Vulnerability Management(security maintenance と vulnerability disclosure process)</t>
        </is>
      </c>
      <c r="I68" s="4" t="inlineStr">
        <is>
          <t>CORE</t>
        </is>
      </c>
      <c r="J68" s="4" t="inlineStr">
        <is>
          <t>原則適用。案件スコープ・成果物・規制・リスク上非該当の場合はN/A根拠を記録。</t>
        </is>
      </c>
      <c r="K68" s="4" t="inlineStr">
        <is>
          <t>SRC-SWEBOK-V4A</t>
        </is>
      </c>
      <c r="L68" s="4" t="inlineStr">
        <is>
          <t>SEC-SUPPLY-CHAIN</t>
        </is>
      </c>
      <c r="M68" s="4" t="n"/>
      <c r="N68" s="4" t="n"/>
      <c r="O68" s="4" t="n"/>
      <c r="P68" s="4" t="n"/>
      <c r="Q68" s="4" t="n"/>
      <c r="R68" s="4" t="n"/>
      <c r="S68" s="4" t="n"/>
      <c r="T68" s="4" t="n"/>
      <c r="U68" s="4" t="n"/>
      <c r="V68" s="4" t="n"/>
      <c r="W68" s="4" t="n"/>
    </row>
    <row r="69">
      <c r="A69" s="5" t="inlineStr">
        <is>
          <t>SEC-502</t>
        </is>
      </c>
      <c r="B69" s="5" t="inlineStr">
        <is>
          <t>SWEBOK</t>
        </is>
      </c>
      <c r="C69" s="4" t="inlineStr">
        <is>
          <t>6. 脆弱性管理(SEC-501〜)</t>
        </is>
      </c>
      <c r="D69" s="8" t="inlineStr">
        <is>
          <t>Critical</t>
        </is>
      </c>
      <c r="E69" s="4" t="inlineStr">
        <is>
          <t>深刻度別の対応期限が定義されている</t>
        </is>
      </c>
      <c r="F69" s="4" t="inlineStr">
        <is>
          <t>CVSS スコア帯(または同等の深刻度区分)ごとに対応判断・修正の期限が表で定義されている</t>
        </is>
      </c>
      <c r="G69" s="4" t="inlineStr">
        <is>
          <t>期限がないと「重大だがいつか直す」が常態化し、公知の脆弱性を突かれた侵害(最も防ぎやすかったはずの事故)が起きる。深刻度別期限が対応の優先度を強制する。</t>
        </is>
      </c>
      <c r="H69" s="4" t="inlineStr">
        <is>
          <t>swebok-v4a.pdf ch13 Software Security &gt; 4.6 Vulnerability Management(CVSSによる深刻度)</t>
        </is>
      </c>
      <c r="I69" s="4" t="inlineStr">
        <is>
          <t>CORE</t>
        </is>
      </c>
      <c r="J69" s="4" t="inlineStr">
        <is>
          <t>原則適用。案件スコープ・成果物・規制・リスク上非該当の場合はN/A根拠を記録。</t>
        </is>
      </c>
      <c r="K69" s="4" t="inlineStr">
        <is>
          <t>SRC-SWEBOK-V4A</t>
        </is>
      </c>
      <c r="L69" s="4" t="inlineStr">
        <is>
          <t>SEC-SUPPLY-CHAIN</t>
        </is>
      </c>
      <c r="M69" s="4" t="n"/>
      <c r="N69" s="4" t="n"/>
      <c r="O69" s="4" t="n"/>
      <c r="P69" s="4" t="n"/>
      <c r="Q69" s="4" t="n"/>
      <c r="R69" s="4" t="n"/>
      <c r="S69" s="4" t="n"/>
      <c r="T69" s="4" t="n"/>
      <c r="U69" s="4" t="n"/>
      <c r="V69" s="4" t="n"/>
      <c r="W69" s="4" t="n"/>
    </row>
    <row r="70">
      <c r="A70" s="5" t="inlineStr">
        <is>
          <t>SEC-503</t>
        </is>
      </c>
      <c r="B70" s="5" t="inlineStr">
        <is>
          <t>SWEBOK</t>
        </is>
      </c>
      <c r="C70" s="4" t="inlineStr">
        <is>
          <t>6. 脆弱性管理(SEC-501〜)</t>
        </is>
      </c>
      <c r="D70" s="9" t="inlineStr">
        <is>
          <t>High</t>
        </is>
      </c>
      <c r="E70" s="4" t="inlineStr">
        <is>
          <t>脆弱性の分類・評価に共通枠組みを使用している</t>
        </is>
      </c>
      <c r="F70" s="4" t="inlineStr">
        <is>
          <t>トリアージで CVSS による深刻度評価と CWE による弱点分類を行う旨が定義されている</t>
        </is>
      </c>
      <c r="G70" s="4" t="inlineStr">
        <is>
          <t>独自基準の深刻度評価は担当者間・組織間で比較できず、トリアージの一貫性が失われる。CVSS/CWEの共通枠組みは外部情報(NVD等)との突合と傾向分析を可能にする。</t>
        </is>
      </c>
      <c r="H70" s="4" t="inlineStr">
        <is>
          <t>swebok-v4a.pdf ch13 Software Security &gt; 4.6 Vulnerability Management(CVE/CWE/CAPEC/CVSS)</t>
        </is>
      </c>
      <c r="I70" s="4" t="inlineStr">
        <is>
          <t>CORE</t>
        </is>
      </c>
      <c r="J70" s="4" t="inlineStr">
        <is>
          <t>原則適用。案件スコープ・成果物・規制・リスク上非該当の場合はN/A根拠を記録。</t>
        </is>
      </c>
      <c r="K70" s="4" t="inlineStr">
        <is>
          <t>SRC-SWEBOK-V4A</t>
        </is>
      </c>
      <c r="L70" s="4" t="inlineStr">
        <is>
          <t>SEC-SUPPLY-CHAIN</t>
        </is>
      </c>
      <c r="M70" s="4" t="n"/>
      <c r="N70" s="4" t="n"/>
      <c r="O70" s="4" t="n"/>
      <c r="P70" s="4" t="n"/>
      <c r="Q70" s="4" t="n"/>
      <c r="R70" s="4" t="n"/>
      <c r="S70" s="4" t="n"/>
      <c r="T70" s="4" t="n"/>
      <c r="U70" s="4" t="n"/>
      <c r="V70" s="4" t="n"/>
      <c r="W70" s="4" t="n"/>
    </row>
    <row r="71">
      <c r="A71" s="5" t="inlineStr">
        <is>
          <t>SEC-504</t>
        </is>
      </c>
      <c r="B71" s="5" t="inlineStr">
        <is>
          <t>SWEBOK</t>
        </is>
      </c>
      <c r="C71" s="4" t="inlineStr">
        <is>
          <t>6. 脆弱性管理(SEC-501〜)</t>
        </is>
      </c>
      <c r="D71" s="9" t="inlineStr">
        <is>
          <t>High</t>
        </is>
      </c>
      <c r="E71" s="4" t="inlineStr">
        <is>
          <t>外部からの脆弱性報告窓口がある</t>
        </is>
      </c>
      <c r="F71" s="4" t="inlineStr">
        <is>
          <t>報告の受付手段(連絡先、security.txt 等)と受付後の応答方針が定義されている(ISO/IEC 29147 整合)。外部公開のないシステムでは N/A 可</t>
        </is>
      </c>
      <c r="G71" s="4" t="inlineStr">
        <is>
          <t>報告窓口がないと善意の発見者が報告先を見つけられず、脆弱性がSNSや闇市場で先に公開される最悪の展開を招く。受付と応答方針の整備が協調的開示を成立させる。</t>
        </is>
      </c>
      <c r="H71" s="4" t="inlineStr">
        <is>
          <t>swebok-v4a.pdf ch13 Software Security &gt; 4.6 Vulnerability Management(vulnerability disclosure process)</t>
        </is>
      </c>
      <c r="I71" s="4" t="inlineStr">
        <is>
          <t>CORE</t>
        </is>
      </c>
      <c r="J71" s="4" t="inlineStr">
        <is>
          <t>原則適用。案件スコープ・成果物・規制・リスク上非該当の場合はN/A根拠を記録。</t>
        </is>
      </c>
      <c r="K71" s="4" t="inlineStr">
        <is>
          <t>SRC-SWEBOK-V4A</t>
        </is>
      </c>
      <c r="L71" s="4" t="inlineStr">
        <is>
          <t>SEC-SUPPLY-CHAIN</t>
        </is>
      </c>
      <c r="M71" s="4" t="n"/>
      <c r="N71" s="4" t="n"/>
      <c r="O71" s="4" t="n"/>
      <c r="P71" s="4" t="n"/>
      <c r="Q71" s="4" t="n"/>
      <c r="R71" s="4" t="n"/>
      <c r="S71" s="4" t="n"/>
      <c r="T71" s="4" t="n"/>
      <c r="U71" s="4" t="n"/>
      <c r="V71" s="4" t="n"/>
      <c r="W71" s="4" t="n"/>
    </row>
    <row r="72">
      <c r="A72" s="5" t="inlineStr">
        <is>
          <t>SEC-505</t>
        </is>
      </c>
      <c r="B72" s="5" t="inlineStr">
        <is>
          <t>SWEBOK</t>
        </is>
      </c>
      <c r="C72" s="4" t="inlineStr">
        <is>
          <t>6. 脆弱性管理(SEC-501〜)</t>
        </is>
      </c>
      <c r="D72" s="9" t="inlineStr">
        <is>
          <t>High</t>
        </is>
      </c>
      <c r="E72" s="4" t="inlineStr">
        <is>
          <t>再発防止のフィードバックが組み込まれている</t>
        </is>
      </c>
      <c r="F72" s="4" t="inlineStr">
        <is>
          <t>修正後に根本原因分析を行い、コーディング規約・チェックリスト・テストへ反映する手順がある</t>
        </is>
      </c>
      <c r="G72" s="4" t="inlineStr">
        <is>
          <t>根本原因を規約・テストに反映しないと、同型の脆弱性が別の箇所で何度も作り込まれ、対応コストが際限なく増える。フィードバックループが「同じ穴を二度掘らない」を実現する。</t>
        </is>
      </c>
      <c r="H72" s="4" t="inlineStr">
        <is>
          <t>swebok-v4a.pdf ch13 Software Security &gt; 4.6 Vulnerability Management / 2.2 ISMS(継続的改善)</t>
        </is>
      </c>
      <c r="I72" s="4" t="inlineStr">
        <is>
          <t>CORE</t>
        </is>
      </c>
      <c r="J72" s="4" t="inlineStr">
        <is>
          <t>原則適用。案件スコープ・成果物・規制・リスク上非該当の場合はN/A根拠を記録。</t>
        </is>
      </c>
      <c r="K72" s="4" t="inlineStr">
        <is>
          <t>SRC-SWEBOK-V4A</t>
        </is>
      </c>
      <c r="L72" s="4" t="inlineStr">
        <is>
          <t>SEC-SUPPLY-CHAIN</t>
        </is>
      </c>
      <c r="M72" s="4" t="n"/>
      <c r="N72" s="4" t="n"/>
      <c r="O72" s="4" t="n"/>
      <c r="P72" s="4" t="n"/>
      <c r="Q72" s="4" t="n"/>
      <c r="R72" s="4" t="n"/>
      <c r="S72" s="4" t="n"/>
      <c r="T72" s="4" t="n"/>
      <c r="U72" s="4" t="n"/>
      <c r="V72" s="4" t="n"/>
      <c r="W72" s="4" t="n"/>
    </row>
    <row r="73">
      <c r="A73" s="5" t="inlineStr">
        <is>
          <t>SEC-506</t>
        </is>
      </c>
      <c r="B73" s="5" t="inlineStr">
        <is>
          <t>SWEBOK</t>
        </is>
      </c>
      <c r="C73" s="4" t="inlineStr">
        <is>
          <t>6. 脆弱性管理(SEC-501〜)</t>
        </is>
      </c>
      <c r="D73" s="10" t="inlineStr">
        <is>
          <t>Medium</t>
        </is>
      </c>
      <c r="E73" s="4" t="inlineStr">
        <is>
          <t>脆弱性情報の収集源が定義されている</t>
        </is>
      </c>
      <c r="F73" s="4" t="inlineStr">
        <is>
          <t>CVE/NVD、ベンダーアドバイザリ、JPCERT/CC 等の監視対象と確認頻度が記載されている</t>
        </is>
      </c>
      <c r="G73" s="4" t="inlineStr">
        <is>
          <t>収集源と頻度が未定義だと、使用コンポーネントの重大CVEの公表に気づかず、パッチ適用が世間の攻撃開始より遅れる。SWEBOKが挙げるCVE/NVD等の能動的監視が前提条件である。</t>
        </is>
      </c>
      <c r="H73" s="4" t="inlineStr">
        <is>
          <t>swebok-v4a.pdf ch13 Software Security &gt; 4.6 Vulnerability Management(CVE/NVD等のデータベース参照)</t>
        </is>
      </c>
      <c r="I73" s="4" t="inlineStr">
        <is>
          <t>CORE</t>
        </is>
      </c>
      <c r="J73" s="4" t="inlineStr">
        <is>
          <t>原則適用。案件スコープ・成果物・規制・リスク上非該当の場合はN/A根拠を記録。</t>
        </is>
      </c>
      <c r="K73" s="4" t="inlineStr">
        <is>
          <t>SRC-SWEBOK-V4A</t>
        </is>
      </c>
      <c r="L73" s="4" t="inlineStr">
        <is>
          <t>SEC-SUPPLY-CHAIN</t>
        </is>
      </c>
      <c r="M73" s="4" t="n"/>
      <c r="N73" s="4" t="n"/>
      <c r="O73" s="4" t="n"/>
      <c r="P73" s="4" t="n"/>
      <c r="Q73" s="4" t="n"/>
      <c r="R73" s="4" t="n"/>
      <c r="S73" s="4" t="n"/>
      <c r="T73" s="4" t="n"/>
      <c r="U73" s="4" t="n"/>
      <c r="V73" s="4" t="n"/>
      <c r="W73" s="4" t="n"/>
    </row>
    <row r="74">
      <c r="A74" s="5" t="inlineStr">
        <is>
          <t>SEC-507</t>
        </is>
      </c>
      <c r="B74" s="5" t="inlineStr">
        <is>
          <t>SWEBOK</t>
        </is>
      </c>
      <c r="C74" s="4" t="inlineStr">
        <is>
          <t>6. 脆弱性管理(SEC-501〜)</t>
        </is>
      </c>
      <c r="D74" s="10" t="inlineStr">
        <is>
          <t>Medium</t>
        </is>
      </c>
      <c r="E74" s="4" t="inlineStr">
        <is>
          <t>修正の検証方法と記録様式が定義されている</t>
        </is>
      </c>
      <c r="F74" s="4" t="inlineStr">
        <is>
          <t>修正が脆弱性を解消したことの確認方法(再スキャン、テストケース追加等)が手順化され、検出日・深刻度・対応内容・完了日を記録する台帳様式がある</t>
        </is>
      </c>
      <c r="G74" s="4" t="inlineStr">
        <is>
          <t>検証方法と台帳がないと修正の実効性が確認されず、対応履歴も残らないため監査・再発時の参照ができない。記録様式の定義が脆弱性対応を検証可能な活動にする。</t>
        </is>
      </c>
      <c r="H74" s="4" t="inlineStr">
        <is>
          <t>swebok-v4a.pdf ch13 Software Security &gt; 4.6 Vulnerability Management / 2.2 ISMS(文書化)</t>
        </is>
      </c>
      <c r="I74" s="4" t="inlineStr">
        <is>
          <t>CORE</t>
        </is>
      </c>
      <c r="J74" s="4" t="inlineStr">
        <is>
          <t>原則適用。案件スコープ・成果物・規制・リスク上非該当の場合はN/A根拠を記録。</t>
        </is>
      </c>
      <c r="K74" s="4" t="inlineStr">
        <is>
          <t>SRC-SWEBOK-V4A</t>
        </is>
      </c>
      <c r="L74" s="4" t="inlineStr">
        <is>
          <t>SEC-SUPPLY-CHAIN</t>
        </is>
      </c>
      <c r="M74" s="4" t="n"/>
      <c r="N74" s="4" t="n"/>
      <c r="O74" s="4" t="n"/>
      <c r="P74" s="4" t="n"/>
      <c r="Q74" s="4" t="n"/>
      <c r="R74" s="4" t="n"/>
      <c r="S74" s="4" t="n"/>
      <c r="T74" s="4" t="n"/>
      <c r="U74" s="4" t="n"/>
      <c r="V74" s="4" t="n"/>
      <c r="W74" s="4" t="n"/>
    </row>
    <row r="75">
      <c r="A75" s="5" t="inlineStr">
        <is>
          <t>SEC-601</t>
        </is>
      </c>
      <c r="B75" s="5" t="inlineStr">
        <is>
          <t>SWEBOK</t>
        </is>
      </c>
      <c r="C75" s="4" t="inlineStr">
        <is>
          <t>7. サードパーティ・サプライチェーン(SEC-601〜)</t>
        </is>
      </c>
      <c r="D75" s="8" t="inlineStr">
        <is>
          <t>Critical</t>
        </is>
      </c>
      <c r="E75" s="4" t="inlineStr">
        <is>
          <t>依存関係が SBOM として把握されている</t>
        </is>
      </c>
      <c r="F75" s="4" t="inlineStr">
        <is>
          <t>直接依存・推移的依存を含む部品一覧が自動生成される仕組み(ロックファイル+SBOM 生成等)がある</t>
        </is>
      </c>
      <c r="G75" s="4" t="inlineStr">
        <is>
          <t>SWEBOKが指摘する通り脆弱性はサードパーティ部品からも持ち込まれるが、推移的依存まで把握していなければ「自分が何を使っているか」すら分からず、影響調査が事故発生後の手探りになる。</t>
        </is>
      </c>
      <c r="H75" s="4" t="inlineStr">
        <is>
          <t>swebok-v4a.pdf ch13 Software Security &gt; 序文(third party componentsによる脆弱性混入)/ 実務補完(SBOM)</t>
        </is>
      </c>
      <c r="I75" s="4" t="inlineStr">
        <is>
          <t>CORE</t>
        </is>
      </c>
      <c r="J75" s="4" t="inlineStr">
        <is>
          <t>原則適用。案件スコープ・成果物・規制・リスク上非該当の場合はN/A根拠を記録。</t>
        </is>
      </c>
      <c r="K75" s="4" t="inlineStr">
        <is>
          <t>SRC-SWEBOK-V4A;SRC-PRACTICE</t>
        </is>
      </c>
      <c r="L75" s="4" t="inlineStr">
        <is>
          <t>SEC-SUPPLY-CHAIN</t>
        </is>
      </c>
      <c r="M75" s="4" t="n"/>
      <c r="N75" s="4" t="n"/>
      <c r="O75" s="4" t="n"/>
      <c r="P75" s="4" t="n"/>
      <c r="Q75" s="4" t="n"/>
      <c r="R75" s="4" t="n"/>
      <c r="S75" s="4" t="n"/>
      <c r="T75" s="4" t="n"/>
      <c r="U75" s="4" t="n"/>
      <c r="V75" s="4" t="n"/>
      <c r="W75" s="4" t="n"/>
    </row>
    <row r="76">
      <c r="A76" s="5" t="inlineStr">
        <is>
          <t>SEC-602</t>
        </is>
      </c>
      <c r="B76" s="5" t="inlineStr">
        <is>
          <t>SWEBOK</t>
        </is>
      </c>
      <c r="C76" s="4" t="inlineStr">
        <is>
          <t>7. サードパーティ・サプライチェーン(SEC-601〜)</t>
        </is>
      </c>
      <c r="D76" s="8" t="inlineStr">
        <is>
          <t>Critical</t>
        </is>
      </c>
      <c r="E76" s="4" t="inlineStr">
        <is>
          <t>SCA による既知脆弱性の継続監視がある</t>
        </is>
      </c>
      <c r="F76" s="4" t="inlineStr">
        <is>
          <t>依存ライブラリの CVE を検出する SCA ツールが CI または定期実行に組み込まれ、通知先が決まっている</t>
        </is>
      </c>
      <c r="G76" s="4" t="inlineStr">
        <is>
          <t>依存ライブラリのCVEは自分のコードを変更しなくても日々発生する。継続監視がなければ「リリース時点では安全だった」システムが時間経過で脆弱化していくのを検知できない。</t>
        </is>
      </c>
      <c r="H76" s="4" t="inlineStr">
        <is>
          <t>swebok-v4a.pdf ch13 Software Security &gt; 4.6 Vulnerability Management(third party componentsの脆弱性緩和)/ 実務補完(SCA)</t>
        </is>
      </c>
      <c r="I76" s="4" t="inlineStr">
        <is>
          <t>CORE</t>
        </is>
      </c>
      <c r="J76" s="4" t="inlineStr">
        <is>
          <t>原則適用。案件スコープ・成果物・規制・リスク上非該当の場合はN/A根拠を記録。</t>
        </is>
      </c>
      <c r="K76" s="4" t="inlineStr">
        <is>
          <t>SRC-SWEBOK-V4A;SRC-PRACTICE</t>
        </is>
      </c>
      <c r="L76" s="4" t="inlineStr">
        <is>
          <t>OPS-OBSERVABILITY;SEC-SUPPLY-CHAIN</t>
        </is>
      </c>
      <c r="M76" s="4" t="n"/>
      <c r="N76" s="4" t="n"/>
      <c r="O76" s="4" t="n"/>
      <c r="P76" s="4" t="n"/>
      <c r="Q76" s="4" t="n"/>
      <c r="R76" s="4" t="n"/>
      <c r="S76" s="4" t="n"/>
      <c r="T76" s="4" t="n"/>
      <c r="U76" s="4" t="n"/>
      <c r="V76" s="4" t="n"/>
      <c r="W76" s="4" t="n"/>
    </row>
    <row r="77">
      <c r="A77" s="5" t="inlineStr">
        <is>
          <t>SEC-603</t>
        </is>
      </c>
      <c r="B77" s="5" t="inlineStr">
        <is>
          <t>SWEBOK</t>
        </is>
      </c>
      <c r="C77" s="4" t="inlineStr">
        <is>
          <t>7. サードパーティ・サプライチェーン(SEC-601〜)</t>
        </is>
      </c>
      <c r="D77" s="9" t="inlineStr">
        <is>
          <t>High</t>
        </is>
      </c>
      <c r="E77" s="4" t="inlineStr">
        <is>
          <t>依存脆弱性の対応 SLA がある</t>
        </is>
      </c>
      <c r="F77" s="4" t="inlineStr">
        <is>
          <t>依存ライブラリの脆弱性に対し深刻度別の対応期限が定義されている</t>
        </is>
      </c>
      <c r="G77" s="4" t="inlineStr">
        <is>
          <t>自作コードの脆弱性に期限(SEC-502)があっても依存分に期限がなければ、Log4Shell級の依存脆弱性が「様子見」のまま放置される。同水準のSLAが対応の抜け穴を塞ぐ。</t>
        </is>
      </c>
      <c r="H77" s="4" t="inlineStr">
        <is>
          <t>swebok-v4a.pdf ch13 Software Security &gt; 4.6 Vulnerability Management / 実務補完(依存管理実務)</t>
        </is>
      </c>
      <c r="I77" s="4" t="inlineStr">
        <is>
          <t>CORE</t>
        </is>
      </c>
      <c r="J77" s="4" t="inlineStr">
        <is>
          <t>原則適用。案件スコープ・成果物・規制・リスク上非該当の場合はN/A根拠を記録。</t>
        </is>
      </c>
      <c r="K77" s="4" t="inlineStr">
        <is>
          <t>SRC-SWEBOK-V4A;SRC-PRACTICE</t>
        </is>
      </c>
      <c r="L77" s="4" t="inlineStr">
        <is>
          <t>SEC-SUPPLY-CHAIN</t>
        </is>
      </c>
      <c r="M77" s="4" t="n"/>
      <c r="N77" s="4" t="n"/>
      <c r="O77" s="4" t="n"/>
      <c r="P77" s="4" t="n"/>
      <c r="Q77" s="4" t="n"/>
      <c r="R77" s="4" t="n"/>
      <c r="S77" s="4" t="n"/>
      <c r="T77" s="4" t="n"/>
      <c r="U77" s="4" t="n"/>
      <c r="V77" s="4" t="n"/>
      <c r="W77" s="4" t="n"/>
    </row>
    <row r="78">
      <c r="A78" s="5" t="inlineStr">
        <is>
          <t>SEC-604</t>
        </is>
      </c>
      <c r="B78" s="5" t="inlineStr">
        <is>
          <t>SWEBOK</t>
        </is>
      </c>
      <c r="C78" s="4" t="inlineStr">
        <is>
          <t>7. サードパーティ・サプライチェーン(SEC-601〜)</t>
        </is>
      </c>
      <c r="D78" s="9" t="inlineStr">
        <is>
          <t>High</t>
        </is>
      </c>
      <c r="E78" s="4" t="inlineStr">
        <is>
          <t>コンテナベースイメージがスキャンされている</t>
        </is>
      </c>
      <c r="F78" s="4" t="inlineStr">
        <is>
          <t>ベースイメージ・ビルド成果物イメージの脆弱性スキャンが CI に含まれる。コンテナ未使用なら N/A</t>
        </is>
      </c>
      <c r="G78" s="4" t="inlineStr">
        <is>
          <t>コンテナはベースイメージのOSパッケージごと脆弱性を継承するため、アプリのSCAだけでは検出範囲に穴が残る。イメージスキャンのCI組み込みが基盤層の脆弱性混入を防ぐ。</t>
        </is>
      </c>
      <c r="H78" s="4" t="inlineStr">
        <is>
          <t>swebok-v4a.pdf ch13 Software Security &gt; 6.1 Security for Container and Cloud</t>
        </is>
      </c>
      <c r="I78" s="4" t="inlineStr">
        <is>
          <t>CORE</t>
        </is>
      </c>
      <c r="J78" s="4" t="inlineStr">
        <is>
          <t>原則適用。案件スコープ・成果物・規制・リスク上非該当の場合はN/A根拠を記録。</t>
        </is>
      </c>
      <c r="K78" s="4" t="inlineStr">
        <is>
          <t>SRC-SWEBOK-V4A</t>
        </is>
      </c>
      <c r="L78" s="4" t="inlineStr">
        <is>
          <t>SEC-SUPPLY-CHAIN</t>
        </is>
      </c>
      <c r="M78" s="4" t="n"/>
      <c r="N78" s="4" t="n"/>
      <c r="O78" s="4" t="n"/>
      <c r="P78" s="4" t="n"/>
      <c r="Q78" s="4" t="n"/>
      <c r="R78" s="4" t="n"/>
      <c r="S78" s="4" t="n"/>
      <c r="T78" s="4" t="n"/>
      <c r="U78" s="4" t="n"/>
      <c r="V78" s="4" t="n"/>
      <c r="W78" s="4" t="n"/>
    </row>
    <row r="79">
      <c r="A79" s="5" t="inlineStr">
        <is>
          <t>SEC-605</t>
        </is>
      </c>
      <c r="B79" s="5" t="inlineStr">
        <is>
          <t>SWEBOK</t>
        </is>
      </c>
      <c r="C79" s="4" t="inlineStr">
        <is>
          <t>7. サードパーティ・サプライチェーン(SEC-601〜)</t>
        </is>
      </c>
      <c r="D79" s="10" t="inlineStr">
        <is>
          <t>Medium</t>
        </is>
      </c>
      <c r="E79" s="4" t="inlineStr">
        <is>
          <t>新規依存追加時の評価基準がある</t>
        </is>
      </c>
      <c r="F79" s="4" t="inlineStr">
        <is>
          <t>ライブラリ採用時にメンテナンス状況・ライセンス・既知脆弱性を確認する基準が規約にある</t>
        </is>
      </c>
      <c r="G79" s="4" t="inlineStr">
        <is>
          <t>メンテナンスされていない・素性不明のライブラリの安易な採用は、将来のパッチ提供がない脆弱性やサプライチェーン攻撃(悪意あるパッケージ)の入口になる。採用時の関所が最も安上がりな防御。</t>
        </is>
      </c>
      <c r="H79" s="4" t="inlineStr">
        <is>
          <t>swebok-v4a.pdf ch13 Software Security &gt; 序文(third party components)/ 実務補完(依存評価基準)</t>
        </is>
      </c>
      <c r="I79" s="4" t="inlineStr">
        <is>
          <t>CORE</t>
        </is>
      </c>
      <c r="J79" s="4" t="inlineStr">
        <is>
          <t>原則適用。案件スコープ・成果物・規制・リスク上非該当の場合はN/A根拠を記録。</t>
        </is>
      </c>
      <c r="K79" s="4" t="inlineStr">
        <is>
          <t>SRC-SWEBOK-V4A;SRC-PRACTICE</t>
        </is>
      </c>
      <c r="L79" s="4" t="inlineStr">
        <is>
          <t>SEC-SUPPLY-CHAIN</t>
        </is>
      </c>
      <c r="M79" s="4" t="n"/>
      <c r="N79" s="4" t="n"/>
      <c r="O79" s="4" t="n"/>
      <c r="P79" s="4" t="n"/>
      <c r="Q79" s="4" t="n"/>
      <c r="R79" s="4" t="n"/>
      <c r="S79" s="4" t="n"/>
      <c r="T79" s="4" t="n"/>
      <c r="U79" s="4" t="n"/>
      <c r="V79" s="4" t="n"/>
      <c r="W79" s="4" t="n"/>
    </row>
    <row r="80">
      <c r="A80" s="5" t="inlineStr">
        <is>
          <t>SEC-606</t>
        </is>
      </c>
      <c r="B80" s="5" t="inlineStr">
        <is>
          <t>SWEBOK</t>
        </is>
      </c>
      <c r="C80" s="4" t="inlineStr">
        <is>
          <t>7. サードパーティ・サプライチェーン(SEC-601〜)</t>
        </is>
      </c>
      <c r="D80" s="10" t="inlineStr">
        <is>
          <t>Medium</t>
        </is>
      </c>
      <c r="E80" s="4" t="inlineStr">
        <is>
          <t>サポート終了(EOL)コンポーネントを使用していない</t>
        </is>
      </c>
      <c r="F80" s="4" t="inlineStr">
        <is>
          <t>使用中の OS・ランタイム・主要ライブラリがサポート期間内であるか、EOL 品には移行計画がある</t>
        </is>
      </c>
      <c r="G80" s="4" t="inlineStr">
        <is>
          <t>EOL品は脆弱性が公表されても修正が提供されず、「直せない既知の穴」を抱え続けることになる。EOL検出と移行計画の存在確認が、静かに進行する陳腐化リスクを可視化する。</t>
        </is>
      </c>
      <c r="H80" s="4" t="inlineStr">
        <is>
          <t>swebok-v4a.pdf ch13 Software Security &gt; 4.6 Vulnerability Management / 実務補完(EOL管理)</t>
        </is>
      </c>
      <c r="I80" s="4" t="inlineStr">
        <is>
          <t>CORE</t>
        </is>
      </c>
      <c r="J80" s="4" t="inlineStr">
        <is>
          <t>原則適用。案件スコープ・成果物・規制・リスク上非該当の場合はN/A根拠を記録。</t>
        </is>
      </c>
      <c r="K80" s="4" t="inlineStr">
        <is>
          <t>SRC-SWEBOK-V4A;SRC-PRACTICE</t>
        </is>
      </c>
      <c r="L80" s="4" t="inlineStr">
        <is>
          <t>SEC-SUPPLY-CHAIN</t>
        </is>
      </c>
      <c r="M80" s="4" t="n"/>
      <c r="N80" s="4" t="n"/>
      <c r="O80" s="4" t="n"/>
      <c r="P80" s="4" t="n"/>
      <c r="Q80" s="4" t="n"/>
      <c r="R80" s="4" t="n"/>
      <c r="S80" s="4" t="n"/>
      <c r="T80" s="4" t="n"/>
      <c r="U80" s="4" t="n"/>
      <c r="V80" s="4" t="n"/>
      <c r="W80" s="4" t="n"/>
    </row>
    <row r="81">
      <c r="A81" s="5" t="inlineStr">
        <is>
          <t>SEC-607</t>
        </is>
      </c>
      <c r="B81" s="5" t="inlineStr">
        <is>
          <t>SWEBOK</t>
        </is>
      </c>
      <c r="C81" s="4" t="inlineStr">
        <is>
          <t>7. サードパーティ・サプライチェーン(SEC-601〜)</t>
        </is>
      </c>
      <c r="D81" s="10" t="inlineStr">
        <is>
          <t>Medium</t>
        </is>
      </c>
      <c r="E81" s="4" t="inlineStr">
        <is>
          <t>ビルド・配布経路の完全性が保護されている</t>
        </is>
      </c>
      <c r="F81" s="4" t="inlineStr">
        <is>
          <t>依存取得元の固定(レジストリ指定・ハッシュ/ロックによるピン留め)、成果物の署名または検証手段が定義されている</t>
        </is>
      </c>
      <c r="G81" s="4" t="inlineStr">
        <is>
          <t>依存取得元の固定や成果物署名がないと、ビルド経路への介入(悪意あるパッケージ差し替え、typosquatting)により正規のビルドに不正コードが混入する。完全性保護がサプライチェーン攻撃を防ぐ。</t>
        </is>
      </c>
      <c r="H81" s="4" t="inlineStr">
        <is>
          <t>実務補完(SLSA/サプライチェーン完全性)</t>
        </is>
      </c>
      <c r="I81" s="4" t="inlineStr">
        <is>
          <t>CORE</t>
        </is>
      </c>
      <c r="J81" s="4" t="inlineStr">
        <is>
          <t>原則適用。案件スコープ・成果物・規制・リスク上非該当の場合はN/A根拠を記録。</t>
        </is>
      </c>
      <c r="K81" s="4" t="inlineStr">
        <is>
          <t>SRC-PRACTICE</t>
        </is>
      </c>
      <c r="L81" s="4" t="inlineStr">
        <is>
          <t>SEC-SUPPLY-CHAIN</t>
        </is>
      </c>
      <c r="M81" s="4" t="n"/>
      <c r="N81" s="4" t="n"/>
      <c r="O81" s="4" t="n"/>
      <c r="P81" s="4" t="n"/>
      <c r="Q81" s="4" t="n"/>
      <c r="R81" s="4" t="n"/>
      <c r="S81" s="4" t="n"/>
      <c r="T81" s="4" t="n"/>
      <c r="U81" s="4" t="n"/>
      <c r="V81" s="4" t="n"/>
      <c r="W81" s="4" t="n"/>
    </row>
    <row r="82">
      <c r="A82" s="5" t="inlineStr">
        <is>
          <t>SEC-701</t>
        </is>
      </c>
      <c r="B82" s="5" t="inlineStr">
        <is>
          <t>SWEBOK</t>
        </is>
      </c>
      <c r="C82" s="4" t="inlineStr">
        <is>
          <t>8. CI/CD・DevSecOps 統合(SEC-701〜)</t>
        </is>
      </c>
      <c r="D82" s="8" t="inlineStr">
        <is>
          <t>Critical</t>
        </is>
      </c>
      <c r="E82" s="4" t="inlineStr">
        <is>
          <t>SAST が CI に組み込まれている</t>
        </is>
      </c>
      <c r="F82" s="4" t="inlineStr">
        <is>
          <t>静的解析がプルリクエストまたはマージ時に自動実行され、ゲート基準(例: Critical/High 検出でブロック)が設定されている</t>
        </is>
      </c>
      <c r="G82" s="4" t="inlineStr">
        <is>
          <t>SASTを手動運用にすると実行忘れ・結果放置が必ず起きる。CIゲートへの組み込みは、DevSecOpsの狙いである「セキュリティ検査を開発の通常フローに不可避に織り込む」ことの実現である。</t>
        </is>
      </c>
      <c r="H82" s="4" t="inlineStr">
        <is>
          <t>swebok-v4a.pdf ch13 Software Security &gt; 3.1 Security Engineering and SDLC(DevSecOps: 自動化とCI)</t>
        </is>
      </c>
      <c r="I82" s="4" t="inlineStr">
        <is>
          <t>CORE</t>
        </is>
      </c>
      <c r="J82" s="4" t="inlineStr">
        <is>
          <t>原則適用。案件スコープ・成果物・規制・リスク上非該当の場合はN/A根拠を記録。</t>
        </is>
      </c>
      <c r="K82" s="4" t="inlineStr">
        <is>
          <t>SRC-SWEBOK-V4A</t>
        </is>
      </c>
      <c r="L82" s="4" t="inlineStr"/>
      <c r="M82" s="4" t="n"/>
      <c r="N82" s="4" t="n"/>
      <c r="O82" s="4" t="n"/>
      <c r="P82" s="4" t="n"/>
      <c r="Q82" s="4" t="n"/>
      <c r="R82" s="4" t="n"/>
      <c r="S82" s="4" t="n"/>
      <c r="T82" s="4" t="n"/>
      <c r="U82" s="4" t="n"/>
      <c r="V82" s="4" t="n"/>
      <c r="W82" s="4" t="n"/>
    </row>
    <row r="83">
      <c r="A83" s="5" t="inlineStr">
        <is>
          <t>SEC-702</t>
        </is>
      </c>
      <c r="B83" s="5" t="inlineStr">
        <is>
          <t>SWEBOK</t>
        </is>
      </c>
      <c r="C83" s="4" t="inlineStr">
        <is>
          <t>8. CI/CD・DevSecOps 統合(SEC-701〜)</t>
        </is>
      </c>
      <c r="D83" s="8" t="inlineStr">
        <is>
          <t>Critical</t>
        </is>
      </c>
      <c r="E83" s="4" t="inlineStr">
        <is>
          <t>シークレットスキャンが自動化されている</t>
        </is>
      </c>
      <c r="F83" s="4" t="inlineStr">
        <is>
          <t>コミット時または CI でシークレット検出が実行され、検出時の失効・再発行手順が定義されている</t>
        </is>
      </c>
      <c r="G83" s="4" t="inlineStr">
        <is>
          <t>シークレットのコミット混入は人為ミスとして必ず起きる前提で自動検出が要る。検出時の失効手順まで定義しないと「見つけたが漏れたキーがそのまま有効」という中途半端な状態が残る。</t>
        </is>
      </c>
      <c r="H83" s="4" t="inlineStr">
        <is>
          <t>swebok-v4a.pdf ch13 Software Security &gt; 3.1 DevSecOps(自動化)/ 実務補完(シークレットスキャン)</t>
        </is>
      </c>
      <c r="I83" s="4" t="inlineStr">
        <is>
          <t>CORE</t>
        </is>
      </c>
      <c r="J83" s="4" t="inlineStr">
        <is>
          <t>原則適用。案件スコープ・成果物・規制・リスク上非該当の場合はN/A根拠を記録。</t>
        </is>
      </c>
      <c r="K83" s="4" t="inlineStr">
        <is>
          <t>SRC-SWEBOK-V4A;SRC-PRACTICE</t>
        </is>
      </c>
      <c r="L83" s="4" t="inlineStr"/>
      <c r="M83" s="4" t="n"/>
      <c r="N83" s="4" t="n"/>
      <c r="O83" s="4" t="n"/>
      <c r="P83" s="4" t="n"/>
      <c r="Q83" s="4" t="n"/>
      <c r="R83" s="4" t="n"/>
      <c r="S83" s="4" t="n"/>
      <c r="T83" s="4" t="n"/>
      <c r="U83" s="4" t="n"/>
      <c r="V83" s="4" t="n"/>
      <c r="W83" s="4" t="n"/>
    </row>
    <row r="84">
      <c r="A84" s="5" t="inlineStr">
        <is>
          <t>SEC-703</t>
        </is>
      </c>
      <c r="B84" s="5" t="inlineStr">
        <is>
          <t>SWEBOK</t>
        </is>
      </c>
      <c r="C84" s="4" t="inlineStr">
        <is>
          <t>8. CI/CD・DevSecOps 統合(SEC-701〜)</t>
        </is>
      </c>
      <c r="D84" s="9" t="inlineStr">
        <is>
          <t>High</t>
        </is>
      </c>
      <c r="E84" s="4" t="inlineStr">
        <is>
          <t>セキュリティチェックの結果が開発フローで可視化される</t>
        </is>
      </c>
      <c r="F84" s="4" t="inlineStr">
        <is>
          <t>検出結果が開発者に直接届き(PR コメント、チケット化等)、放置されない仕組みがある</t>
        </is>
      </c>
      <c r="G84" s="4" t="inlineStr">
        <is>
          <t>検出結果がダッシュボードの肥やしになる構造では、ツール投資が防御に変換されない。開発者に直接届きチケット化される仕組みが「検出したのに放置で事故」を防ぐ。</t>
        </is>
      </c>
      <c r="H84" s="4" t="inlineStr">
        <is>
          <t>swebok-v4a.pdf ch13 Software Security &gt; 2.3 Agile Practice(enablement)/ 3.1 DevSecOps</t>
        </is>
      </c>
      <c r="I84" s="4" t="inlineStr">
        <is>
          <t>CORE</t>
        </is>
      </c>
      <c r="J84" s="4" t="inlineStr">
        <is>
          <t>原則適用。案件スコープ・成果物・規制・リスク上非該当の場合はN/A根拠を記録。</t>
        </is>
      </c>
      <c r="K84" s="4" t="inlineStr">
        <is>
          <t>SRC-SWEBOK-V4A</t>
        </is>
      </c>
      <c r="L84" s="4" t="inlineStr"/>
      <c r="M84" s="4" t="n"/>
      <c r="N84" s="4" t="n"/>
      <c r="O84" s="4" t="n"/>
      <c r="P84" s="4" t="n"/>
      <c r="Q84" s="4" t="n"/>
      <c r="R84" s="4" t="n"/>
      <c r="S84" s="4" t="n"/>
      <c r="T84" s="4" t="n"/>
      <c r="U84" s="4" t="n"/>
      <c r="V84" s="4" t="n"/>
      <c r="W84" s="4" t="n"/>
    </row>
    <row r="85">
      <c r="A85" s="5" t="inlineStr">
        <is>
          <t>SEC-704</t>
        </is>
      </c>
      <c r="B85" s="5" t="inlineStr">
        <is>
          <t>SWEBOK</t>
        </is>
      </c>
      <c r="C85" s="4" t="inlineStr">
        <is>
          <t>8. CI/CD・DevSecOps 統合(SEC-701〜)</t>
        </is>
      </c>
      <c r="D85" s="9" t="inlineStr">
        <is>
          <t>High</t>
        </is>
      </c>
      <c r="E85" s="4" t="inlineStr">
        <is>
          <t>パイプライン自体の権限が最小化されている</t>
        </is>
      </c>
      <c r="F85" s="4" t="inlineStr">
        <is>
          <t>CI/CD の実行主体に付与された権限(デプロイ先、シークレットアクセス)が必要最小限で、レビューなしの本番反映ができない</t>
        </is>
      </c>
      <c r="G85" s="4" t="inlineStr">
        <is>
          <t>CI/CDは本番へのデプロイ権限とシークレットを持つため、パイプライン自体が侵害されると全防御を迂回した本番改ざんが可能になる。パイプラインは攻撃対象として最小権限で守る必要がある。</t>
        </is>
      </c>
      <c r="H85" s="4" t="inlineStr">
        <is>
          <t>swebok-v4a.pdf ch13 Software Security &gt; 3.1 DevSecOps / 4.4(least privilege の適用)</t>
        </is>
      </c>
      <c r="I85" s="4" t="inlineStr">
        <is>
          <t>CORE</t>
        </is>
      </c>
      <c r="J85" s="4" t="inlineStr">
        <is>
          <t>原則適用。案件スコープ・成果物・規制・リスク上非該当の場合はN/A根拠を記録。</t>
        </is>
      </c>
      <c r="K85" s="4" t="inlineStr">
        <is>
          <t>SRC-SWEBOK-V4A</t>
        </is>
      </c>
      <c r="L85" s="4" t="inlineStr"/>
      <c r="M85" s="4" t="n"/>
      <c r="N85" s="4" t="n"/>
      <c r="O85" s="4" t="n"/>
      <c r="P85" s="4" t="n"/>
      <c r="Q85" s="4" t="n"/>
      <c r="R85" s="4" t="n"/>
      <c r="S85" s="4" t="n"/>
      <c r="T85" s="4" t="n"/>
      <c r="U85" s="4" t="n"/>
      <c r="V85" s="4" t="n"/>
      <c r="W85" s="4" t="n"/>
    </row>
    <row r="86">
      <c r="A86" s="5" t="inlineStr">
        <is>
          <t>SEC-705</t>
        </is>
      </c>
      <c r="B86" s="5" t="inlineStr">
        <is>
          <t>SWEBOK</t>
        </is>
      </c>
      <c r="C86" s="4" t="inlineStr">
        <is>
          <t>8. CI/CD・DevSecOps 統合(SEC-701〜)</t>
        </is>
      </c>
      <c r="D86" s="10" t="inlineStr">
        <is>
          <t>Medium</t>
        </is>
      </c>
      <c r="E86" s="4" t="inlineStr">
        <is>
          <t>セキュリティ活動がイテレーションに組み込まれている</t>
        </is>
      </c>
      <c r="F86" s="4" t="inlineStr">
        <is>
          <t>アジャイル開発の場合、脅威モデル見直し・規約更新等のセキュリティ作業がバックログ・Definition of Done に含まれる(SWEBOK v4 2.3)</t>
        </is>
      </c>
      <c r="G86" s="4" t="inlineStr">
        <is>
          <t>アジャイルでは仕様が毎スプリント変わるため、セキュリティ作業をバックログ・DoDに組み込まないと「後でまとめて」が永遠に来ない。SWEBOKもアジャイルチーム自身のセキュリティ責任を強調する。</t>
        </is>
      </c>
      <c r="H86" s="4" t="inlineStr">
        <is>
          <t>swebok-v4a.pdf ch13 Software Security &gt; 2.3 Agile Practice for Software Security</t>
        </is>
      </c>
      <c r="I86" s="4" t="inlineStr">
        <is>
          <t>CORE</t>
        </is>
      </c>
      <c r="J86" s="4" t="inlineStr">
        <is>
          <t>原則適用。案件スコープ・成果物・規制・リスク上非該当の場合はN/A根拠を記録。</t>
        </is>
      </c>
      <c r="K86" s="4" t="inlineStr">
        <is>
          <t>SRC-SWEBOK-V4A</t>
        </is>
      </c>
      <c r="L86" s="4" t="inlineStr"/>
      <c r="M86" s="4" t="n"/>
      <c r="N86" s="4" t="n"/>
      <c r="O86" s="4" t="n"/>
      <c r="P86" s="4" t="n"/>
      <c r="Q86" s="4" t="n"/>
      <c r="R86" s="4" t="n"/>
      <c r="S86" s="4" t="n"/>
      <c r="T86" s="4" t="n"/>
      <c r="U86" s="4" t="n"/>
      <c r="V86" s="4" t="n"/>
      <c r="W86" s="4" t="n"/>
    </row>
    <row r="87">
      <c r="A87" s="5" t="inlineStr">
        <is>
          <t>SEC-706</t>
        </is>
      </c>
      <c r="B87" s="5" t="inlineStr">
        <is>
          <t>SWEBOK</t>
        </is>
      </c>
      <c r="C87" s="4" t="inlineStr">
        <is>
          <t>8. CI/CD・DevSecOps 統合(SEC-701〜)</t>
        </is>
      </c>
      <c r="D87" s="10" t="inlineStr">
        <is>
          <t>Medium</t>
        </is>
      </c>
      <c r="E87" s="4" t="inlineStr">
        <is>
          <t>例外(ゲート突破)の承認プロセスがある</t>
        </is>
      </c>
      <c r="F87" s="4" t="inlineStr">
        <is>
          <t>ゲート基準を満たさないままリリースする場合の承認者・記録・期限付き是正計画が定義されている</t>
        </is>
      </c>
      <c r="G87" s="4" t="inlineStr">
        <is>
          <t>例外プロセスがないとゲートは「黙って無効化」されるか「一切例外なしで開発停止」の二択になり、どちらも破綻する。承認と期限付き是正計画がゲートの規律と現実性を両立させる。</t>
        </is>
      </c>
      <c r="H87" s="4" t="inlineStr">
        <is>
          <t>swebok-v4a.pdf ch13 Software Security &gt; 2.3 Agile Practice(security as enabler)/ 実務補完(リスク受容プロセス)</t>
        </is>
      </c>
      <c r="I87" s="4" t="inlineStr">
        <is>
          <t>CORE</t>
        </is>
      </c>
      <c r="J87" s="4" t="inlineStr">
        <is>
          <t>原則適用。案件スコープ・成果物・規制・リスク上非該当の場合はN/A根拠を記録。</t>
        </is>
      </c>
      <c r="K87" s="4" t="inlineStr">
        <is>
          <t>SRC-SWEBOK-V4A;SRC-PRACTICE</t>
        </is>
      </c>
      <c r="L87" s="4" t="inlineStr"/>
      <c r="M87" s="4" t="n"/>
      <c r="N87" s="4" t="n"/>
      <c r="O87" s="4" t="n"/>
      <c r="P87" s="4" t="n"/>
      <c r="Q87" s="4" t="n"/>
      <c r="R87" s="4" t="n"/>
      <c r="S87" s="4" t="n"/>
      <c r="T87" s="4" t="n"/>
      <c r="U87" s="4" t="n"/>
      <c r="V87" s="4" t="n"/>
      <c r="W87" s="4" t="n"/>
    </row>
    <row r="88">
      <c r="A88" s="5" t="inlineStr">
        <is>
          <t>SEC-801</t>
        </is>
      </c>
      <c r="B88" s="5" t="inlineStr">
        <is>
          <t>SWEBOK</t>
        </is>
      </c>
      <c r="C88" s="4" t="inlineStr">
        <is>
          <t>9. マネジメント・組織(SEC-801〜)</t>
        </is>
      </c>
      <c r="D88" s="9" t="inlineStr">
        <is>
          <t>High</t>
        </is>
      </c>
      <c r="E88" s="4" t="inlineStr">
        <is>
          <t>セキュリティの責任者・体制が明確である</t>
        </is>
      </c>
      <c r="F88" s="4" t="inlineStr">
        <is>
          <t>成果物・プロセスごとにセキュリティ上の承認者と実施責任者が文書で特定できる</t>
        </is>
      </c>
      <c r="G88" s="4" t="inlineStr">
        <is>
          <t>責任者不在のセキュリティは「全員の仕事=誰の仕事でもない」となり、判断が必要な場面で意思決定が止まる。SWEBOKはセキュリティを技術問題から組織課題へ引き上げることを求めている。</t>
        </is>
      </c>
      <c r="H88" s="4" t="inlineStr">
        <is>
          <t>swebok-v4a.pdf ch13 Software Security &gt; 2. Security Management and Organization(enterprise issue への昇格)</t>
        </is>
      </c>
      <c r="I88" s="4" t="inlineStr">
        <is>
          <t>CORE</t>
        </is>
      </c>
      <c r="J88" s="4" t="inlineStr">
        <is>
          <t>原則適用。案件スコープ・成果物・規制・リスク上非該当の場合はN/A根拠を記録。</t>
        </is>
      </c>
      <c r="K88" s="4" t="inlineStr">
        <is>
          <t>SRC-SWEBOK-V4A</t>
        </is>
      </c>
      <c r="L88" s="4" t="inlineStr"/>
      <c r="M88" s="4" t="n"/>
      <c r="N88" s="4" t="n"/>
      <c r="O88" s="4" t="n"/>
      <c r="P88" s="4" t="n"/>
      <c r="Q88" s="4" t="n"/>
      <c r="R88" s="4" t="n"/>
      <c r="S88" s="4" t="n"/>
      <c r="T88" s="4" t="n"/>
      <c r="U88" s="4" t="n"/>
      <c r="V88" s="4" t="n"/>
      <c r="W88" s="4" t="n"/>
    </row>
    <row r="89">
      <c r="A89" s="5" t="inlineStr">
        <is>
          <t>SEC-802</t>
        </is>
      </c>
      <c r="B89" s="5" t="inlineStr">
        <is>
          <t>SWEBOK</t>
        </is>
      </c>
      <c r="C89" s="4" t="inlineStr">
        <is>
          <t>9. マネジメント・組織(SEC-801〜)</t>
        </is>
      </c>
      <c r="D89" s="9" t="inlineStr">
        <is>
          <t>High</t>
        </is>
      </c>
      <c r="E89" s="4" t="inlineStr">
        <is>
          <t>組織のセキュリティ方針(ISMS 等)との整合が確認されている</t>
        </is>
      </c>
      <c r="F89" s="4" t="inlineStr">
        <is>
          <t>組織に ISMS(ISO/IEC 27001)等の方針がある場合、プロジェクトのルールがそれに整合している旨の確認記録がある。方針がない場合はプロジェクト独自基準の承認記録がある</t>
        </is>
      </c>
      <c r="G89" s="4" t="inlineStr">
        <is>
          <t>プロジェクト独自ルールが組織のISMSと不整合だと、監査での指摘、二重管理、組織のリスク評価から漏れる資産が生じる。ISMSとの整合確認が組織的なリスク管理への接続点になる。</t>
        </is>
      </c>
      <c r="H89" s="4" t="inlineStr">
        <is>
          <t>swebok-v4a.pdf ch13 Software Security &gt; 2.2 Information Security Management System(ISO/IEC 27001)</t>
        </is>
      </c>
      <c r="I89" s="4" t="inlineStr">
        <is>
          <t>CORE</t>
        </is>
      </c>
      <c r="J89" s="4" t="inlineStr">
        <is>
          <t>原則適用。案件スコープ・成果物・規制・リスク上非該当の場合はN/A根拠を記録。</t>
        </is>
      </c>
      <c r="K89" s="4" t="inlineStr">
        <is>
          <t>SRC-SWEBOK-V4A;SRC-ISO-GENERAL</t>
        </is>
      </c>
      <c r="L89" s="4" t="inlineStr"/>
      <c r="M89" s="4" t="n"/>
      <c r="N89" s="4" t="n"/>
      <c r="O89" s="4" t="n"/>
      <c r="P89" s="4" t="n"/>
      <c r="Q89" s="4" t="n"/>
      <c r="R89" s="4" t="n"/>
      <c r="S89" s="4" t="n"/>
      <c r="T89" s="4" t="n"/>
      <c r="U89" s="4" t="n"/>
      <c r="V89" s="4" t="n"/>
      <c r="W89" s="4" t="n"/>
    </row>
    <row r="90">
      <c r="A90" s="5" t="inlineStr">
        <is>
          <t>SEC-803</t>
        </is>
      </c>
      <c r="B90" s="5" t="inlineStr">
        <is>
          <t>SWEBOK</t>
        </is>
      </c>
      <c r="C90" s="4" t="inlineStr">
        <is>
          <t>9. マネジメント・組織(SEC-801〜)</t>
        </is>
      </c>
      <c r="D90" s="10" t="inlineStr">
        <is>
          <t>Medium</t>
        </is>
      </c>
      <c r="E90" s="4" t="inlineStr">
        <is>
          <t>セキュリティ教育・スキル維持の計画がある</t>
        </is>
      </c>
      <c r="F90" s="4" t="inlineStr">
        <is>
          <t>開発メンバーへのセキュアコーディング教育・情報共有の実施計画または実績が確認できる</t>
        </is>
      </c>
      <c r="G90" s="4" t="inlineStr">
        <is>
          <t>セキュア開発の実践は個人の知識に依存するため、教育計画がないとチェックリストや規約が「読まれない文書」化する。攻撃手法は更新され続けるためスキル維持は一度きりで済まない。</t>
        </is>
      </c>
      <c r="H90" s="4" t="inlineStr">
        <is>
          <t>swebok-v4a.pdf ch13 Software Security &gt; 2. Security Management and Organization / 2.1(多様な役割への方法の普及)</t>
        </is>
      </c>
      <c r="I90" s="4" t="inlineStr">
        <is>
          <t>CORE</t>
        </is>
      </c>
      <c r="J90" s="4" t="inlineStr">
        <is>
          <t>原則適用。案件スコープ・成果物・規制・リスク上非該当の場合はN/A根拠を記録。</t>
        </is>
      </c>
      <c r="K90" s="4" t="inlineStr">
        <is>
          <t>SRC-SWEBOK-V4A</t>
        </is>
      </c>
      <c r="L90" s="4" t="inlineStr"/>
      <c r="M90" s="4" t="n"/>
      <c r="N90" s="4" t="n"/>
      <c r="O90" s="4" t="n"/>
      <c r="P90" s="4" t="n"/>
      <c r="Q90" s="4" t="n"/>
      <c r="R90" s="4" t="n"/>
      <c r="S90" s="4" t="n"/>
      <c r="T90" s="4" t="n"/>
      <c r="U90" s="4" t="n"/>
      <c r="V90" s="4" t="n"/>
      <c r="W90" s="4" t="n"/>
    </row>
    <row r="91">
      <c r="A91" s="5" t="inlineStr">
        <is>
          <t>SEC-804</t>
        </is>
      </c>
      <c r="B91" s="5" t="inlineStr">
        <is>
          <t>SWEBOK</t>
        </is>
      </c>
      <c r="C91" s="4" t="inlineStr">
        <is>
          <t>9. マネジメント・組織(SEC-801〜)</t>
        </is>
      </c>
      <c r="D91" s="10" t="inlineStr">
        <is>
          <t>Medium</t>
        </is>
      </c>
      <c r="E91" s="4" t="inlineStr">
        <is>
          <t>セキュリティが阻害要因でなく実現要因として運用されている</t>
        </is>
      </c>
      <c r="F91" s="4" t="inlineStr">
        <is>
          <t>セキュリティチェックが開発を長期間ブロックし続ける構造になっておらず、早期検出・迅速修正の仕組み(自動化、伴走)が説明できる</t>
        </is>
      </c>
      <c r="G91" s="4" t="inlineStr">
        <is>
          <t>セキュリティが恒常的なブロッカーになると、現場は回避策(承認の迂回、チェックの形骸化)を編み出し、結果的に統制が実態を失う。SWEBOKは「blocker でなく enabler へ」を成功条件に挙げる。</t>
        </is>
      </c>
      <c r="H91" s="4" t="inlineStr">
        <is>
          <t>swebok-v4a.pdf ch13 Software Security &gt; 2.3 Agile Practice for Software Security(security needs to become an enabler instead of a blocker)</t>
        </is>
      </c>
      <c r="I91" s="4" t="inlineStr">
        <is>
          <t>CORE</t>
        </is>
      </c>
      <c r="J91" s="4" t="inlineStr">
        <is>
          <t>原則適用。案件スコープ・成果物・規制・リスク上非該当の場合はN/A根拠を記録。</t>
        </is>
      </c>
      <c r="K91" s="4" t="inlineStr">
        <is>
          <t>SRC-SWEBOK-V4A</t>
        </is>
      </c>
      <c r="L91" s="4" t="inlineStr"/>
      <c r="M91" s="4" t="n"/>
      <c r="N91" s="4" t="n"/>
      <c r="O91" s="4" t="n"/>
      <c r="P91" s="4" t="n"/>
      <c r="Q91" s="4" t="n"/>
      <c r="R91" s="4" t="n"/>
      <c r="S91" s="4" t="n"/>
      <c r="T91" s="4" t="n"/>
      <c r="U91" s="4" t="n"/>
      <c r="V91" s="4" t="n"/>
      <c r="W91" s="4" t="n"/>
    </row>
    <row r="92">
      <c r="A92" s="5" t="inlineStr">
        <is>
          <t>SEC-805</t>
        </is>
      </c>
      <c r="B92" s="5" t="inlineStr">
        <is>
          <t>SWEBOK</t>
        </is>
      </c>
      <c r="C92" s="4" t="inlineStr">
        <is>
          <t>9. マネジメント・組織(SEC-801〜)</t>
        </is>
      </c>
      <c r="D92" s="11" t="inlineStr">
        <is>
          <t>Low</t>
        </is>
      </c>
      <c r="E92" s="4" t="inlineStr">
        <is>
          <t>プロセス成熟度の評価・改善が計画されている</t>
        </is>
      </c>
      <c r="F92" s="4" t="inlineStr">
        <is>
          <t>SSE-CMM、OWASP SAMM 等による現状評価または改善計画への言及がある</t>
        </is>
      </c>
      <c r="G92" s="4" t="inlineStr">
        <is>
          <t>成熟度評価がないと組織のセキュリティ活動が場当たりの改善に留まり、弱点領域への投資判断ができない。SSE-CMM等はプロセス能力を測定し改善を系統立てる道具である。</t>
        </is>
      </c>
      <c r="H92" s="4" t="inlineStr">
        <is>
          <t>swebok-v4a.pdf ch13 Software Security &gt; 2.1 Capability Maturity Model(SSE-CMM)</t>
        </is>
      </c>
      <c r="I92" s="4" t="inlineStr">
        <is>
          <t>CORE</t>
        </is>
      </c>
      <c r="J92" s="4" t="inlineStr">
        <is>
          <t>原則適用。案件スコープ・成果物・規制・リスク上非該当の場合はN/A根拠を記録。</t>
        </is>
      </c>
      <c r="K92" s="4" t="inlineStr">
        <is>
          <t>SRC-SWEBOK-V4A</t>
        </is>
      </c>
      <c r="L92" s="4" t="inlineStr"/>
      <c r="M92" s="4" t="n"/>
      <c r="N92" s="4" t="n"/>
      <c r="O92" s="4" t="n"/>
      <c r="P92" s="4" t="n"/>
      <c r="Q92" s="4" t="n"/>
      <c r="R92" s="4" t="n"/>
      <c r="S92" s="4" t="n"/>
      <c r="T92" s="4" t="n"/>
      <c r="U92" s="4" t="n"/>
      <c r="V92" s="4" t="n"/>
      <c r="W92" s="4" t="n"/>
    </row>
    <row r="93">
      <c r="A93" s="5" t="inlineStr">
        <is>
          <t>SEC-911</t>
        </is>
      </c>
      <c r="B93" s="5" t="inlineStr">
        <is>
          <t>追加承認</t>
        </is>
      </c>
      <c r="C93" s="4" t="inlineStr">
        <is>
          <t>9. マネジメント・組織(SEC-801〜)</t>
        </is>
      </c>
      <c r="D93" s="11" t="inlineStr">
        <is>
          <t>Low</t>
        </is>
      </c>
      <c r="E93" s="4" t="inlineStr">
        <is>
          <t>セキュリティ評価・認証(Common Criteria 等)の要否が判断されている</t>
        </is>
      </c>
      <c r="F93" s="4" t="inlineStr">
        <is>
          <t>ISO/IEC 15408(CC)等の第三者評価・認証の要否について、顧客要求・調達要件・市場要求を踏まえた判断結果と根拠が記録されている。調達するセキュリティ製品がある場合、その評価保証レベル(EAL 等)の確認記録がある。不要と判断した場合はその根拠がある</t>
        </is>
      </c>
      <c r="G93" s="4" t="inlineStr">
        <is>
          <t>評価・認証要否の検討漏れは、納品直前に「CC認証が必要だった」と発覚する致命的な手戻りや、保証水準不明のセキュリティ製品採用による防御の空洞化を招く。</t>
        </is>
      </c>
      <c r="H93" s="4" t="inlineStr">
        <is>
          <t>swebok-v4a.pdf ch13 Software Security &gt; 3.2 Common Criteria for Information Technology Security Evaluation(ISO/IEC 15408 によるセキュリティ評価・保証)</t>
        </is>
      </c>
      <c r="I93" s="4" t="inlineStr">
        <is>
          <t>CORE</t>
        </is>
      </c>
      <c r="J93" s="4" t="inlineStr">
        <is>
          <t>原則適用。案件スコープ・成果物・規制・リスク上非該当の場合はN/A根拠を記録。</t>
        </is>
      </c>
      <c r="K93" s="4" t="inlineStr">
        <is>
          <t>SRC-SWEBOK-V4A;SRC-ISO-GENERAL</t>
        </is>
      </c>
      <c r="L93" s="4" t="inlineStr">
        <is>
          <t>SEC-IAM</t>
        </is>
      </c>
      <c r="M93" s="4" t="n"/>
      <c r="N93" s="4" t="n"/>
      <c r="O93" s="4" t="n"/>
      <c r="P93" s="4" t="n"/>
      <c r="Q93" s="4" t="n"/>
      <c r="R93" s="4" t="n"/>
      <c r="S93" s="4" t="n"/>
      <c r="T93" s="4" t="n"/>
      <c r="U93" s="4" t="n"/>
      <c r="V93" s="4" t="n"/>
      <c r="W93" s="4" t="n"/>
    </row>
    <row r="94">
      <c r="A94" s="5" t="inlineStr">
        <is>
          <t>SEC-901</t>
        </is>
      </c>
      <c r="B94" s="5" t="inlineStr">
        <is>
          <t>追加承認</t>
        </is>
      </c>
      <c r="C94" s="4" t="inlineStr">
        <is>
          <t>10. ドメイン固有セキュリティ(SEC-901〜)</t>
        </is>
      </c>
      <c r="D94" s="9" t="inlineStr">
        <is>
          <t>High</t>
        </is>
      </c>
      <c r="E94" s="4" t="inlineStr">
        <is>
          <t>クラウド資産の棚卸しが行われている</t>
        </is>
      </c>
      <c r="F94" s="4" t="inlineStr">
        <is>
          <t>クラウド利用時、プロビジョニングされた資産(インスタンス、ストレージ、公開エンドポイント)の一覧化と定期棚卸しの仕組みがある。クラウド未使用なら N/A</t>
        </is>
      </c>
      <c r="G94" s="4" t="inlineStr">
        <is>
          <t>クラウドは安価・容易にプロビジョニングできる分、忘れられた資産が世界中に散在しやすい。SWEBOKが「時限爆弾」と呼ぶ放置資産を、棚卸しの仕組みでインシデント化する前に発見する。</t>
        </is>
      </c>
      <c r="H94" s="4" t="inlineStr">
        <is>
          <t>swebok-v4a.pdf ch13 Software Security &gt; 6.1 Security for Container and Cloud(forgotten assets are like a ticking time bomb)</t>
        </is>
      </c>
      <c r="I94" s="4" t="inlineStr">
        <is>
          <t>CORE</t>
        </is>
      </c>
      <c r="J94" s="4" t="inlineStr">
        <is>
          <t>原則適用。案件スコープ・成果物・規制・リスク上非該当の場合はN/A根拠を記録。</t>
        </is>
      </c>
      <c r="K94" s="4" t="inlineStr">
        <is>
          <t>SRC-SWEBOK-V4A</t>
        </is>
      </c>
      <c r="L94" s="4" t="inlineStr"/>
      <c r="M94" s="4" t="n"/>
      <c r="N94" s="4" t="n"/>
      <c r="O94" s="4" t="n"/>
      <c r="P94" s="4" t="n"/>
      <c r="Q94" s="4" t="n"/>
      <c r="R94" s="4" t="n"/>
      <c r="S94" s="4" t="n"/>
      <c r="T94" s="4" t="n"/>
      <c r="U94" s="4" t="n"/>
      <c r="V94" s="4" t="n"/>
      <c r="W94" s="4" t="n"/>
    </row>
    <row r="95">
      <c r="A95" s="5" t="inlineStr">
        <is>
          <t>SEC-902</t>
        </is>
      </c>
      <c r="B95" s="5" t="inlineStr">
        <is>
          <t>追加承認</t>
        </is>
      </c>
      <c r="C95" s="4" t="inlineStr">
        <is>
          <t>10. ドメイン固有セキュリティ(SEC-901〜)</t>
        </is>
      </c>
      <c r="D95" s="8" t="inlineStr">
        <is>
          <t>Critical</t>
        </is>
      </c>
      <c r="E95" s="4" t="inlineStr">
        <is>
          <t>クラウド IAM が最小権限で設計されている</t>
        </is>
      </c>
      <c r="F95" s="4" t="inlineStr">
        <is>
          <t>クラウド利用時、管理者権限の限定、ワイルドカード権限の不使用(または理由の記録)、認証情報のローテーションが確認できる。クラウド未使用なら N/A</t>
        </is>
      </c>
      <c r="G95" s="4" t="inlineStr">
        <is>
          <t>クラウドではIAMの設定ミスが即座にインターネット越しの侵害につながる。ワイルドカード権限や放置された認証情報は、1つの漏えいでアカウント全体の乗っ取りを許す。</t>
        </is>
      </c>
      <c r="H95" s="4" t="inlineStr">
        <is>
          <t>swebok-v4a.pdf ch13 Software Security &gt; 6.1 Security for Container and Cloud / 4.4(least privilege)</t>
        </is>
      </c>
      <c r="I95" s="4" t="inlineStr">
        <is>
          <t>CORE</t>
        </is>
      </c>
      <c r="J95" s="4" t="inlineStr">
        <is>
          <t>原則適用。案件スコープ・成果物・規制・リスク上非該当の場合はN/A根拠を記録。</t>
        </is>
      </c>
      <c r="K95" s="4" t="inlineStr">
        <is>
          <t>SRC-SWEBOK-V4A</t>
        </is>
      </c>
      <c r="L95" s="4" t="inlineStr">
        <is>
          <t>SEC-IAM</t>
        </is>
      </c>
      <c r="M95" s="4" t="n"/>
      <c r="N95" s="4" t="n"/>
      <c r="O95" s="4" t="n"/>
      <c r="P95" s="4" t="n"/>
      <c r="Q95" s="4" t="n"/>
      <c r="R95" s="4" t="n"/>
      <c r="S95" s="4" t="n"/>
      <c r="T95" s="4" t="n"/>
      <c r="U95" s="4" t="n"/>
      <c r="V95" s="4" t="n"/>
      <c r="W95" s="4" t="n"/>
    </row>
    <row r="96">
      <c r="A96" s="5" t="inlineStr">
        <is>
          <t>SEC-903</t>
        </is>
      </c>
      <c r="B96" s="5" t="inlineStr">
        <is>
          <t>追加承認</t>
        </is>
      </c>
      <c r="C96" s="4" t="inlineStr">
        <is>
          <t>10. ドメイン固有セキュリティ(SEC-901〜)</t>
        </is>
      </c>
      <c r="D96" s="9" t="inlineStr">
        <is>
          <t>High</t>
        </is>
      </c>
      <c r="E96" s="4" t="inlineStr">
        <is>
          <t>責任共有モデルの境界が確認されている</t>
        </is>
      </c>
      <c r="F96" s="4" t="inlineStr">
        <is>
          <t>クラウド事業者と自組織の責任分界(物理・基盤は事業者、設定・データは自組織等)が文書で整理されている。クラウド未使用なら N/A</t>
        </is>
      </c>
      <c r="G96" s="4" t="inlineStr">
        <is>
          <t>「クラウド事業者がやってくれているはず」という思い込みは、誰も守っていない領域(設定・データ保護)を生む。責任分界の文書化が防御の空白地帯をなくす。</t>
        </is>
      </c>
      <c r="H96" s="4" t="inlineStr">
        <is>
          <t>swebok-v4a.pdf ch13 Software Security &gt; 6.1 Security for Container and Cloud(物理防御は事業者側という責任の違い)</t>
        </is>
      </c>
      <c r="I96" s="4" t="inlineStr">
        <is>
          <t>CORE</t>
        </is>
      </c>
      <c r="J96" s="4" t="inlineStr">
        <is>
          <t>原則適用。案件スコープ・成果物・規制・リスク上非該当の場合はN/A根拠を記録。</t>
        </is>
      </c>
      <c r="K96" s="4" t="inlineStr">
        <is>
          <t>SRC-SWEBOK-V4A</t>
        </is>
      </c>
      <c r="L96" s="4" t="inlineStr"/>
      <c r="M96" s="4" t="n"/>
      <c r="N96" s="4" t="n"/>
      <c r="O96" s="4" t="n"/>
      <c r="P96" s="4" t="n"/>
      <c r="Q96" s="4" t="n"/>
      <c r="R96" s="4" t="n"/>
      <c r="S96" s="4" t="n"/>
      <c r="T96" s="4" t="n"/>
      <c r="U96" s="4" t="n"/>
      <c r="V96" s="4" t="n"/>
      <c r="W96" s="4" t="n"/>
    </row>
    <row r="97">
      <c r="A97" s="5" t="inlineStr">
        <is>
          <t>SEC-904</t>
        </is>
      </c>
      <c r="B97" s="5" t="inlineStr">
        <is>
          <t>追加承認</t>
        </is>
      </c>
      <c r="C97" s="4" t="inlineStr">
        <is>
          <t>10. ドメイン固有セキュリティ(SEC-901〜)</t>
        </is>
      </c>
      <c r="D97" s="9" t="inlineStr">
        <is>
          <t>High</t>
        </is>
      </c>
      <c r="E97" s="4" t="inlineStr">
        <is>
          <t>ストレージ・データストアの公開設定が検証されている</t>
        </is>
      </c>
      <c r="F97" s="4" t="inlineStr">
        <is>
          <t>オブジェクトストレージ・DB の意図しない公開がないことを確認する設定チェック(手動手順または自動検査)がある。クラウド未使用なら N/A</t>
        </is>
      </c>
      <c r="G97" s="4" t="inlineStr">
        <is>
          <t>オブジェクトストレージの公開設定ミスは、実際に大規模情報漏えいの最頻出原因の一つである。設定チェックの仕組み化が「一時的に公開したまま忘れる」事故を防ぐ。</t>
        </is>
      </c>
      <c r="H97" s="4" t="inlineStr">
        <is>
          <t>swebok-v4a.pdf ch13 Software Security &gt; 6.1 Security for Container and Cloud</t>
        </is>
      </c>
      <c r="I97" s="4" t="inlineStr">
        <is>
          <t>CORE</t>
        </is>
      </c>
      <c r="J97" s="4" t="inlineStr">
        <is>
          <t>原則適用。案件スコープ・成果物・規制・リスク上非該当の場合はN/A根拠を記録。</t>
        </is>
      </c>
      <c r="K97" s="4" t="inlineStr">
        <is>
          <t>SRC-SWEBOK-V4A</t>
        </is>
      </c>
      <c r="L97" s="4" t="inlineStr"/>
      <c r="M97" s="4" t="n"/>
      <c r="N97" s="4" t="n"/>
      <c r="O97" s="4" t="n"/>
      <c r="P97" s="4" t="n"/>
      <c r="Q97" s="4" t="n"/>
      <c r="R97" s="4" t="n"/>
      <c r="S97" s="4" t="n"/>
      <c r="T97" s="4" t="n"/>
      <c r="U97" s="4" t="n"/>
      <c r="V97" s="4" t="n"/>
      <c r="W97" s="4" t="n"/>
    </row>
    <row r="98">
      <c r="A98" s="5" t="inlineStr">
        <is>
          <t>SEC-905</t>
        </is>
      </c>
      <c r="B98" s="5" t="inlineStr">
        <is>
          <t>追加承認</t>
        </is>
      </c>
      <c r="C98" s="4" t="inlineStr">
        <is>
          <t>10. ドメイン固有セキュリティ(SEC-901〜)</t>
        </is>
      </c>
      <c r="D98" s="9" t="inlineStr">
        <is>
          <t>High</t>
        </is>
      </c>
      <c r="E98" s="4" t="inlineStr">
        <is>
          <t>IoT エンドポイントの堅牢化が計画されている</t>
        </is>
      </c>
      <c r="F98" s="4" t="inlineStr">
        <is>
          <t>IoT を含む場合、デバイスの初期パスワード変更強制、不要サービス停止、ファームウェア更新手段が定義されている。IoT 非該当なら N/A</t>
        </is>
      </c>
      <c r="G98" s="4" t="inlineStr">
        <is>
          <t>初期パスワードのままのIoTデバイスは自動化された攻撃に数分で乗っ取られ、ボットネット化や内部侵入の足場になる。SWEBOKもエンドポイントの堅牢化を新たな課題として明示する。</t>
        </is>
      </c>
      <c r="H98" s="4" t="inlineStr">
        <is>
          <t>swebok-v4a.pdf ch13 Software Security &gt; 6.2 Security for IoT Software(hardening these end points)</t>
        </is>
      </c>
      <c r="I98" s="4" t="inlineStr">
        <is>
          <t>CORE</t>
        </is>
      </c>
      <c r="J98" s="4" t="inlineStr">
        <is>
          <t>原則適用。案件スコープ・成果物・規制・リスク上非該当の場合はN/A根拠を記録。</t>
        </is>
      </c>
      <c r="K98" s="4" t="inlineStr">
        <is>
          <t>SRC-SWEBOK-V4A</t>
        </is>
      </c>
      <c r="L98" s="4" t="inlineStr"/>
      <c r="M98" s="4" t="n"/>
      <c r="N98" s="4" t="n"/>
      <c r="O98" s="4" t="n"/>
      <c r="P98" s="4" t="n"/>
      <c r="Q98" s="4" t="n"/>
      <c r="R98" s="4" t="n"/>
      <c r="S98" s="4" t="n"/>
      <c r="T98" s="4" t="n"/>
      <c r="U98" s="4" t="n"/>
      <c r="V98" s="4" t="n"/>
      <c r="W98" s="4" t="n"/>
    </row>
    <row r="99">
      <c r="A99" s="5" t="inlineStr">
        <is>
          <t>SEC-906</t>
        </is>
      </c>
      <c r="B99" s="5" t="inlineStr">
        <is>
          <t>追加承認</t>
        </is>
      </c>
      <c r="C99" s="4" t="inlineStr">
        <is>
          <t>10. ドメイン固有セキュリティ(SEC-901〜)</t>
        </is>
      </c>
      <c r="D99" s="9" t="inlineStr">
        <is>
          <t>High</t>
        </is>
      </c>
      <c r="E99" s="4" t="inlineStr">
        <is>
          <t>デバイス間・デバイス-バックエンド間通信が保護されている</t>
        </is>
      </c>
      <c r="F99" s="4" t="inlineStr">
        <is>
          <t>IoT を含む場合、通信の暗号化と相互認証の方式が定義されている。IoT 非該当なら N/A</t>
        </is>
      </c>
      <c r="G99" s="4" t="inlineStr">
        <is>
          <t>IoTのデバイス間通信が平文・片方向認証だと、盗聴・なりすましデバイスの挿入により偽データ注入や制御奪取が可能になり、物理的な安全インシデントにまで波及しうる。</t>
        </is>
      </c>
      <c r="H99" s="4" t="inlineStr">
        <is>
          <t>swebok-v4a.pdf ch13 Software Security &gt; 6.2 Security for IoT Software(securing device-to-device communications, credibility)</t>
        </is>
      </c>
      <c r="I99" s="4" t="inlineStr">
        <is>
          <t>CORE</t>
        </is>
      </c>
      <c r="J99" s="4" t="inlineStr">
        <is>
          <t>原則適用。案件スコープ・成果物・規制・リスク上非該当の場合はN/A根拠を記録。</t>
        </is>
      </c>
      <c r="K99" s="4" t="inlineStr">
        <is>
          <t>SRC-SWEBOK-V4A</t>
        </is>
      </c>
      <c r="L99" s="4" t="inlineStr"/>
      <c r="M99" s="4" t="n"/>
      <c r="N99" s="4" t="n"/>
      <c r="O99" s="4" t="n"/>
      <c r="P99" s="4" t="n"/>
      <c r="Q99" s="4" t="n"/>
      <c r="R99" s="4" t="n"/>
      <c r="S99" s="4" t="n"/>
      <c r="T99" s="4" t="n"/>
      <c r="U99" s="4" t="n"/>
      <c r="V99" s="4" t="n"/>
      <c r="W99" s="4" t="n"/>
    </row>
    <row r="100">
      <c r="A100" s="5" t="inlineStr">
        <is>
          <t>SEC-907</t>
        </is>
      </c>
      <c r="B100" s="5" t="inlineStr">
        <is>
          <t>追加承認</t>
        </is>
      </c>
      <c r="C100" s="4" t="inlineStr">
        <is>
          <t>10. ドメイン固有セキュリティ(SEC-901〜)</t>
        </is>
      </c>
      <c r="D100" s="10" t="inlineStr">
        <is>
          <t>Medium</t>
        </is>
      </c>
      <c r="E100" s="4" t="inlineStr">
        <is>
          <t>ML モデルの訓練データ保護が検討されている</t>
        </is>
      </c>
      <c r="F100" s="4" t="inlineStr">
        <is>
          <t>ML を含む場合、訓練データの出所管理・改ざん検知等、モデル汚染(model poisoning)への対策方針がある。ML 非該当なら N/A</t>
        </is>
      </c>
      <c r="G100" s="4" t="inlineStr">
        <is>
          <t>訓練データの汚染(model poisoning)はモデルの判断を攻撃者の意図通りに歪め、通常のテストでは検出しにくい。データの出所管理と改ざん検知が汚染の混入経路を塞ぐ。</t>
        </is>
      </c>
      <c r="H100" s="4" t="inlineStr">
        <is>
          <t>swebok-v4a.pdf ch13 Software Security &gt; 6.3 Security for Machine Learning-Based Application(model poisoning)</t>
        </is>
      </c>
      <c r="I100" s="4" t="inlineStr">
        <is>
          <t>CORE</t>
        </is>
      </c>
      <c r="J100" s="4" t="inlineStr">
        <is>
          <t>原則適用。案件スコープ・成果物・規制・リスク上非該当の場合はN/A根拠を記録。</t>
        </is>
      </c>
      <c r="K100" s="4" t="inlineStr">
        <is>
          <t>SRC-SWEBOK-V4A;SRC-ISO-GENERAL</t>
        </is>
      </c>
      <c r="L100" s="4" t="inlineStr"/>
      <c r="M100" s="4" t="n"/>
      <c r="N100" s="4" t="n"/>
      <c r="O100" s="4" t="n"/>
      <c r="P100" s="4" t="n"/>
      <c r="Q100" s="4" t="n"/>
      <c r="R100" s="4" t="n"/>
      <c r="S100" s="4" t="n"/>
      <c r="T100" s="4" t="n"/>
      <c r="U100" s="4" t="n"/>
      <c r="V100" s="4" t="n"/>
      <c r="W100" s="4" t="n"/>
    </row>
    <row r="101">
      <c r="A101" s="5" t="inlineStr">
        <is>
          <t>SEC-908</t>
        </is>
      </c>
      <c r="B101" s="5" t="inlineStr">
        <is>
          <t>追加承認</t>
        </is>
      </c>
      <c r="C101" s="4" t="inlineStr">
        <is>
          <t>10. ドメイン固有セキュリティ(SEC-901〜)</t>
        </is>
      </c>
      <c r="D101" s="10" t="inlineStr">
        <is>
          <t>Medium</t>
        </is>
      </c>
      <c r="E101" s="4" t="inlineStr">
        <is>
          <t>ML モデルへの不正入力対策が検討されている</t>
        </is>
      </c>
      <c r="F101" s="4" t="inlineStr">
        <is>
          <t>ML を含む場合、推論入力の検証・異常入力の検知等、回避攻撃(evasion)を想定した対策方針がある。ML 非該当なら N/A</t>
        </is>
      </c>
      <c r="G101" s="4" t="inlineStr">
        <is>
          <t>回避攻撃(evasion)は細工した入力で学習済みモデルの判断を誤らせ、不正検知やフィルタの迂回を許す。推論入力の検証・異常検知の方針が推論時の防御を担保する。</t>
        </is>
      </c>
      <c r="H101" s="4" t="inlineStr">
        <is>
          <t>swebok-v4a.pdf ch13 Software Security &gt; 6.3 Security for Machine Learning-Based Application(evasion)</t>
        </is>
      </c>
      <c r="I101" s="4" t="inlineStr">
        <is>
          <t>CORE</t>
        </is>
      </c>
      <c r="J101" s="4" t="inlineStr">
        <is>
          <t>原則適用。案件スコープ・成果物・規制・リスク上非該当の場合はN/A根拠を記録。</t>
        </is>
      </c>
      <c r="K101" s="4" t="inlineStr">
        <is>
          <t>SRC-SWEBOK-V4A</t>
        </is>
      </c>
      <c r="L101" s="4" t="inlineStr"/>
      <c r="M101" s="4" t="n"/>
      <c r="N101" s="4" t="n"/>
      <c r="O101" s="4" t="n"/>
      <c r="P101" s="4" t="n"/>
      <c r="Q101" s="4" t="n"/>
      <c r="R101" s="4" t="n"/>
      <c r="S101" s="4" t="n"/>
      <c r="T101" s="4" t="n"/>
      <c r="U101" s="4" t="n"/>
      <c r="V101" s="4" t="n"/>
      <c r="W101" s="4" t="n"/>
    </row>
    <row r="102">
      <c r="A102" s="5" t="inlineStr">
        <is>
          <t>SEC-951</t>
        </is>
      </c>
      <c r="B102" s="5" t="inlineStr">
        <is>
          <t>追加承認</t>
        </is>
      </c>
      <c r="C102" s="4" t="inlineStr">
        <is>
          <t>11. ドキュメント品質・トレーサビリティ(SEC-951〜)</t>
        </is>
      </c>
      <c r="D102" s="9" t="inlineStr">
        <is>
          <t>High</t>
        </is>
      </c>
      <c r="E102" s="4" t="inlineStr">
        <is>
          <t>成果物間のトレーサビリティが成立している</t>
        </is>
      </c>
      <c r="F102" s="4" t="inlineStr">
        <is>
          <t>脅威モデル・要件・設計・テストの各成果物間で ID による相互参照が張られ、サンプル抽出で辿れる</t>
        </is>
      </c>
      <c r="G102" s="4" t="inlineStr">
        <is>
          <t>成果物間のIDトレースが切れていると、脅威→要件→設計→テストの連鎖のどこかで対策が黙って消えても検出できない。サンプル抽出での追跡可能性が文書群の整合を実証する。</t>
        </is>
      </c>
      <c r="H102" s="4" t="inlineStr">
        <is>
          <t>swebok-v4a.pdf ch13 Software Security &gt; 4.1 Security Requirements(traceability throughout the development process)</t>
        </is>
      </c>
      <c r="I102" s="4" t="inlineStr">
        <is>
          <t>CORE</t>
        </is>
      </c>
      <c r="J102" s="4" t="inlineStr">
        <is>
          <t>原則適用。案件スコープ・成果物・規制・リスク上非該当の場合はN/A根拠を記録。</t>
        </is>
      </c>
      <c r="K102" s="4" t="inlineStr">
        <is>
          <t>SRC-SWEBOK-V4A</t>
        </is>
      </c>
      <c r="L102" s="4" t="inlineStr"/>
      <c r="M102" s="4" t="n"/>
      <c r="N102" s="4" t="n"/>
      <c r="O102" s="4" t="n"/>
      <c r="P102" s="4" t="n"/>
      <c r="Q102" s="4" t="n"/>
      <c r="R102" s="4" t="n"/>
      <c r="S102" s="4" t="n"/>
      <c r="T102" s="4" t="n"/>
      <c r="U102" s="4" t="n"/>
      <c r="V102" s="4" t="n"/>
      <c r="W102" s="4" t="n"/>
    </row>
    <row r="103">
      <c r="A103" s="5" t="inlineStr">
        <is>
          <t>SEC-952</t>
        </is>
      </c>
      <c r="B103" s="5" t="inlineStr">
        <is>
          <t>追加承認</t>
        </is>
      </c>
      <c r="C103" s="4" t="inlineStr">
        <is>
          <t>11. ドキュメント品質・トレーサビリティ(SEC-951〜)</t>
        </is>
      </c>
      <c r="D103" s="10" t="inlineStr">
        <is>
          <t>Medium</t>
        </is>
      </c>
      <c r="E103" s="4" t="inlineStr">
        <is>
          <t>用語が標準に準拠している</t>
        </is>
      </c>
      <c r="F103" s="4" t="inlineStr">
        <is>
          <t>機密性・完全性・可用性等の用語が ISO/IEC 27000・SWEBOK の定訳と一致し、独自の造語で置き換えられていない</t>
        </is>
      </c>
      <c r="G103" s="4" t="inlineStr">
        <is>
          <t>独自造語や不正確な用語は読者ごとに解釈が割れ、レビュー・監査・組織標準との突合を妨げる。ISO/IEC 27000とSWEBOKの定訳への準拠が文書の相互運用性を保つ。</t>
        </is>
      </c>
      <c r="H103" s="4" t="inlineStr">
        <is>
          <t>swebok-v4a.pdf ch13 Software Security &gt; 1.2 Information Security(CIA等の標準定義)</t>
        </is>
      </c>
      <c r="I103" s="4" t="inlineStr">
        <is>
          <t>CORE</t>
        </is>
      </c>
      <c r="J103" s="4" t="inlineStr">
        <is>
          <t>原則適用。案件スコープ・成果物・規制・リスク上非該当の場合はN/A根拠を記録。</t>
        </is>
      </c>
      <c r="K103" s="4" t="inlineStr">
        <is>
          <t>SRC-SWEBOK-V4A</t>
        </is>
      </c>
      <c r="L103" s="4" t="inlineStr"/>
      <c r="M103" s="4" t="n"/>
      <c r="N103" s="4" t="n"/>
      <c r="O103" s="4" t="n"/>
      <c r="P103" s="4" t="n"/>
      <c r="Q103" s="4" t="n"/>
      <c r="R103" s="4" t="n"/>
      <c r="S103" s="4" t="n"/>
      <c r="T103" s="4" t="n"/>
      <c r="U103" s="4" t="n"/>
      <c r="V103" s="4" t="n"/>
      <c r="W103" s="4" t="n"/>
    </row>
    <row r="104">
      <c r="A104" s="5" t="inlineStr">
        <is>
          <t>SEC-953</t>
        </is>
      </c>
      <c r="B104" s="5" t="inlineStr">
        <is>
          <t>追加承認</t>
        </is>
      </c>
      <c r="C104" s="4" t="inlineStr">
        <is>
          <t>11. ドキュメント品質・トレーサビリティ(SEC-951〜)</t>
        </is>
      </c>
      <c r="D104" s="10" t="inlineStr">
        <is>
          <t>Medium</t>
        </is>
      </c>
      <c r="E104" s="4" t="inlineStr">
        <is>
          <t>参照する標準・ツールが実在し版が明記されている</t>
        </is>
      </c>
      <c r="F104" s="4" t="inlineStr">
        <is>
          <t>引用される標準(ISO/IEC 27001:2022 等)・ツール名が実在し、参照版または年が確認できる</t>
        </is>
      </c>
      <c r="G104" s="4" t="inlineStr">
        <is>
          <t>実在しない標準名や版数不明の引用は、文書の信頼性を損なうだけでなく「どの要求水準に準拠しているのか」を検証不能にする。版の明記が準拠主張を確認可能にする。</t>
        </is>
      </c>
      <c r="H104" s="4" t="inlineStr">
        <is>
          <t>実務補完(文書品質・引用管理)</t>
        </is>
      </c>
      <c r="I104" s="4" t="inlineStr">
        <is>
          <t>CORE</t>
        </is>
      </c>
      <c r="J104" s="4" t="inlineStr">
        <is>
          <t>原則適用。案件スコープ・成果物・規制・リスク上非該当の場合はN/A根拠を記録。</t>
        </is>
      </c>
      <c r="K104" s="4" t="inlineStr">
        <is>
          <t>SRC-PRACTICE</t>
        </is>
      </c>
      <c r="L104" s="4" t="inlineStr"/>
      <c r="M104" s="4" t="n"/>
      <c r="N104" s="4" t="n"/>
      <c r="O104" s="4" t="n"/>
      <c r="P104" s="4" t="n"/>
      <c r="Q104" s="4" t="n"/>
      <c r="R104" s="4" t="n"/>
      <c r="S104" s="4" t="n"/>
      <c r="T104" s="4" t="n"/>
      <c r="U104" s="4" t="n"/>
      <c r="V104" s="4" t="n"/>
      <c r="W104" s="4" t="n"/>
    </row>
    <row r="105">
      <c r="A105" s="5" t="inlineStr">
        <is>
          <t>SEC-954</t>
        </is>
      </c>
      <c r="B105" s="5" t="inlineStr">
        <is>
          <t>追加承認</t>
        </is>
      </c>
      <c r="C105" s="4" t="inlineStr">
        <is>
          <t>11. ドキュメント品質・トレーサビリティ(SEC-951〜)</t>
        </is>
      </c>
      <c r="D105" s="10" t="inlineStr">
        <is>
          <t>Medium</t>
        </is>
      </c>
      <c r="E105" s="4" t="inlineStr">
        <is>
          <t>文書に改訂履歴と承認状態があり、機微情報を含まない</t>
        </is>
      </c>
      <c r="F105" s="4" t="inlineStr">
        <is>
          <t>全成果物に版数・改訂履歴・承認状態の記載欄があり最新版が識別でき、実環境の認証情報・鍵・内部 IP 等がそのまま記載されていない(必要な場合はプレースホルダ化)</t>
        </is>
      </c>
      <c r="G105" s="4" t="inlineStr">
        <is>
          <t>版管理がないと旧版の脅威モデルを見て「対策済み」と誤認する事故が起き、実環境の認証情報の記載は文書自体を攻撃の入口にする。文書のライフサイクル管理と機微情報排除の両方を確認する。</t>
        </is>
      </c>
      <c r="H105" s="4" t="inlineStr">
        <is>
          <t>swebok-v4a.pdf ch13 Software Security &gt; 2.2 ISMS(文書化された計画)/ 実務補完(文書管理)</t>
        </is>
      </c>
      <c r="I105" s="4" t="inlineStr">
        <is>
          <t>CORE</t>
        </is>
      </c>
      <c r="J105" s="4" t="inlineStr">
        <is>
          <t>原則適用。案件スコープ・成果物・規制・リスク上非該当の場合はN/A根拠を記録。</t>
        </is>
      </c>
      <c r="K105" s="4" t="inlineStr">
        <is>
          <t>SRC-SWEBOK-V4A;SRC-PRACTICE</t>
        </is>
      </c>
      <c r="L105" s="4" t="inlineStr"/>
      <c r="M105" s="4" t="n"/>
      <c r="N105" s="4" t="n"/>
      <c r="O105" s="4" t="n"/>
      <c r="P105" s="4" t="n"/>
      <c r="Q105" s="4" t="n"/>
      <c r="R105" s="4" t="n"/>
      <c r="S105" s="4" t="n"/>
      <c r="T105" s="4" t="n"/>
      <c r="U105" s="4" t="n"/>
      <c r="V105" s="4" t="n"/>
      <c r="W105" s="4" t="n"/>
    </row>
  </sheetData>
  <autoFilter ref="A1:W105"/>
  <conditionalFormatting sqref="O2:O2000">
    <cfRule type="cellIs" priority="1" operator="equal" dxfId="0">
      <formula>"Fail"</formula>
    </cfRule>
    <cfRule type="cellIs" priority="2" operator="equal" dxfId="1">
      <formula>"Pass"</formula>
    </cfRule>
    <cfRule type="cellIs" priority="4" operator="equal" dxfId="0">
      <formula>"Fail"</formula>
    </cfRule>
    <cfRule type="cellIs" priority="5" operator="equal" dxfId="1">
      <formula>"Pass"</formula>
    </cfRule>
    <cfRule type="cellIs" priority="7" operator="equal" dxfId="0">
      <formula>"Fail"</formula>
    </cfRule>
    <cfRule type="cellIs" priority="8" operator="equal" dxfId="1">
      <formula>"Pass"</formula>
    </cfRule>
    <cfRule type="cellIs" priority="10" operator="equal" dxfId="0">
      <formula>"Fail"</formula>
    </cfRule>
    <cfRule type="cellIs" priority="11" operator="equal" dxfId="1">
      <formula>"Pass"</formula>
    </cfRule>
    <cfRule type="cellIs" priority="13" operator="equal" dxfId="0">
      <formula>"Fail"</formula>
    </cfRule>
    <cfRule type="cellIs" priority="14" operator="equal" dxfId="1">
      <formula>"Pass"</formula>
    </cfRule>
  </conditionalFormatting>
  <conditionalFormatting sqref="N2:N2000">
    <cfRule type="cellIs" priority="3" operator="equal" dxfId="2">
      <formula>"N/A"</formula>
    </cfRule>
    <cfRule type="cellIs" priority="6" operator="equal" dxfId="2">
      <formula>"N/A"</formula>
    </cfRule>
    <cfRule type="cellIs" priority="9" operator="equal" dxfId="2">
      <formula>"N/A"</formula>
    </cfRule>
    <cfRule type="cellIs" priority="12" operator="equal" dxfId="2">
      <formula>"N/A"</formula>
    </cfRule>
    <cfRule type="cellIs" priority="15" operator="equal" dxfId="2">
      <formula>"N/A"</formula>
    </cfRule>
  </conditionalFormatting>
  <dataValidations count="20">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s>
  <pageMargins left="0.75" right="0.75" top="1" bottom="1" header="0.5" footer="0.5"/>
  <pageSetup orientation="landscape" fitToWidth="1"/>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W67"/>
  <sheetViews>
    <sheetView workbookViewId="0">
      <pane xSplit="4" ySplit="1" topLeftCell="E2"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4" customWidth="1" min="1" max="1"/>
    <col width="14" customWidth="1" min="2" max="2"/>
    <col width="28" customWidth="1" min="3" max="3"/>
    <col width="12" customWidth="1" min="4" max="4"/>
    <col width="46" customWidth="1" min="5" max="5"/>
    <col width="52" customWidth="1" min="6" max="6"/>
    <col width="48" customWidth="1" min="7" max="7"/>
    <col width="46" customWidth="1" min="8" max="8"/>
    <col width="18" customWidth="1" min="9" max="9"/>
    <col width="38" customWidth="1" min="10" max="10"/>
    <col width="28" customWidth="1" min="11" max="11"/>
    <col width="25" customWidth="1" min="12" max="12"/>
    <col width="13" customWidth="1" min="13" max="13"/>
    <col width="12" customWidth="1" min="14" max="14"/>
    <col width="12" customWidth="1" min="15" max="15"/>
    <col width="38" customWidth="1" min="16" max="16"/>
    <col width="24" customWidth="1" min="17" max="17"/>
    <col width="30" customWidth="1" min="18" max="18"/>
    <col width="23" customWidth="1" min="19" max="19"/>
    <col width="15" customWidth="1" min="20" max="20"/>
    <col width="18" customWidth="1" min="21" max="21"/>
    <col width="15" customWidth="1" min="22" max="22"/>
    <col width="15" customWidth="1" min="23" max="23"/>
  </cols>
  <sheetData>
    <row r="1">
      <c r="A1" s="3" t="inlineStr">
        <is>
          <t>ID</t>
        </is>
      </c>
      <c r="B1" s="3" t="inlineStr">
        <is>
          <t>区分</t>
        </is>
      </c>
      <c r="C1" s="3" t="inlineStr">
        <is>
          <t>カテゴリ</t>
        </is>
      </c>
      <c r="D1" s="3" t="inlineStr">
        <is>
          <t>基準重要度</t>
        </is>
      </c>
      <c r="E1" s="3" t="inlineStr">
        <is>
          <t>チェック項目</t>
        </is>
      </c>
      <c r="F1" s="3" t="inlineStr">
        <is>
          <t>合格基準</t>
        </is>
      </c>
      <c r="G1" s="3" t="inlineStr">
        <is>
          <t>意図(なぜ確認するか)</t>
        </is>
      </c>
      <c r="H1" s="3" t="inlineStr">
        <is>
          <t>対象ドキュメント(参照箇所)</t>
        </is>
      </c>
      <c r="I1" s="21" t="inlineStr">
        <is>
          <t>適用プロファイル</t>
        </is>
      </c>
      <c r="J1" s="21" t="inlineStr">
        <is>
          <t>適用条件</t>
        </is>
      </c>
      <c r="K1" s="21" t="inlineStr">
        <is>
          <t>出典ID</t>
        </is>
      </c>
      <c r="L1" s="21" t="inlineStr">
        <is>
          <t>重複統制グループ</t>
        </is>
      </c>
      <c r="M1" s="21" t="inlineStr">
        <is>
          <t>案件重要度</t>
        </is>
      </c>
      <c r="N1" s="21" t="inlineStr">
        <is>
          <t>適用判定</t>
        </is>
      </c>
      <c r="O1" s="21" t="inlineStr">
        <is>
          <t>判定</t>
        </is>
      </c>
      <c r="P1" s="21" t="inlineStr">
        <is>
          <t>証跡・参照箇所</t>
        </is>
      </c>
      <c r="Q1" s="21" t="inlineStr">
        <is>
          <t>指摘・Issue ID</t>
        </is>
      </c>
      <c r="R1" s="21" t="inlineStr">
        <is>
          <t>対応方針</t>
        </is>
      </c>
      <c r="S1" s="21" t="inlineStr">
        <is>
          <t>例外・リスク受容承認者</t>
        </is>
      </c>
      <c r="T1" s="21" t="inlineStr">
        <is>
          <t>是正期限</t>
        </is>
      </c>
      <c r="U1" s="21" t="inlineStr">
        <is>
          <t>レビュアー</t>
        </is>
      </c>
      <c r="V1" s="21" t="inlineStr">
        <is>
          <t>レビュー日</t>
        </is>
      </c>
      <c r="W1" s="21" t="inlineStr">
        <is>
          <t>再確認結果</t>
        </is>
      </c>
    </row>
    <row r="2">
      <c r="A2" s="5" t="inlineStr">
        <is>
          <t>CLD-001</t>
        </is>
      </c>
      <c r="B2" s="5" t="inlineStr">
        <is>
          <t>WAF</t>
        </is>
      </c>
      <c r="C2" s="4" t="inlineStr">
        <is>
          <t>信頼性</t>
        </is>
      </c>
      <c r="D2" s="8" t="inlineStr">
        <is>
          <t>Critical</t>
        </is>
      </c>
      <c r="E2" s="4" t="inlineStr">
        <is>
          <t>SLO・許容停止時間・障害ドメイン分析に基づき、必要な階層へゾーン冗長または同等の可用性対策を適用している</t>
        </is>
      </c>
      <c r="F2" s="4" t="inlineStr">
        <is>
          <t>対象階層ごとに可用性目標、単一障害点、採用した冗長化方式（非採用理由を含む）が対応付けられ、要求される障害シナリオの試験結果が目標を満たす</t>
        </is>
      </c>
      <c r="G2" s="4" t="inlineStr">
        <is>
          <t>複数AZを一律の唯一解にせず、事業要求と障害モデルに比例した冗長化を選び、過少対策と過剰投資を避ける。</t>
        </is>
      </c>
      <c r="H2" s="4" t="inlineStr">
        <is>
          <t>AWS WA &gt; 信頼性 &gt; REL10-BP01 Deploy the workload to multiple locations / Google Cloud WAF &gt; Reliability &gt; Build highly available systems through resource redundancy &gt; Identify failure domains and replicate services / Azure WA &gt; 信頼性 &gt; RE:05 Add redundancy at different levels / OCI WAF &gt; Reliability and Resilience &gt; Design for Scalability &gt; Distribute Your Traffic Across Availability Domains and Regions</t>
        </is>
      </c>
      <c r="I2" s="4" t="inlineStr">
        <is>
          <t>CLOUD-COMMON</t>
        </is>
      </c>
      <c r="J2" s="4" t="inlineStr">
        <is>
          <t>可用性SLO、許容停止時間、障害ドメイン分析が冗長化を必要とする場合。非適用・代替は根拠を記録。</t>
        </is>
      </c>
      <c r="K2" s="4" t="inlineStr">
        <is>
          <t>SRC-AWS-WAF;SRC-GCP-AIML;SRC-AZR-WAF;SRC-OCI-WAF</t>
        </is>
      </c>
      <c r="L2" s="4" t="inlineStr">
        <is>
          <t>RELIABILITY-HA</t>
        </is>
      </c>
      <c r="M2" s="4" t="n"/>
      <c r="N2" s="4" t="n"/>
      <c r="O2" s="4" t="n"/>
      <c r="P2" s="4" t="n"/>
      <c r="Q2" s="4" t="n"/>
      <c r="R2" s="4" t="n"/>
      <c r="S2" s="4" t="n"/>
      <c r="T2" s="4" t="n"/>
      <c r="U2" s="4" t="n"/>
      <c r="V2" s="4" t="n"/>
      <c r="W2" s="4" t="n"/>
    </row>
    <row r="3">
      <c r="A3" s="5" t="inlineStr">
        <is>
          <t>CLD-002</t>
        </is>
      </c>
      <c r="B3" s="5" t="inlineStr">
        <is>
          <t>WAF</t>
        </is>
      </c>
      <c r="C3" s="4" t="inlineStr">
        <is>
          <t>信頼性</t>
        </is>
      </c>
      <c r="D3" s="8" t="inlineStr">
        <is>
          <t>Critical</t>
        </is>
      </c>
      <c r="E3" s="4" t="inlineStr">
        <is>
          <t>可用性目標と復旧目標(RTO/RPO)がビジネス要件に基づき数値で定義され、アーキテクチャ設計の根拠になっている</t>
        </is>
      </c>
      <c r="F3" s="4" t="inlineStr">
        <is>
          <t>ワークロード(またはフロー)ごとにRTO/RPO・可用性目標が文書化され、ビジネスオーナーの承認と設計決定への対応付けがある</t>
        </is>
      </c>
      <c r="G3" s="4" t="inlineStr">
        <is>
          <t>目標なき復旧計画は投資の過不足を招き、災害時に許容範囲を超える停止・データ損失が発生する。</t>
        </is>
      </c>
      <c r="H3" s="4" t="inlineStr">
        <is>
          <t>AWS WA &gt; 信頼性 &gt; REL13-BP01 Define recovery objectives for downtime and data loss / Google Cloud WAF &gt; Reliability &gt; Perform testing for recovery from failures &gt; Verify recovery against RTO and RPO / Azure WA &gt; 信頼性 &gt; RE:04 Define reliability and recovery targets / OCI WAF &gt; Reliability and Resilience &gt; About Reliable and Resilient Cloud Topology Practices &gt; Define the Requirements</t>
        </is>
      </c>
      <c r="I3" s="4" t="inlineStr">
        <is>
          <t>CLOUD-COMMON</t>
        </is>
      </c>
      <c r="J3" s="4" t="inlineStr">
        <is>
          <t>クラウドを利用する案件に適用。サービス特性・責任共有モデルに応じてN/A可。</t>
        </is>
      </c>
      <c r="K3" s="4" t="inlineStr">
        <is>
          <t>SRC-AWS-WAF;SRC-GCP-AIML;SRC-AZR-WAF;SRC-OCI-WAF</t>
        </is>
      </c>
      <c r="L3" s="4" t="inlineStr">
        <is>
          <t>CONTINUITY-DR;RELIABILITY-HA</t>
        </is>
      </c>
      <c r="M3" s="4" t="n"/>
      <c r="N3" s="4" t="n"/>
      <c r="O3" s="4" t="n"/>
      <c r="P3" s="4" t="n"/>
      <c r="Q3" s="4" t="n"/>
      <c r="R3" s="4" t="n"/>
      <c r="S3" s="4" t="n"/>
      <c r="T3" s="4" t="n"/>
      <c r="U3" s="4" t="n"/>
      <c r="V3" s="4" t="n"/>
      <c r="W3" s="4" t="n"/>
    </row>
    <row r="4">
      <c r="A4" s="5" t="inlineStr">
        <is>
          <t>CLD-003</t>
        </is>
      </c>
      <c r="B4" s="5" t="inlineStr">
        <is>
          <t>WAF</t>
        </is>
      </c>
      <c r="C4" s="4" t="inlineStr">
        <is>
          <t>信頼性</t>
        </is>
      </c>
      <c r="D4" s="8" t="inlineStr">
        <is>
          <t>Critical</t>
        </is>
      </c>
      <c r="E4" s="4" t="inlineStr">
        <is>
          <t>全ての重要データが自動バックアップされ、定期的な復元テストで整合性と復旧手順が検証されている</t>
        </is>
      </c>
      <c r="F4" s="4" t="inlineStr">
        <is>
          <t>RPOに応じた自動バックアップが全データストアをカバーし、復元テストの記録と実測復旧時間がRTO/RPO内であることが確認できる</t>
        </is>
      </c>
      <c r="G4" s="4" t="inlineStr">
        <is>
          <t>復元テストされないバックアップは災害時に復元できないことが多く、恒久的データ損失につながる。</t>
        </is>
      </c>
      <c r="H4" s="4" t="inlineStr">
        <is>
          <t>AWS WA &gt; 信頼性 &gt; REL09-BP03 Perform data backup automatically / REL09-BP04 / Google Cloud WAF &gt; Reliability &gt; Perform testing for recovery from data loss &gt; Verify backup consistency and test restoration processes / OCI WAF &gt; Reliability and Resilience &gt; Back Up Your Data &gt; Verify Your Backup Integrity and Processes</t>
        </is>
      </c>
      <c r="I4" s="4" t="inlineStr">
        <is>
          <t>CLOUD-COMMON</t>
        </is>
      </c>
      <c r="J4" s="4" t="inlineStr">
        <is>
          <t>クラウドを利用する案件に適用。サービス特性・責任共有モデルに応じてN/A可。</t>
        </is>
      </c>
      <c r="K4" s="4" t="inlineStr">
        <is>
          <t>SRC-AWS-WAF;SRC-GCP-WAF;SRC-OCI-WAF</t>
        </is>
      </c>
      <c r="L4" s="4" t="inlineStr">
        <is>
          <t>CONTINUITY-BACKUP</t>
        </is>
      </c>
      <c r="M4" s="4" t="n"/>
      <c r="N4" s="4" t="n"/>
      <c r="O4" s="4" t="n"/>
      <c r="P4" s="4" t="n"/>
      <c r="Q4" s="4" t="n"/>
      <c r="R4" s="4" t="n"/>
      <c r="S4" s="4" t="n"/>
      <c r="T4" s="4" t="n"/>
      <c r="U4" s="4" t="n"/>
      <c r="V4" s="4" t="n"/>
      <c r="W4" s="4" t="n"/>
    </row>
    <row r="5">
      <c r="A5" s="5" t="inlineStr">
        <is>
          <t>CLD-004</t>
        </is>
      </c>
      <c r="B5" s="5" t="inlineStr">
        <is>
          <t>WAF</t>
        </is>
      </c>
      <c r="C5" s="4" t="inlineStr">
        <is>
          <t>信頼性</t>
        </is>
      </c>
      <c r="D5" s="8" t="inlineStr">
        <is>
          <t>Critical</t>
        </is>
      </c>
      <c r="E5" s="4" t="inlineStr">
        <is>
          <t>事業影響、SLO、RTO/RPO、許容コストに基づき、必要なDR方式と対象障害範囲を選定している</t>
        </is>
      </c>
      <c r="F5" s="4" t="inlineStr">
        <is>
          <t>リージョン障害を含む対象シナリオごとに、バックアップ／復元、同一リージョン冗長、クロスリージョン複製等の採否と根拠が記録され、RTO/RPO・コスト制約と整合する</t>
        </is>
      </c>
      <c r="G5" s="4" t="inlineStr">
        <is>
          <t>クロスリージョンDRを一律要求せず、復旧目標と事業影響から必要な方式を選ぶ。</t>
        </is>
      </c>
      <c r="H5" s="4" t="inlineStr">
        <is>
          <t>AWS WA &gt; 信頼性 &gt; REL13-BP02 / REL13-BP03 / OCI WAF &gt; Reliability and Resilience &gt; Plan Your Disaster Recovery Strategy &gt; Develop a Disaster Recovery Plan / Replicate Your Data</t>
        </is>
      </c>
      <c r="I5" s="4" t="inlineStr">
        <is>
          <t>CLOUD-COMMON</t>
        </is>
      </c>
      <c r="J5" s="4" t="inlineStr">
        <is>
          <t>事業影響分析とRTO/RPOでDRが必要な場合。クロスリージョンはリージョン障害対策が要求される場合のみ。</t>
        </is>
      </c>
      <c r="K5" s="4" t="inlineStr">
        <is>
          <t>SRC-AWS-WAF;SRC-OCI-WAF</t>
        </is>
      </c>
      <c r="L5" s="4" t="inlineStr">
        <is>
          <t>CONTINUITY-DR;COST</t>
        </is>
      </c>
      <c r="M5" s="4" t="n"/>
      <c r="N5" s="4" t="n"/>
      <c r="O5" s="4" t="n"/>
      <c r="P5" s="4" t="n"/>
      <c r="Q5" s="4" t="n"/>
      <c r="R5" s="4" t="n"/>
      <c r="S5" s="4" t="n"/>
      <c r="T5" s="4" t="n"/>
      <c r="U5" s="4" t="n"/>
      <c r="V5" s="4" t="n"/>
      <c r="W5" s="4" t="n"/>
    </row>
    <row r="6">
      <c r="A6" s="5" t="inlineStr">
        <is>
          <t>CLD-065</t>
        </is>
      </c>
      <c r="B6" s="5" t="inlineStr">
        <is>
          <t>WAF</t>
        </is>
      </c>
      <c r="C6" s="4" t="inlineStr">
        <is>
          <t>信頼性</t>
        </is>
      </c>
      <c r="D6" s="8" t="inlineStr">
        <is>
          <t>Critical</t>
        </is>
      </c>
      <c r="E6" s="4" t="inlineStr">
        <is>
          <t>採用したDR方式について、復旧・切替手順が実装され、必要なデータ複製と依存関係が構成されている</t>
        </is>
      </c>
      <c r="F6" s="4" t="inlineStr">
        <is>
          <t>DR設計に対応する構成、権限、データ複製、DNS・接続先切替、復旧手順が環境上で確認できる</t>
        </is>
      </c>
      <c r="G6" s="4" t="inlineStr">
        <is>
          <t>選定だけで終わらせず、実際に復旧可能な構成と手順へ落とし込む。</t>
        </is>
      </c>
      <c r="H6" s="4" t="inlineStr">
        <is>
          <t>AWS WA &gt; 信頼性 &gt; REL13-BP02 / REL13-BP03 / OCI WAF &gt; Reliability and Resilience &gt; Plan Your Disaster Recovery Strategy &gt; Develop a Disaster Recovery Plan / Replicate Your Data</t>
        </is>
      </c>
      <c r="I6" s="4" t="inlineStr">
        <is>
          <t>CLOUD-COMMON</t>
        </is>
      </c>
      <c r="J6" s="4" t="inlineStr">
        <is>
          <t>事業影響分析とRTO/RPOでDRが必要な場合。クロスリージョンはリージョン障害対策が要求される場合のみ。</t>
        </is>
      </c>
      <c r="K6" s="4" t="inlineStr">
        <is>
          <t>SRC-AWS-WAF;SRC-OCI-WAF</t>
        </is>
      </c>
      <c r="L6" s="4" t="inlineStr">
        <is>
          <t>CONTINUITY-DR</t>
        </is>
      </c>
      <c r="M6" s="4" t="n"/>
      <c r="N6" s="4" t="n"/>
      <c r="O6" s="4" t="n"/>
      <c r="P6" s="4" t="n"/>
      <c r="Q6" s="4" t="n"/>
      <c r="R6" s="4" t="n"/>
      <c r="S6" s="4" t="n"/>
      <c r="T6" s="4" t="n"/>
      <c r="U6" s="4" t="n"/>
      <c r="V6" s="4" t="n"/>
      <c r="W6" s="4" t="n"/>
    </row>
    <row r="7">
      <c r="A7" s="5" t="inlineStr">
        <is>
          <t>CLD-066</t>
        </is>
      </c>
      <c r="B7" s="5" t="inlineStr">
        <is>
          <t>WAF</t>
        </is>
      </c>
      <c r="C7" s="4" t="inlineStr">
        <is>
          <t>信頼性</t>
        </is>
      </c>
      <c r="D7" s="8" t="inlineStr">
        <is>
          <t>Critical</t>
        </is>
      </c>
      <c r="E7" s="4" t="inlineStr">
        <is>
          <t>DR切替・復旧テストを定期実施し、実測RTO/RPOと改善事項を記録している</t>
        </is>
      </c>
      <c r="F7" s="4" t="inlineStr">
        <is>
          <t>対象障害シナリオの演習記録、実測復旧時間・データ損失量、失敗事項、是正状況があり、承認済みRTO/RPOを満たす</t>
        </is>
      </c>
      <c r="G7" s="4" t="inlineStr">
        <is>
          <t>未検証のDR計画が災害時に機能しないリスクを、実測と改善ループで抑える。</t>
        </is>
      </c>
      <c r="H7" s="4" t="inlineStr">
        <is>
          <t>AWS WA &gt; 信頼性 &gt; REL13-BP02 / REL13-BP03 / OCI WAF &gt; Reliability and Resilience &gt; Plan Your Disaster Recovery Strategy &gt; Develop a Disaster Recovery Plan / Replicate Your Data</t>
        </is>
      </c>
      <c r="I7" s="4" t="inlineStr">
        <is>
          <t>CLOUD-COMMON</t>
        </is>
      </c>
      <c r="J7" s="4" t="inlineStr">
        <is>
          <t>事業影響分析とRTO/RPOでDRが必要な場合。クロスリージョンはリージョン障害対策が要求される場合のみ。</t>
        </is>
      </c>
      <c r="K7" s="4" t="inlineStr">
        <is>
          <t>SRC-AWS-WAF;SRC-OCI-WAF</t>
        </is>
      </c>
      <c r="L7" s="4" t="inlineStr">
        <is>
          <t>CONTINUITY-DR</t>
        </is>
      </c>
      <c r="M7" s="4" t="n"/>
      <c r="N7" s="4" t="n"/>
      <c r="O7" s="4" t="n"/>
      <c r="P7" s="4" t="n"/>
      <c r="Q7" s="4" t="n"/>
      <c r="R7" s="4" t="n"/>
      <c r="S7" s="4" t="n"/>
      <c r="T7" s="4" t="n"/>
      <c r="U7" s="4" t="n"/>
      <c r="V7" s="4" t="n"/>
      <c r="W7" s="4" t="n"/>
    </row>
    <row r="8">
      <c r="A8" s="5" t="inlineStr">
        <is>
          <t>CLD-005</t>
        </is>
      </c>
      <c r="B8" s="5" t="inlineStr">
        <is>
          <t>WAF</t>
        </is>
      </c>
      <c r="C8" s="4" t="inlineStr">
        <is>
          <t>信頼性</t>
        </is>
      </c>
      <c r="D8" s="9" t="inlineStr">
        <is>
          <t>High</t>
        </is>
      </c>
      <c r="E8" s="4" t="inlineStr">
        <is>
          <t>ユーザー体験に基づくSLO/SLIが定義・計測され、エラーバジェットの考え方で運用されている</t>
        </is>
      </c>
      <c r="F8" s="4" t="inlineStr">
        <is>
          <t>主要サービスのSLO/SLIが定義・計測され、100%ではない現実的な目標とバジェット消費時のアクションが決まっている</t>
        </is>
      </c>
      <c r="G8" s="4" t="inlineStr">
        <is>
          <t>SLOがないと信頼性投資と機能開発のトレードオフを合理的に判断できない。</t>
        </is>
      </c>
      <c r="H8" s="4" t="inlineStr">
        <is>
          <t>Google Cloud WAF &gt; オペレーショナルエクセレンス &gt; Ensure operational readiness and performance using CloudOps &gt; Define SLOs and SLAs / Reliability &gt; Set realistic targets for reliability</t>
        </is>
      </c>
      <c r="I8" s="4" t="inlineStr">
        <is>
          <t>CLOUD-COMMON</t>
        </is>
      </c>
      <c r="J8" s="4" t="inlineStr">
        <is>
          <t>クラウドを利用する案件に適用。サービス特性・責任共有モデルに応じてN/A可。</t>
        </is>
      </c>
      <c r="K8" s="4" t="inlineStr">
        <is>
          <t>SRC-GCP-WAF</t>
        </is>
      </c>
      <c r="L8" s="4" t="inlineStr"/>
      <c r="M8" s="4" t="n"/>
      <c r="N8" s="4" t="n"/>
      <c r="O8" s="4" t="n"/>
      <c r="P8" s="4" t="n"/>
      <c r="Q8" s="4" t="n"/>
      <c r="R8" s="4" t="n"/>
      <c r="S8" s="4" t="n"/>
      <c r="T8" s="4" t="n"/>
      <c r="U8" s="4" t="n"/>
      <c r="V8" s="4" t="n"/>
      <c r="W8" s="4" t="n"/>
    </row>
    <row r="9">
      <c r="A9" s="5" t="inlineStr">
        <is>
          <t>CLD-006</t>
        </is>
      </c>
      <c r="B9" s="5" t="inlineStr">
        <is>
          <t>WAF</t>
        </is>
      </c>
      <c r="C9" s="4" t="inlineStr">
        <is>
          <t>信頼性</t>
        </is>
      </c>
      <c r="D9" s="9" t="inlineStr">
        <is>
          <t>High</t>
        </is>
      </c>
      <c r="E9" s="4" t="inlineStr">
        <is>
          <t>ユーザーフロー・システムフローが識別され、ビジネス重要度で格付けされて保護投資の優先順位に反映されている</t>
        </is>
      </c>
      <c r="F9" s="4" t="inlineStr">
        <is>
          <t>フロー一覧と重要度格付け、それに応じた冗長化・監視・復旧の投資差配が文書化されている</t>
        </is>
      </c>
      <c r="G9" s="4" t="inlineStr">
        <is>
          <t>全コンポーネントを同列に扱うと、重要フローの保護不足か過剰投資のいずれかになる。</t>
        </is>
      </c>
      <c r="H9" s="4" t="inlineStr">
        <is>
          <t>Azure WA &gt; 信頼性 &gt; RE:02 Identify and rate user and system flows</t>
        </is>
      </c>
      <c r="I9" s="4" t="inlineStr">
        <is>
          <t>CLOUD-COMMON</t>
        </is>
      </c>
      <c r="J9" s="4" t="inlineStr">
        <is>
          <t>クラウドを利用する案件に適用。サービス特性・責任共有モデルに応じてN/A可。</t>
        </is>
      </c>
      <c r="K9" s="4" t="inlineStr">
        <is>
          <t>SRC-AZR-WAF</t>
        </is>
      </c>
      <c r="L9" s="4" t="inlineStr"/>
      <c r="M9" s="4" t="n"/>
      <c r="N9" s="4" t="n"/>
      <c r="O9" s="4" t="n"/>
      <c r="P9" s="4" t="n"/>
      <c r="Q9" s="4" t="n"/>
      <c r="R9" s="4" t="n"/>
      <c r="S9" s="4" t="n"/>
      <c r="T9" s="4" t="n"/>
      <c r="U9" s="4" t="n"/>
      <c r="V9" s="4" t="n"/>
      <c r="W9" s="4" t="n"/>
    </row>
    <row r="10">
      <c r="A10" s="5" t="inlineStr">
        <is>
          <t>CLD-007</t>
        </is>
      </c>
      <c r="B10" s="5" t="inlineStr">
        <is>
          <t>WAF</t>
        </is>
      </c>
      <c r="C10" s="4" t="inlineStr">
        <is>
          <t>信頼性</t>
        </is>
      </c>
      <c r="D10" s="9" t="inlineStr">
        <is>
          <t>High</t>
        </is>
      </c>
      <c r="E10" s="4" t="inlineStr">
        <is>
          <t>潜在的な故障点・依存関係を特定する故障モード分析(FMA)が実施され、緩和策が定義されている</t>
        </is>
      </c>
      <c r="F10" s="4" t="inlineStr">
        <is>
          <t>FMA文書(故障モード、影響、検知方法、緩和策)が存在し、アーキテクチャ変更時に更新されている</t>
        </is>
      </c>
      <c r="G10" s="4" t="inlineStr">
        <is>
          <t>故障点を事前に洗い出さないと、単一障害点や依存障害が本番で初めて顕在化する。</t>
        </is>
      </c>
      <c r="H10" s="4" t="inlineStr">
        <is>
          <t>Azure WA &gt; 信頼性 &gt; RE:03 Use failure mode analysis</t>
        </is>
      </c>
      <c r="I10" s="4" t="inlineStr">
        <is>
          <t>CLOUD-COMMON</t>
        </is>
      </c>
      <c r="J10" s="4" t="inlineStr">
        <is>
          <t>クラウドを利用する案件に適用。サービス特性・責任共有モデルに応じてN/A可。</t>
        </is>
      </c>
      <c r="K10" s="4" t="inlineStr">
        <is>
          <t>SRC-AZR-WAF</t>
        </is>
      </c>
      <c r="L10" s="4" t="inlineStr"/>
      <c r="M10" s="4" t="n"/>
      <c r="N10" s="4" t="n"/>
      <c r="O10" s="4" t="n"/>
      <c r="P10" s="4" t="n"/>
      <c r="Q10" s="4" t="n"/>
      <c r="R10" s="4" t="n"/>
      <c r="S10" s="4" t="n"/>
      <c r="T10" s="4" t="n"/>
      <c r="U10" s="4" t="n"/>
      <c r="V10" s="4" t="n"/>
      <c r="W10" s="4" t="n"/>
    </row>
    <row r="11">
      <c r="A11" s="5" t="inlineStr">
        <is>
          <t>CLD-008</t>
        </is>
      </c>
      <c r="B11" s="5" t="inlineStr">
        <is>
          <t>WAF</t>
        </is>
      </c>
      <c r="C11" s="4" t="inlineStr">
        <is>
          <t>信頼性</t>
        </is>
      </c>
      <c r="D11" s="9" t="inlineStr">
        <is>
          <t>High</t>
        </is>
      </c>
      <c r="E11" s="4" t="inlineStr">
        <is>
          <t>外部・依存先呼び出しにタイムアウト・上限付きバックオフリトライ・サーキットブレーカー等の一時的障害への防御的制御が実装されている</t>
        </is>
      </c>
      <c r="F11" s="4" t="inlineStr">
        <is>
          <t>全外部呼び出しでタイムアウトとリトライ上限(指数バックオフ+ジッター)が設定され、過負荷時のフェイルファスト動作が定義されている</t>
        </is>
      </c>
      <c r="G11" s="4" t="inlineStr">
        <is>
          <t>制御なき呼び出しはリトライストームとリソース枯渇でカスケード障害を起こす。</t>
        </is>
      </c>
      <c r="H11" s="4" t="inlineStr">
        <is>
          <t>AWS WA &gt; 信頼性 &gt; REL05-BP02 Throttle requests / REL05-BP03 Control and limit retry calls / REL05-BP05 Set client timeouts / Azure WA &gt; 信頼性 &gt; RE:07 Implement mechanisms for handling transient faults</t>
        </is>
      </c>
      <c r="I11" s="4" t="inlineStr">
        <is>
          <t>CLOUD-COMMON</t>
        </is>
      </c>
      <c r="J11" s="4" t="inlineStr">
        <is>
          <t>クラウドを利用する案件に適用。サービス特性・責任共有モデルに応じてN/A可。</t>
        </is>
      </c>
      <c r="K11" s="4" t="inlineStr">
        <is>
          <t>SRC-AWS-WAF;SRC-AZR-WAF</t>
        </is>
      </c>
      <c r="L11" s="4" t="inlineStr"/>
      <c r="M11" s="4" t="n"/>
      <c r="N11" s="4" t="n"/>
      <c r="O11" s="4" t="n"/>
      <c r="P11" s="4" t="n"/>
      <c r="Q11" s="4" t="n"/>
      <c r="R11" s="4" t="n"/>
      <c r="S11" s="4" t="n"/>
      <c r="T11" s="4" t="n"/>
      <c r="U11" s="4" t="n"/>
      <c r="V11" s="4" t="n"/>
      <c r="W11" s="4" t="n"/>
    </row>
    <row r="12">
      <c r="A12" s="5" t="inlineStr">
        <is>
          <t>CLD-009</t>
        </is>
      </c>
      <c r="B12" s="5" t="inlineStr">
        <is>
          <t>WAF</t>
        </is>
      </c>
      <c r="C12" s="4" t="inlineStr">
        <is>
          <t>信頼性</t>
        </is>
      </c>
      <c r="D12" s="10" t="inlineStr">
        <is>
          <t>Medium</t>
        </is>
      </c>
      <c r="E12" s="4" t="inlineStr">
        <is>
          <t>過負荷・部分障害時に全停止ではなく縮退モード(スロットリング・過剰リクエストの早期破棄・代替パス等)で主要機能を継続できる設計がある</t>
        </is>
      </c>
      <c r="F12" s="4" t="inlineStr">
        <is>
          <t>縮退モードの発動条件・切替方法・過負荷時のリクエスト制御が設計され、過負荷シナリオがテストされている</t>
        </is>
      </c>
      <c r="G12" s="4" t="inlineStr">
        <is>
          <t>縮退設計がないと部分障害・過負荷が連鎖的な全面停止に発展する。</t>
        </is>
      </c>
      <c r="H12" s="4" t="inlineStr">
        <is>
          <t>Google Cloud WAF &gt; Reliability &gt; Design for graceful degradation &gt; Implement throttling / Drop excess requests early / Azure WA &gt; 信頼性 &gt; RE:07 Implement a graceful degradation mode</t>
        </is>
      </c>
      <c r="I12" s="4" t="inlineStr">
        <is>
          <t>CLOUD-COMMON</t>
        </is>
      </c>
      <c r="J12" s="4" t="inlineStr">
        <is>
          <t>クラウドを利用する案件に適用。サービス特性・責任共有モデルに応じてN/A可。</t>
        </is>
      </c>
      <c r="K12" s="4" t="inlineStr">
        <is>
          <t>SRC-GCP-WAF;SRC-AZR-WAF</t>
        </is>
      </c>
      <c r="L12" s="4" t="inlineStr"/>
      <c r="M12" s="4" t="n"/>
      <c r="N12" s="4" t="n"/>
      <c r="O12" s="4" t="n"/>
      <c r="P12" s="4" t="n"/>
      <c r="Q12" s="4" t="n"/>
      <c r="R12" s="4" t="n"/>
      <c r="S12" s="4" t="n"/>
      <c r="T12" s="4" t="n"/>
      <c r="U12" s="4" t="n"/>
      <c r="V12" s="4" t="n"/>
      <c r="W12" s="4" t="n"/>
    </row>
    <row r="13">
      <c r="A13" s="5" t="inlineStr">
        <is>
          <t>CLD-010</t>
        </is>
      </c>
      <c r="B13" s="5" t="inlineStr">
        <is>
          <t>WAF</t>
        </is>
      </c>
      <c r="C13" s="4" t="inlineStr">
        <is>
          <t>信頼性</t>
        </is>
      </c>
      <c r="D13" s="10" t="inlineStr">
        <is>
          <t>Medium</t>
        </is>
      </c>
      <c r="E13" s="4" t="inlineStr">
        <is>
          <t>コンポーネント間がキュー/イベントで疎結合化・モジュラー化され、更新操作が冪等に設計されている</t>
        </is>
      </c>
      <c r="F13" s="4" t="inlineStr">
        <is>
          <t>非同期化可能な連携がキュー経由で個別にスケール・障害隔離でき、重複配信・リトライ時に二重処理が発生しないことが検証されている</t>
        </is>
      </c>
      <c r="G13" s="4" t="inlineStr">
        <is>
          <t>密結合・非冪等な設計は部分障害の連鎖とデータ不整合を生む。</t>
        </is>
      </c>
      <c r="H13" s="4" t="inlineStr">
        <is>
          <t>AWS WA &gt; 信頼性 &gt; REL04-BP02 Implement loosely coupled dependencies / REL04-BP04 Make mutating operations idempotent / Google Cloud WAF &gt; Reliability &gt; Take advantage of horizontal scalability &gt; Promote modular design</t>
        </is>
      </c>
      <c r="I13" s="4" t="inlineStr">
        <is>
          <t>CLOUD-COMMON</t>
        </is>
      </c>
      <c r="J13" s="4" t="inlineStr">
        <is>
          <t>クラウドを利用する案件に適用。サービス特性・責任共有モデルに応じてN/A可。</t>
        </is>
      </c>
      <c r="K13" s="4" t="inlineStr">
        <is>
          <t>SRC-AWS-WAF;SRC-GCP-WAF</t>
        </is>
      </c>
      <c r="L13" s="4" t="inlineStr"/>
      <c r="M13" s="4" t="n"/>
      <c r="N13" s="4" t="n"/>
      <c r="O13" s="4" t="n"/>
      <c r="P13" s="4" t="n"/>
      <c r="Q13" s="4" t="n"/>
      <c r="R13" s="4" t="n"/>
      <c r="S13" s="4" t="n"/>
      <c r="T13" s="4" t="n"/>
      <c r="U13" s="4" t="n"/>
      <c r="V13" s="4" t="n"/>
      <c r="W13" s="4" t="n"/>
    </row>
    <row r="14">
      <c r="A14" s="5" t="inlineStr">
        <is>
          <t>CLD-011</t>
        </is>
      </c>
      <c r="B14" s="5" t="inlineStr">
        <is>
          <t>WAF</t>
        </is>
      </c>
      <c r="C14" s="4" t="inlineStr">
        <is>
          <t>信頼性</t>
        </is>
      </c>
      <c r="D14" s="10" t="inlineStr">
        <is>
          <t>Medium</t>
        </is>
      </c>
      <c r="E14" s="4" t="inlineStr">
        <is>
          <t>スケール・フェイルオーバー対象の状態管理方式が、可用性・整合性・性能要件に基づき選定されている</t>
        </is>
      </c>
      <c r="F14" s="4" t="inlineStr">
        <is>
          <t>ステートレス化、外部状態ストア、状態レプリケーション、セッション固定等の採否と根拠があり、インスタンス追加・削除・再起動時の要求を満たす試験結果がある</t>
        </is>
      </c>
      <c r="G14" s="4" t="inlineStr">
        <is>
          <t>ステートレス化を唯一解にせず、ワークロード特性に合う状態分割・複製方式も許容しつつ、拡張性と復旧性を検証する。</t>
        </is>
      </c>
      <c r="H14" s="4" t="inlineStr">
        <is>
          <t>Google Cloud WAF &gt; Reliability &gt; Take advantage of horizontal scalability &gt; Implement a stateless design</t>
        </is>
      </c>
      <c r="I14" s="4" t="inlineStr">
        <is>
          <t>CLOUD-COMMON</t>
        </is>
      </c>
      <c r="J14" s="4" t="inlineStr">
        <is>
          <t>水平スケール、ローリング更新、フェイルオーバー対象のコンポーネント。</t>
        </is>
      </c>
      <c r="K14" s="4" t="inlineStr">
        <is>
          <t>SRC-GCP-WAF</t>
        </is>
      </c>
      <c r="L14" s="4" t="inlineStr">
        <is>
          <t>RELIABILITY-HA</t>
        </is>
      </c>
      <c r="M14" s="4" t="n"/>
      <c r="N14" s="4" t="n"/>
      <c r="O14" s="4" t="n"/>
      <c r="P14" s="4" t="n"/>
      <c r="Q14" s="4" t="n"/>
      <c r="R14" s="4" t="n"/>
      <c r="S14" s="4" t="n"/>
      <c r="T14" s="4" t="n"/>
      <c r="U14" s="4" t="n"/>
      <c r="V14" s="4" t="n"/>
      <c r="W14" s="4" t="n"/>
    </row>
    <row r="15">
      <c r="A15" s="5" t="inlineStr">
        <is>
          <t>CLD-012</t>
        </is>
      </c>
      <c r="B15" s="5" t="inlineStr">
        <is>
          <t>WAF</t>
        </is>
      </c>
      <c r="C15" s="4" t="inlineStr">
        <is>
          <t>信頼性</t>
        </is>
      </c>
      <c r="D15" s="9" t="inlineStr">
        <is>
          <t>High</t>
        </is>
      </c>
      <c r="E15" s="4" t="inlineStr">
        <is>
          <t>アプリケーションの実際の健全性を反映するヘルスチェックと、ユーザー視点の外形監視が構成されている</t>
        </is>
      </c>
      <c r="F15" s="4" t="inlineStr">
        <is>
          <t>ロードバランサー/DNSフェイルオーバーが依存するヘルスチェックと、主要エンドポイントの外形監視が定義されている</t>
        </is>
      </c>
      <c r="G15" s="4" t="inlineStr">
        <is>
          <t>健全性の誤判定は異常系への振り分け継続やフェイルオーバー不発を招く。</t>
        </is>
      </c>
      <c r="H15" s="4" t="inlineStr">
        <is>
          <t>OCI WAF &gt; Reliability and Resilience &gt; Understand the Health of Your Workload &gt; Implement Health Checks</t>
        </is>
      </c>
      <c r="I15" s="4" t="inlineStr">
        <is>
          <t>CLOUD-COMMON</t>
        </is>
      </c>
      <c r="J15" s="4" t="inlineStr">
        <is>
          <t>クラウドを利用する案件に適用。サービス特性・責任共有モデルに応じてN/A可。</t>
        </is>
      </c>
      <c r="K15" s="4" t="inlineStr">
        <is>
          <t>SRC-OCI-WAF</t>
        </is>
      </c>
      <c r="L15" s="4" t="inlineStr">
        <is>
          <t>OPS-OBSERVABILITY</t>
        </is>
      </c>
      <c r="M15" s="4" t="n"/>
      <c r="N15" s="4" t="n"/>
      <c r="O15" s="4" t="n"/>
      <c r="P15" s="4" t="n"/>
      <c r="Q15" s="4" t="n"/>
      <c r="R15" s="4" t="n"/>
      <c r="S15" s="4" t="n"/>
      <c r="T15" s="4" t="n"/>
      <c r="U15" s="4" t="n"/>
      <c r="V15" s="4" t="n"/>
      <c r="W15" s="4" t="n"/>
    </row>
    <row r="16">
      <c r="A16" s="5" t="inlineStr">
        <is>
          <t>CLD-013</t>
        </is>
      </c>
      <c r="B16" s="5" t="inlineStr">
        <is>
          <t>WAF</t>
        </is>
      </c>
      <c r="C16" s="4" t="inlineStr">
        <is>
          <t>信頼性</t>
        </is>
      </c>
      <c r="D16" s="9" t="inlineStr">
        <is>
          <t>High</t>
        </is>
      </c>
      <c r="E16" s="4" t="inlineStr">
        <is>
          <t>障害注入(カオスエンジニアリング)・強制フェイルオーバー・ゲームデー等の定期的な障害訓練で回復性と運用対応力が検証されている</t>
        </is>
      </c>
      <c r="F16" s="4" t="inlineStr">
        <is>
          <t>障害シミュレーション(ノード停止・ゾーン障害・依存障害等)の訓練計画と直近実績、発見事項の是正記録がある</t>
        </is>
      </c>
      <c r="G16" s="4" t="inlineStr">
        <is>
          <t>訓練なしの冗長化・DR・対応体制は、本番障害で初めて欠陥が露見する。</t>
        </is>
      </c>
      <c r="H16" s="4" t="inlineStr">
        <is>
          <t>AWS WA &gt; 信頼性 &gt; REL12-BP04 Test resiliency using chaos engineering / REL12-BP05 Conduct game days regularly / Google Cloud WAF &gt; Reliability &gt; Perform testing for recovery from failures &gt; Simulate failure scenarios / Azure WA &gt; 信頼性 &gt; RE:08 Test for resiliency and availability scenarios / OCI WAF &gt; Reliability and Resilience &gt; Periodically Test with Simulations and Forced Failovers</t>
        </is>
      </c>
      <c r="I16" s="4" t="inlineStr">
        <is>
          <t>CLOUD-COMMON</t>
        </is>
      </c>
      <c r="J16" s="4" t="inlineStr">
        <is>
          <t>クラウドを利用する案件に適用。サービス特性・責任共有モデルに応じてN/A可。</t>
        </is>
      </c>
      <c r="K16" s="4" t="inlineStr">
        <is>
          <t>SRC-AWS-WAF;SRC-GCP-AIML;SRC-AZR-WAF;SRC-OCI-WAF</t>
        </is>
      </c>
      <c r="L16" s="4" t="inlineStr">
        <is>
          <t>RELIABILITY-HA</t>
        </is>
      </c>
      <c r="M16" s="4" t="n"/>
      <c r="N16" s="4" t="n"/>
      <c r="O16" s="4" t="n"/>
      <c r="P16" s="4" t="n"/>
      <c r="Q16" s="4" t="n"/>
      <c r="R16" s="4" t="n"/>
      <c r="S16" s="4" t="n"/>
      <c r="T16" s="4" t="n"/>
      <c r="U16" s="4" t="n"/>
      <c r="V16" s="4" t="n"/>
      <c r="W16" s="4" t="n"/>
    </row>
    <row r="17">
      <c r="A17" s="5" t="inlineStr">
        <is>
          <t>CLD-014</t>
        </is>
      </c>
      <c r="B17" s="5" t="inlineStr">
        <is>
          <t>WAF</t>
        </is>
      </c>
      <c r="C17" s="4" t="inlineStr">
        <is>
          <t>信頼性</t>
        </is>
      </c>
      <c r="D17" s="9" t="inlineStr">
        <is>
          <t>High</t>
        </is>
      </c>
      <c r="E17" s="4" t="inlineStr">
        <is>
          <t>クラウドサービスの利用上限(クォータ)を把握し、使用量を監視して、フェイルオーバー時の必要量を含む余裕を事前に確保している</t>
        </is>
      </c>
      <c r="F17" s="4" t="inlineStr">
        <is>
          <t>主要クォータの使用率監視・上限接近アラートがあり、DR/ピーク時所要量を加味した事前引き上げの記録がある</t>
        </is>
      </c>
      <c r="G17" s="4" t="inlineStr">
        <is>
          <t>上限到達はスケール失敗・復旧失敗として需要ピークや災害時の最悪のタイミングで顕在化する。</t>
        </is>
      </c>
      <c r="H17" s="4" t="inlineStr">
        <is>
          <t>AWS WA &gt; 信頼性 &gt; REL01-BP04 Monitor and manage quotas / REL01-BP06 / Google Cloud WAF &gt; パフォーマンス最適化 &gt; Plan resource allocation &gt; Configure and manage quotas / OCI WAF &gt; Reliability and Resilience &gt; Manage Your Service Limits &gt; Monitor and Manage Your Service Limits / Factor Failover Usage in Your Service Limits</t>
        </is>
      </c>
      <c r="I17" s="4" t="inlineStr">
        <is>
          <t>CLOUD-COMMON</t>
        </is>
      </c>
      <c r="J17" s="4" t="inlineStr">
        <is>
          <t>クラウドを利用する案件に適用。サービス特性・責任共有モデルに応じてN/A可。</t>
        </is>
      </c>
      <c r="K17" s="4" t="inlineStr">
        <is>
          <t>SRC-AWS-WAF;SRC-GCP-AIML;SRC-OCI-WAF</t>
        </is>
      </c>
      <c r="L17" s="4" t="inlineStr">
        <is>
          <t>RELIABILITY-HA;OPS-OBSERVABILITY</t>
        </is>
      </c>
      <c r="M17" s="4" t="n"/>
      <c r="N17" s="4" t="n"/>
      <c r="O17" s="4" t="n"/>
      <c r="P17" s="4" t="n"/>
      <c r="Q17" s="4" t="n"/>
      <c r="R17" s="4" t="n"/>
      <c r="S17" s="4" t="n"/>
      <c r="T17" s="4" t="n"/>
      <c r="U17" s="4" t="n"/>
      <c r="V17" s="4" t="n"/>
      <c r="W17" s="4" t="n"/>
    </row>
    <row r="18">
      <c r="A18" s="5" t="inlineStr">
        <is>
          <t>CLD-015</t>
        </is>
      </c>
      <c r="B18" s="5" t="inlineStr">
        <is>
          <t>WAF</t>
        </is>
      </c>
      <c r="C18" s="4" t="inlineStr">
        <is>
          <t>信頼性</t>
        </is>
      </c>
      <c r="D18" s="9" t="inlineStr">
        <is>
          <t>High</t>
        </is>
      </c>
      <c r="E18" s="4" t="inlineStr">
        <is>
          <t>オンプレミスとの接続が複数経路(専用線二重化または専用線+VPNバックアップ)で冗長化され、切替がテストされている</t>
        </is>
      </c>
      <c r="F18" s="4" t="inlineStr">
        <is>
          <t>冗長構成と片系断のフェイルオーバーテスト記録がある</t>
        </is>
      </c>
      <c r="G18" s="4" t="inlineStr">
        <is>
          <t>単一経路のハイブリッド接続は回線障害で基幹連携が全断する。</t>
        </is>
      </c>
      <c r="H18" s="4" t="inlineStr">
        <is>
          <t>OCI WAF &gt; Reliability and Resilience &gt; Define Your Network and Connectivity Architecture &gt; Use Redundant Connections for Your On-Premises Environments and Private Resources</t>
        </is>
      </c>
      <c r="I18" s="4" t="inlineStr">
        <is>
          <t>CLOUD-COMMON</t>
        </is>
      </c>
      <c r="J18" s="4" t="inlineStr">
        <is>
          <t>クラウドを利用する案件に適用。サービス特性・責任共有モデルに応じてN/A可。</t>
        </is>
      </c>
      <c r="K18" s="4" t="inlineStr">
        <is>
          <t>SRC-OCI-WAF</t>
        </is>
      </c>
      <c r="L18" s="4" t="inlineStr">
        <is>
          <t>CONTINUITY-BACKUP;CONTINUITY-DR;RELIABILITY-HA</t>
        </is>
      </c>
      <c r="M18" s="4" t="n"/>
      <c r="N18" s="4" t="n"/>
      <c r="O18" s="4" t="n"/>
      <c r="P18" s="4" t="n"/>
      <c r="Q18" s="4" t="n"/>
      <c r="R18" s="4" t="n"/>
      <c r="S18" s="4" t="n"/>
      <c r="T18" s="4" t="n"/>
      <c r="U18" s="4" t="n"/>
      <c r="V18" s="4" t="n"/>
      <c r="W18" s="4" t="n"/>
    </row>
    <row r="19">
      <c r="A19" s="5" t="inlineStr">
        <is>
          <t>CLD-016</t>
        </is>
      </c>
      <c r="B19" s="5" t="inlineStr">
        <is>
          <t>WAF</t>
        </is>
      </c>
      <c r="C19" s="4" t="inlineStr">
        <is>
          <t>信頼性</t>
        </is>
      </c>
      <c r="D19" s="10" t="inlineStr">
        <is>
          <t>Medium</t>
        </is>
      </c>
      <c r="E19" s="4" t="inlineStr">
        <is>
          <t>組織全体のIPアドレス計画があり、プライベートネットワークのCIDR重複がなく、将来拡張の余地が確保されている</t>
        </is>
      </c>
      <c r="F19" s="4" t="inlineStr">
        <is>
          <t>全環境のアドレス計画表が維持され、新規割当が計画に従い、CIDRに未割当の拡張余地がある</t>
        </is>
      </c>
      <c r="G19" s="4" t="inlineStr">
        <is>
          <t>CIDR重複・枯渇は後からの接続・拡張を物理的に不可能にし、再構築コストが莫大になる。</t>
        </is>
      </c>
      <c r="H19" s="4" t="inlineStr">
        <is>
          <t>OCI WAF &gt; Reliability and Resilience &gt; Define Your Network and Connectivity Architecture &gt; Establish Non-Overlapping Private Network Ranges / Size Your Virtual Cloud Network to Allow for Expansion</t>
        </is>
      </c>
      <c r="I19" s="4" t="inlineStr">
        <is>
          <t>CLOUD-COMMON</t>
        </is>
      </c>
      <c r="J19" s="4" t="inlineStr">
        <is>
          <t>クラウドを利用する案件に適用。サービス特性・責任共有モデルに応じてN/A可。</t>
        </is>
      </c>
      <c r="K19" s="4" t="inlineStr">
        <is>
          <t>SRC-OCI-WAF</t>
        </is>
      </c>
      <c r="L19" s="4" t="inlineStr">
        <is>
          <t>CONTINUITY-DR</t>
        </is>
      </c>
      <c r="M19" s="4" t="n"/>
      <c r="N19" s="4" t="n"/>
      <c r="O19" s="4" t="n"/>
      <c r="P19" s="4" t="n"/>
      <c r="Q19" s="4" t="n"/>
      <c r="R19" s="4" t="n"/>
      <c r="S19" s="4" t="n"/>
      <c r="T19" s="4" t="n"/>
      <c r="U19" s="4" t="n"/>
      <c r="V19" s="4" t="n"/>
      <c r="W19" s="4" t="n"/>
    </row>
    <row r="20">
      <c r="A20" s="5" t="inlineStr">
        <is>
          <t>CLD-017</t>
        </is>
      </c>
      <c r="B20" s="5" t="inlineStr">
        <is>
          <t>WAF</t>
        </is>
      </c>
      <c r="C20" s="4" t="inlineStr">
        <is>
          <t>セキュリティ</t>
        </is>
      </c>
      <c r="D20" s="8" t="inlineStr">
        <is>
          <t>Critical</t>
        </is>
      </c>
      <c r="E20" s="4" t="inlineStr">
        <is>
          <t>人・システムの権限が職務・機能に必要な最小限(必要時のみの昇格を含む)に絞られ、広範な管理者権限の付与が統制されている</t>
        </is>
      </c>
      <c r="F20" s="4" t="inlineStr">
        <is>
          <t>ポリシーがアクション・リソース単位で限定され、管理者権限の保有者が承認済みリストと一致し、権限棚卸しと離任時剥奪のプロセスがある</t>
        </is>
      </c>
      <c r="G20" s="4" t="inlineStr">
        <is>
          <t>過剰・恒久の権限は認証情報漏えい・内部不正時の被害を最大化する。</t>
        </is>
      </c>
      <c r="H20" s="4" t="inlineStr">
        <is>
          <t>AWS WA &gt; セキュリティ &gt; SEC03-BP02 Grant least privilege access / Google Cloud WAF &gt; セキュリティ &gt; Implement zero trust &gt; Verify every access attempt explicitly / Azure WA &gt; セキュリティ &gt; SE:05 JIT/JEA・identity lifecycle / OCI WAF &gt; Security and Compliance &gt; Isolate Resources and Control Access &gt; Implement Role-Based Access Control</t>
        </is>
      </c>
      <c r="I20" s="4" t="inlineStr">
        <is>
          <t>CLOUD-COMMON</t>
        </is>
      </c>
      <c r="J20" s="4" t="inlineStr">
        <is>
          <t>クラウドを利用する案件に適用。サービス特性・責任共有モデルに応じてN/A可。</t>
        </is>
      </c>
      <c r="K20" s="4" t="inlineStr">
        <is>
          <t>SRC-AWS-WAF;SRC-GCP-WAF;SRC-AZR-WAF;SRC-OCI-WAF;SRC-ISO-GENERAL</t>
        </is>
      </c>
      <c r="L20" s="4" t="inlineStr"/>
      <c r="M20" s="4" t="n"/>
      <c r="N20" s="4" t="n"/>
      <c r="O20" s="4" t="n"/>
      <c r="P20" s="4" t="n"/>
      <c r="Q20" s="4" t="n"/>
      <c r="R20" s="4" t="n"/>
      <c r="S20" s="4" t="n"/>
      <c r="T20" s="4" t="n"/>
      <c r="U20" s="4" t="n"/>
      <c r="V20" s="4" t="n"/>
      <c r="W20" s="4" t="n"/>
    </row>
    <row r="21">
      <c r="A21" s="5" t="inlineStr">
        <is>
          <t>CLD-018</t>
        </is>
      </c>
      <c r="B21" s="5" t="inlineStr">
        <is>
          <t>WAF</t>
        </is>
      </c>
      <c r="C21" s="4" t="inlineStr">
        <is>
          <t>セキュリティ</t>
        </is>
      </c>
      <c r="D21" s="8" t="inlineStr">
        <is>
          <t>Critical</t>
        </is>
      </c>
      <c r="E21" s="4" t="inlineStr">
        <is>
          <t>特権ユーザーを含む全ての人間のユーザーに多要素認証(MFA)が強制されている</t>
        </is>
      </c>
      <c r="F21" s="4" t="inlineStr">
        <is>
          <t>認証ポリシーでMFA(可能ならフィッシング耐性のある方式)が必須化され、未設定ユーザーのアクセスが拒否され、例外が管理されている</t>
        </is>
      </c>
      <c r="G21" s="4" t="inlineStr">
        <is>
          <t>パスワード単独認証はフィッシング一撃でアカウント乗っ取り・環境全体の侵害に至る。</t>
        </is>
      </c>
      <c r="H21" s="4" t="inlineStr">
        <is>
          <t>AWS WA &gt; セキュリティ &gt; SEC02-BP01 Use strong sign-in mechanisms / Google Cloud WAF &gt; セキュリティ &gt; Implement zero trust &gt; Verify every access attempt explicitly / OCI WAF &gt; Security and Compliance &gt; Manage Identities and Authorization Policies &gt; Use Multi-Factor Authentication (MFA)</t>
        </is>
      </c>
      <c r="I21" s="4" t="inlineStr">
        <is>
          <t>CLOUD-COMMON</t>
        </is>
      </c>
      <c r="J21" s="4" t="inlineStr">
        <is>
          <t>クラウドを利用する案件に適用。サービス特性・責任共有モデルに応じてN/A可。</t>
        </is>
      </c>
      <c r="K21" s="4" t="inlineStr">
        <is>
          <t>SRC-AWS-WAF;SRC-GCP-WAF;SRC-OCI-WAF</t>
        </is>
      </c>
      <c r="L21" s="4" t="inlineStr">
        <is>
          <t>SEC-IAM</t>
        </is>
      </c>
      <c r="M21" s="4" t="n"/>
      <c r="N21" s="4" t="n"/>
      <c r="O21" s="4" t="n"/>
      <c r="P21" s="4" t="n"/>
      <c r="Q21" s="4" t="n"/>
      <c r="R21" s="4" t="n"/>
      <c r="S21" s="4" t="n"/>
      <c r="T21" s="4" t="n"/>
      <c r="U21" s="4" t="n"/>
      <c r="V21" s="4" t="n"/>
      <c r="W21" s="4" t="n"/>
    </row>
    <row r="22">
      <c r="A22" s="5" t="inlineStr">
        <is>
          <t>CLD-019</t>
        </is>
      </c>
      <c r="B22" s="5" t="inlineStr">
        <is>
          <t>WAF</t>
        </is>
      </c>
      <c r="C22" s="4" t="inlineStr">
        <is>
          <t>セキュリティ</t>
        </is>
      </c>
      <c r="D22" s="9" t="inlineStr">
        <is>
          <t>High</t>
        </is>
      </c>
      <c r="E22" s="4" t="inlineStr">
        <is>
          <t>アプリケーション・CI/CD・インスタンスからのクラウドAPI認証に長期の静的認証情報ではなく、ワークロードID(ロール/メタデータ認証/フェデレーション)による一時的認証情報を使用している</t>
        </is>
      </c>
      <c r="F22" s="4" t="inlineStr">
        <is>
          <t>長期有効の静的アクセスキーがコード・インスタンス・コンテナ内に存在せず、棚卸しで残存がゼロまたは例外が承認・期限管理されている</t>
        </is>
      </c>
      <c r="G22" s="4" t="inlineStr">
        <is>
          <t>静的認証情報の埋め込みは漏えい・横展開の主要経路となり、漏えい後も長期間悪用され続ける。</t>
        </is>
      </c>
      <c r="H22" s="4" t="inlineStr">
        <is>
          <t>AWS WA &gt; セキュリティ &gt; SEC02-BP02 Use temporary credentials / OCI WAF &gt; Security and Compliance &gt; Isolate Resources and Control Access &gt; Don't Store User Credentials on Compute Instances / Secure Cross-Resource Access</t>
        </is>
      </c>
      <c r="I22" s="4" t="inlineStr">
        <is>
          <t>CLOUD-COMMON</t>
        </is>
      </c>
      <c r="J22" s="4" t="inlineStr">
        <is>
          <t>クラウドを利用する案件に適用。サービス特性・責任共有モデルに応じてN/A可。</t>
        </is>
      </c>
      <c r="K22" s="4" t="inlineStr">
        <is>
          <t>SRC-AWS-WAF;SRC-OCI-WAF;SRC-ISO-GENERAL</t>
        </is>
      </c>
      <c r="L22" s="4" t="inlineStr">
        <is>
          <t>SEC-IAM</t>
        </is>
      </c>
      <c r="M22" s="4" t="n"/>
      <c r="N22" s="4" t="n"/>
      <c r="O22" s="4" t="n"/>
      <c r="P22" s="4" t="n"/>
      <c r="Q22" s="4" t="n"/>
      <c r="R22" s="4" t="n"/>
      <c r="S22" s="4" t="n"/>
      <c r="T22" s="4" t="n"/>
      <c r="U22" s="4" t="n"/>
      <c r="V22" s="4" t="n"/>
      <c r="W22" s="4" t="n"/>
    </row>
    <row r="23">
      <c r="A23" s="5" t="inlineStr">
        <is>
          <t>CLD-020</t>
        </is>
      </c>
      <c r="B23" s="5" t="inlineStr">
        <is>
          <t>WAF</t>
        </is>
      </c>
      <c r="C23" s="4" t="inlineStr">
        <is>
          <t>セキュリティ</t>
        </is>
      </c>
      <c r="D23" s="9" t="inlineStr">
        <is>
          <t>High</t>
        </is>
      </c>
      <c r="E23" s="4" t="inlineStr">
        <is>
          <t>クラウドのID管理が組織のIdPと統合(SSO/フェデレーション)され、入退社に伴うアカウントライフサイクルが一元化されている</t>
        </is>
      </c>
      <c r="F23" s="4" t="inlineStr">
        <is>
          <t>フェデレーションが構成され、ローカルアカウントがブレークグラス等の例外として管理されている</t>
        </is>
      </c>
      <c r="G23" s="4" t="inlineStr">
        <is>
          <t>ID分散管理は退職者アカウント残存等のガバナンス欠陥を生み、不正アクセスの温床となる。</t>
        </is>
      </c>
      <c r="H23" s="4" t="inlineStr">
        <is>
          <t>OCI WAF &gt; Security and Compliance &gt; Manage Identities and Authorization Policies &gt; Federate Oracle Cloud Infrastructure Identity and Access Management</t>
        </is>
      </c>
      <c r="I23" s="4" t="inlineStr">
        <is>
          <t>CLOUD-COMMON</t>
        </is>
      </c>
      <c r="J23" s="4" t="inlineStr">
        <is>
          <t>クラウドを利用する案件に適用。サービス特性・責任共有モデルに応じてN/A可。</t>
        </is>
      </c>
      <c r="K23" s="4" t="inlineStr">
        <is>
          <t>SRC-OCI-WAF</t>
        </is>
      </c>
      <c r="L23" s="4" t="inlineStr"/>
      <c r="M23" s="4" t="n"/>
      <c r="N23" s="4" t="n"/>
      <c r="O23" s="4" t="n"/>
      <c r="P23" s="4" t="n"/>
      <c r="Q23" s="4" t="n"/>
      <c r="R23" s="4" t="n"/>
      <c r="S23" s="4" t="n"/>
      <c r="T23" s="4" t="n"/>
      <c r="U23" s="4" t="n"/>
      <c r="V23" s="4" t="n"/>
      <c r="W23" s="4" t="n"/>
    </row>
    <row r="24">
      <c r="A24" s="5" t="inlineStr">
        <is>
          <t>CLD-021</t>
        </is>
      </c>
      <c r="B24" s="5" t="inlineStr">
        <is>
          <t>WAF</t>
        </is>
      </c>
      <c r="C24" s="4" t="inlineStr">
        <is>
          <t>セキュリティ</t>
        </is>
      </c>
      <c r="D24" s="8" t="inlineStr">
        <is>
          <t>Critical</t>
        </is>
      </c>
      <c r="E24" s="4" t="inlineStr">
        <is>
          <t>シークレット(APIキー・接続情報・証明書)が専用の管理サービスに保管され、コード・イメージ・設定ファイルへの直書きがなく、ローテーションされている</t>
        </is>
      </c>
      <c r="F24" s="4" t="inlineStr">
        <is>
          <t>シークレットスキャンで検出ゼロ、シークレットは実行時取得、定期/緊急ローテーションとアクセス監査が定義されている</t>
        </is>
      </c>
      <c r="G24" s="4" t="inlineStr">
        <is>
          <t>ハードコードされたシークレットはコード流出と同時に漏えいし、データ侵害に直結する。</t>
        </is>
      </c>
      <c r="H24" s="4" t="inlineStr">
        <is>
          <t>AWS WA &gt; セキュリティ &gt; SEC02-BP03 Store and use secrets securely / Azure WA &gt; セキュリティ &gt; SE:09 Protect application secrets / OCI WAF &gt; Security and Compliance &gt; Protect Data at Rest &gt; Maintain Keys and Secrets in Oracle Cloud Infrastructure Vault</t>
        </is>
      </c>
      <c r="I24" s="4" t="inlineStr">
        <is>
          <t>CLOUD-COMMON</t>
        </is>
      </c>
      <c r="J24" s="4" t="inlineStr">
        <is>
          <t>クラウドを利用する案件に適用。サービス特性・責任共有モデルに応じてN/A可。</t>
        </is>
      </c>
      <c r="K24" s="4" t="inlineStr">
        <is>
          <t>SRC-AWS-WAF;SRC-AZR-WAF;SRC-OCI-WAF</t>
        </is>
      </c>
      <c r="L24" s="4" t="inlineStr"/>
      <c r="M24" s="4" t="n"/>
      <c r="N24" s="4" t="n"/>
      <c r="O24" s="4" t="n"/>
      <c r="P24" s="4" t="n"/>
      <c r="Q24" s="4" t="n"/>
      <c r="R24" s="4" t="n"/>
      <c r="S24" s="4" t="n"/>
      <c r="T24" s="4" t="n"/>
      <c r="U24" s="4" t="n"/>
      <c r="V24" s="4" t="n"/>
      <c r="W24" s="4" t="n"/>
    </row>
    <row r="25">
      <c r="A25" s="5" t="inlineStr">
        <is>
          <t>CLD-022</t>
        </is>
      </c>
      <c r="B25" s="5" t="inlineStr">
        <is>
          <t>WAF</t>
        </is>
      </c>
      <c r="C25" s="4" t="inlineStr">
        <is>
          <t>セキュリティ</t>
        </is>
      </c>
      <c r="D25" s="8" t="inlineStr">
        <is>
          <t>Critical</t>
        </is>
      </c>
      <c r="E25" s="4" t="inlineStr">
        <is>
          <t>全ての保管データがデフォルトで暗号化され、鍵がデータと分離して管理・ローテーションされている(規制データには顧客管理キーの要否を判断)</t>
        </is>
      </c>
      <c r="F25" s="4" t="inlineStr">
        <is>
          <t>未暗号化ストレージ/DBがゼロで、鍵管理方式(プラットフォーム管理/顧客管理)の選定理由とキーライフサイクル管理が定義されている</t>
        </is>
      </c>
      <c r="G25" s="4" t="inlineStr">
        <is>
          <t>暗号化・鍵管理の不備は媒体・スナップショット経由のデータ漏えいと規制違反を招く。</t>
        </is>
      </c>
      <c r="H25" s="4" t="inlineStr">
        <is>
          <t>AWS WA &gt; セキュリティ &gt; SEC08-BP01 Implement secure key management / SEC08-BP02 Enforce encryption at rest / Google Cloud WAF &gt; セキュリティ &gt; Implement security by design &gt; Encrypt data at rest and in transit / Azure WA &gt; セキュリティ &gt; SE:07 Encrypt data by using modern industry-standard methods / OCI WAF &gt; Security and Compliance &gt; Protect Data at Rest &gt; Encrypt Data in Block Volumes / Maintain Keys and Secrets in Vault</t>
        </is>
      </c>
      <c r="I25" s="4" t="inlineStr">
        <is>
          <t>CLOUD-COMMON</t>
        </is>
      </c>
      <c r="J25" s="4" t="inlineStr">
        <is>
          <t>クラウドを利用する案件に適用。サービス特性・責任共有モデルに応じてN/A可。</t>
        </is>
      </c>
      <c r="K25" s="4" t="inlineStr">
        <is>
          <t>SRC-AWS-WAF;SRC-GCP-AIML;SRC-AZR-WAF;SRC-OCI-WAF</t>
        </is>
      </c>
      <c r="L25" s="4" t="inlineStr">
        <is>
          <t>SEC-CRYPTO</t>
        </is>
      </c>
      <c r="M25" s="4" t="n"/>
      <c r="N25" s="4" t="n"/>
      <c r="O25" s="4" t="n"/>
      <c r="P25" s="4" t="n"/>
      <c r="Q25" s="4" t="n"/>
      <c r="R25" s="4" t="n"/>
      <c r="S25" s="4" t="n"/>
      <c r="T25" s="4" t="n"/>
      <c r="U25" s="4" t="n"/>
      <c r="V25" s="4" t="n"/>
      <c r="W25" s="4" t="n"/>
    </row>
    <row r="26">
      <c r="A26" s="5" t="inlineStr">
        <is>
          <t>CLD-023</t>
        </is>
      </c>
      <c r="B26" s="5" t="inlineStr">
        <is>
          <t>WAF</t>
        </is>
      </c>
      <c r="C26" s="4" t="inlineStr">
        <is>
          <t>セキュリティ</t>
        </is>
      </c>
      <c r="D26" s="8" t="inlineStr">
        <is>
          <t>Critical</t>
        </is>
      </c>
      <c r="E26" s="4" t="inlineStr">
        <is>
          <t>外部・内部の全通信経路でTLS等による転送時暗号化が強制され、証明書のライフサイクル(更新・失効)が管理されている</t>
        </is>
      </c>
      <c r="F26" s="4" t="inlineStr">
        <is>
          <t>平文エンドポイントが存在せず、古いTLSプロトコルが無効化され、証明書の自動更新または期限監視がある</t>
        </is>
      </c>
      <c r="G26" s="4" t="inlineStr">
        <is>
          <t>平文通信は盗聴・中間者攻撃を許し、証明書切れは突然のサービス停止を起こす。</t>
        </is>
      </c>
      <c r="H26" s="4" t="inlineStr">
        <is>
          <t>AWS WA &gt; セキュリティ &gt; SEC09-BP02 Enforce encryption in transit / Google Cloud WAF &gt; セキュリティ &gt; Implement security by design &gt; Encrypt data at rest and in transit / Azure WA &gt; セキュリティ &gt; SE:07 Encrypt data by using modern industry-standard methods</t>
        </is>
      </c>
      <c r="I26" s="4" t="inlineStr">
        <is>
          <t>CLOUD-COMMON</t>
        </is>
      </c>
      <c r="J26" s="4" t="inlineStr">
        <is>
          <t>クラウドを利用する案件に適用。サービス特性・責任共有モデルに応じてN/A可。</t>
        </is>
      </c>
      <c r="K26" s="4" t="inlineStr">
        <is>
          <t>SRC-AWS-WAF;SRC-GCP-WAF;SRC-AZR-WAF</t>
        </is>
      </c>
      <c r="L26" s="4" t="inlineStr">
        <is>
          <t>SEC-CRYPTO</t>
        </is>
      </c>
      <c r="M26" s="4" t="n"/>
      <c r="N26" s="4" t="n"/>
      <c r="O26" s="4" t="n"/>
      <c r="P26" s="4" t="n"/>
      <c r="Q26" s="4" t="n"/>
      <c r="R26" s="4" t="n"/>
      <c r="S26" s="4" t="n"/>
      <c r="T26" s="4" t="n"/>
      <c r="U26" s="4" t="n"/>
      <c r="V26" s="4" t="n"/>
      <c r="W26" s="4" t="n"/>
    </row>
    <row r="27">
      <c r="A27" s="5" t="inlineStr">
        <is>
          <t>CLD-024</t>
        </is>
      </c>
      <c r="B27" s="5" t="inlineStr">
        <is>
          <t>WAF</t>
        </is>
      </c>
      <c r="C27" s="4" t="inlineStr">
        <is>
          <t>セキュリティ</t>
        </is>
      </c>
      <c r="D27" s="8" t="inlineStr">
        <is>
          <t>Critical</t>
        </is>
      </c>
      <c r="E27" s="4" t="inlineStr">
        <is>
          <t>ネットワークが環境・機密度・層別にセグメント化され、各境界のファイアウォールルールが最小開放になっている(管理ポート・DBポートのインターネット開放がない)</t>
        </is>
      </c>
      <c r="F27" s="4" t="inlineStr">
        <is>
          <t>パブリック/プライベートのサブネット分離があり、ingress/egress・east-westの制御が境界ごとに定義され、SSH/RDP/DBポートの全開放が存在しない</t>
        </is>
      </c>
      <c r="G27" s="4" t="inlineStr">
        <is>
          <t>フラットなネットワークと広範な開放は侵入と横展開(ラテラルムーブメント)を容易にする。</t>
        </is>
      </c>
      <c r="H27" s="4" t="inlineStr">
        <is>
          <t>Google Cloud WAF &gt; セキュリティ &gt; Implement zero trust &gt; Secure your network / Azure WA &gt; セキュリティ &gt; SE:06 Isolate, filter, and control network traffic / OCI WAF &gt; Security and Compliance &gt; Ensure Secure Network Access &gt; Implement Network Access Controls / Isolate Resources at the Network Layer</t>
        </is>
      </c>
      <c r="I27" s="4" t="inlineStr">
        <is>
          <t>CLOUD-COMMON</t>
        </is>
      </c>
      <c r="J27" s="4" t="inlineStr">
        <is>
          <t>クラウドを利用する案件に適用。サービス特性・責任共有モデルに応じてN/A可。</t>
        </is>
      </c>
      <c r="K27" s="4" t="inlineStr">
        <is>
          <t>SRC-GCP-WAF;SRC-AZR-WAF;SRC-OCI-WAF;SRC-ISO-GENERAL</t>
        </is>
      </c>
      <c r="L27" s="4" t="inlineStr"/>
      <c r="M27" s="4" t="n"/>
      <c r="N27" s="4" t="n"/>
      <c r="O27" s="4" t="n"/>
      <c r="P27" s="4" t="n"/>
      <c r="Q27" s="4" t="n"/>
      <c r="R27" s="4" t="n"/>
      <c r="S27" s="4" t="n"/>
      <c r="T27" s="4" t="n"/>
      <c r="U27" s="4" t="n"/>
      <c r="V27" s="4" t="n"/>
      <c r="W27" s="4" t="n"/>
    </row>
    <row r="28">
      <c r="A28" s="5" t="inlineStr">
        <is>
          <t>CLD-025</t>
        </is>
      </c>
      <c r="B28" s="5" t="inlineStr">
        <is>
          <t>WAF</t>
        </is>
      </c>
      <c r="C28" s="4" t="inlineStr">
        <is>
          <t>セキュリティ</t>
        </is>
      </c>
      <c r="D28" s="9" t="inlineStr">
        <is>
          <t>High</t>
        </is>
      </c>
      <c r="E28" s="4" t="inlineStr">
        <is>
          <t>ネットワーク境界の内側でも全アクセスがID・デバイス・コンテキストに基づき明示的に検証されている(ゼロトラスト)</t>
        </is>
      </c>
      <c r="F28" s="4" t="inlineStr">
        <is>
          <t>暗黙の信頼(社内ネットワークだから許可等)がなく、コンテキストに基づくアクセス制御が設計されている</t>
        </is>
      </c>
      <c r="G28" s="4" t="inlineStr">
        <is>
          <t>境界型防御のみでは、侵入後の横移動と内部不正を防げない。</t>
        </is>
      </c>
      <c r="H28" s="4" t="inlineStr">
        <is>
          <t>Google Cloud WAF &gt; セキュリティ &gt; Implement zero trust &gt; Verify every access attempt explicitly</t>
        </is>
      </c>
      <c r="I28" s="4" t="inlineStr">
        <is>
          <t>CLOUD-COMMON</t>
        </is>
      </c>
      <c r="J28" s="4" t="inlineStr">
        <is>
          <t>クラウドを利用する案件に適用。サービス特性・責任共有モデルに応じてN/A可。</t>
        </is>
      </c>
      <c r="K28" s="4" t="inlineStr">
        <is>
          <t>SRC-GCP-WAF</t>
        </is>
      </c>
      <c r="L28" s="4" t="inlineStr"/>
      <c r="M28" s="4" t="n"/>
      <c r="N28" s="4" t="n"/>
      <c r="O28" s="4" t="n"/>
      <c r="P28" s="4" t="n"/>
      <c r="Q28" s="4" t="n"/>
      <c r="R28" s="4" t="n"/>
      <c r="S28" s="4" t="n"/>
      <c r="T28" s="4" t="n"/>
      <c r="U28" s="4" t="n"/>
      <c r="V28" s="4" t="n"/>
      <c r="W28" s="4" t="n"/>
    </row>
    <row r="29">
      <c r="A29" s="5" t="inlineStr">
        <is>
          <t>CLD-026</t>
        </is>
      </c>
      <c r="B29" s="5" t="inlineStr">
        <is>
          <t>WAF</t>
        </is>
      </c>
      <c r="C29" s="4" t="inlineStr">
        <is>
          <t>セキュリティ</t>
        </is>
      </c>
      <c r="D29" s="8" t="inlineStr">
        <is>
          <t>Critical</t>
        </is>
      </c>
      <c r="E29" s="4" t="inlineStr">
        <is>
          <t>オブジェクトストレージ等のパブリック公開が原則禁止され、予防的ガードレールで強制されている</t>
        </is>
      </c>
      <c r="F29" s="4" t="inlineStr">
        <is>
          <t>公開バケット/コンテナが存在しない(または承認済み例外のみ)ことが継続的にチェックされている</t>
        </is>
      </c>
      <c r="G29" s="4" t="inlineStr">
        <is>
          <t>ストレージ公開設定ミスはクラウドで最も頻発する大規模データ漏えいの原因である。</t>
        </is>
      </c>
      <c r="H29" s="4" t="inlineStr">
        <is>
          <t>OCI WAF &gt; Security and Compliance &gt; Protect Data at Rest &gt; Ensure Secure Access to Object Storage / Isolate Resources and Control Access &gt; Define Security Zones</t>
        </is>
      </c>
      <c r="I29" s="4" t="inlineStr">
        <is>
          <t>CLOUD-COMMON</t>
        </is>
      </c>
      <c r="J29" s="4" t="inlineStr">
        <is>
          <t>クラウドを利用する案件に適用。サービス特性・責任共有モデルに応じてN/A可。</t>
        </is>
      </c>
      <c r="K29" s="4" t="inlineStr">
        <is>
          <t>SRC-OCI-WAF;SRC-ISO-GENERAL</t>
        </is>
      </c>
      <c r="L29" s="4" t="inlineStr"/>
      <c r="M29" s="4" t="n"/>
      <c r="N29" s="4" t="n"/>
      <c r="O29" s="4" t="n"/>
      <c r="P29" s="4" t="n"/>
      <c r="Q29" s="4" t="n"/>
      <c r="R29" s="4" t="n"/>
      <c r="S29" s="4" t="n"/>
      <c r="T29" s="4" t="n"/>
      <c r="U29" s="4" t="n"/>
      <c r="V29" s="4" t="n"/>
      <c r="W29" s="4" t="n"/>
    </row>
    <row r="30">
      <c r="A30" s="5" t="inlineStr">
        <is>
          <t>CLD-027</t>
        </is>
      </c>
      <c r="B30" s="5" t="inlineStr">
        <is>
          <t>WAF</t>
        </is>
      </c>
      <c r="C30" s="4" t="inlineStr">
        <is>
          <t>セキュリティ</t>
        </is>
      </c>
      <c r="D30" s="8" t="inlineStr">
        <is>
          <t>Critical</t>
        </is>
      </c>
      <c r="E30" s="4" t="inlineStr">
        <is>
          <t>管理操作・APIコールの監査ログが全環境・全リージョンで記録され、改ざん・削除から保護された場所に要件を満たす期間保全されている</t>
        </is>
      </c>
      <c r="F30" s="4" t="inlineStr">
        <is>
          <t>監査ログが全対象スコープで有効、保持期間がコンプライアンス要件を満たし、保管先への削除権限が分離されている</t>
        </is>
      </c>
      <c r="G30" s="4" t="inlineStr">
        <is>
          <t>証跡がなければ侵害・誤操作の調査とフォレンジック・説明責任が果たせない。</t>
        </is>
      </c>
      <c r="H30" s="4" t="inlineStr">
        <is>
          <t>AWS WA &gt; セキュリティ &gt; SEC04-BP01 Configure service and application logging / OCI WAF &gt; Security and Compliance &gt; Monitor and Audit Your Environment &gt; Configure Auditing</t>
        </is>
      </c>
      <c r="I30" s="4" t="inlineStr">
        <is>
          <t>CLOUD-COMMON</t>
        </is>
      </c>
      <c r="J30" s="4" t="inlineStr">
        <is>
          <t>クラウドを利用する案件に適用。サービス特性・責任共有モデルに応じてN/A可。</t>
        </is>
      </c>
      <c r="K30" s="4" t="inlineStr">
        <is>
          <t>SRC-AWS-WAF;SRC-OCI-WAF</t>
        </is>
      </c>
      <c r="L30" s="4" t="inlineStr">
        <is>
          <t>OPS-OBSERVABILITY</t>
        </is>
      </c>
      <c r="M30" s="4" t="n"/>
      <c r="N30" s="4" t="n"/>
      <c r="O30" s="4" t="n"/>
      <c r="P30" s="4" t="n"/>
      <c r="Q30" s="4" t="n"/>
      <c r="R30" s="4" t="n"/>
      <c r="S30" s="4" t="n"/>
      <c r="T30" s="4" t="n"/>
      <c r="U30" s="4" t="n"/>
      <c r="V30" s="4" t="n"/>
      <c r="W30" s="4" t="n"/>
    </row>
    <row r="31">
      <c r="A31" s="5" t="inlineStr">
        <is>
          <t>CLD-028</t>
        </is>
      </c>
      <c r="B31" s="5" t="inlineStr">
        <is>
          <t>WAF</t>
        </is>
      </c>
      <c r="C31" s="4" t="inlineStr">
        <is>
          <t>セキュリティ</t>
        </is>
      </c>
      <c r="D31" s="9" t="inlineStr">
        <is>
          <t>High</t>
        </is>
      </c>
      <c r="E31" s="4" t="inlineStr">
        <is>
          <t>構成不備・脅威を継続検知するサービス(CSPM/脅威検出)が常時有効で、ログが集中基盤(SIEM等)へ集約され、検出時の対応(自動修復含む)が定義されている</t>
        </is>
      </c>
      <c r="F31" s="4" t="inlineStr">
        <is>
          <t>検知サービスが全対象スコープで有効、主要ログの相関分析が可能で、重大検出の通知とSLA付き対応フローが文書化されている</t>
        </is>
      </c>
      <c r="G31" s="4" t="inlineStr">
        <is>
          <t>検知の空白は侵害の長期潜伏を許し、被害を桁違いに拡大させる。</t>
        </is>
      </c>
      <c r="H31" s="4" t="inlineStr">
        <is>
          <t>AWS WA &gt; セキュリティ &gt; SEC04-BP02 / SEC04-BP04 / OCI WAF &gt; Security and Compliance &gt; Monitor and Audit Your Environment &gt; Enable Cloud Guard for Monitoring / Aggregate Service Logs to SIEM Platforms</t>
        </is>
      </c>
      <c r="I31" s="4" t="inlineStr">
        <is>
          <t>CLOUD-COMMON</t>
        </is>
      </c>
      <c r="J31" s="4" t="inlineStr">
        <is>
          <t>クラウドを利用する案件に適用。サービス特性・責任共有モデルに応じてN/A可。</t>
        </is>
      </c>
      <c r="K31" s="4" t="inlineStr">
        <is>
          <t>SRC-AWS-WAF;SRC-OCI-WAF</t>
        </is>
      </c>
      <c r="L31" s="4" t="inlineStr">
        <is>
          <t>OPS-OBSERVABILITY</t>
        </is>
      </c>
      <c r="M31" s="4" t="n"/>
      <c r="N31" s="4" t="n"/>
      <c r="O31" s="4" t="n"/>
      <c r="P31" s="4" t="n"/>
      <c r="Q31" s="4" t="n"/>
      <c r="R31" s="4" t="n"/>
      <c r="S31" s="4" t="n"/>
      <c r="T31" s="4" t="n"/>
      <c r="U31" s="4" t="n"/>
      <c r="V31" s="4" t="n"/>
      <c r="W31" s="4" t="n"/>
    </row>
    <row r="32">
      <c r="A32" s="5" t="inlineStr">
        <is>
          <t>CLD-029</t>
        </is>
      </c>
      <c r="B32" s="5" t="inlineStr">
        <is>
          <t>WAF</t>
        </is>
      </c>
      <c r="C32" s="4" t="inlineStr">
        <is>
          <t>セキュリティ</t>
        </is>
      </c>
      <c r="D32" s="9" t="inlineStr">
        <is>
          <t>High</t>
        </is>
      </c>
      <c r="E32" s="4" t="inlineStr">
        <is>
          <t>コンピューティングリソース(VM・コンテナ・関数・イメージ)の脆弱性スキャンと計画的パッチ適用が継続的に運用されている</t>
        </is>
      </c>
      <c r="F32" s="4" t="inlineStr">
        <is>
          <t>スキャンが自動化され、重大度別の修復SLAが定義・遵守され、適用実績が記録されている</t>
        </is>
      </c>
      <c r="G32" s="4" t="inlineStr">
        <is>
          <t>既知脆弱性の放置期間はそのまま侵害可能期間になる。</t>
        </is>
      </c>
      <c r="H32" s="4" t="inlineStr">
        <is>
          <t>AWS WA &gt; セキュリティ &gt; SEC06-BP01 Perform vulnerability management / 運用上の優秀性 &gt; OPS05-BP05 Perform patch management / OCI WAF &gt; Security and Compliance &gt; Continuously Scan for Vulnerabilities / Operational Efficiency &gt; Manage Your Operating Systems</t>
        </is>
      </c>
      <c r="I32" s="4" t="inlineStr">
        <is>
          <t>CLOUD-COMMON</t>
        </is>
      </c>
      <c r="J32" s="4" t="inlineStr">
        <is>
          <t>クラウドを利用する案件に適用。サービス特性・責任共有モデルに応じてN/A可。</t>
        </is>
      </c>
      <c r="K32" s="4" t="inlineStr">
        <is>
          <t>SRC-AWS-WAF;SRC-OCI-WAF</t>
        </is>
      </c>
      <c r="L32" s="4" t="inlineStr">
        <is>
          <t>SEC-SUPPLY-CHAIN</t>
        </is>
      </c>
      <c r="M32" s="4" t="n"/>
      <c r="N32" s="4" t="n"/>
      <c r="O32" s="4" t="n"/>
      <c r="P32" s="4" t="n"/>
      <c r="Q32" s="4" t="n"/>
      <c r="R32" s="4" t="n"/>
      <c r="S32" s="4" t="n"/>
      <c r="T32" s="4" t="n"/>
      <c r="U32" s="4" t="n"/>
      <c r="V32" s="4" t="n"/>
      <c r="W32" s="4" t="n"/>
    </row>
    <row r="33">
      <c r="A33" s="5" t="inlineStr">
        <is>
          <t>CLD-030</t>
        </is>
      </c>
      <c r="B33" s="5" t="inlineStr">
        <is>
          <t>WAF</t>
        </is>
      </c>
      <c r="C33" s="4" t="inlineStr">
        <is>
          <t>セキュリティ</t>
        </is>
      </c>
      <c r="D33" s="9" t="inlineStr">
        <is>
          <t>High</t>
        </is>
      </c>
      <c r="E33" s="4" t="inlineStr">
        <is>
          <t>脅威モデリング・セキュアコーディング・セキュリティテスト(SAST/DAST/依存関係スキャン/ペネトレーションテスト)が開発・リリースライフサイクル全体に組み込まれ、CIパイプラインで自動実行されている</t>
        </is>
      </c>
      <c r="F33" s="4" t="inlineStr">
        <is>
          <t>SDL活動の実施記録があり、パイプラインにセキュリティテストが組み込まれ、重大検出時にリリースが止まるゲートがある</t>
        </is>
      </c>
      <c r="G33" s="4" t="inlineStr">
        <is>
          <t>本番到達後の脆弱性発見は修正コストと侵害リスクを桁違いに増やす。</t>
        </is>
      </c>
      <c r="H33" s="4" t="inlineStr">
        <is>
          <t>AWS WA &gt; セキュリティ &gt; SEC11-BP02 Automate testing throughout the development and release lifecycle / Google Cloud WAF &gt; セキュリティ &gt; Implement shift-left security / Azure WA &gt; セキュリティ &gt; SE:02 Align secure development lifecycle / SE:11 Establish a comprehensive testing regimen</t>
        </is>
      </c>
      <c r="I33" s="4" t="inlineStr">
        <is>
          <t>CLOUD-COMMON</t>
        </is>
      </c>
      <c r="J33" s="4" t="inlineStr">
        <is>
          <t>クラウドを利用する案件に適用。サービス特性・責任共有モデルに応じてN/A可。</t>
        </is>
      </c>
      <c r="K33" s="4" t="inlineStr">
        <is>
          <t>SRC-AWS-WAF;SRC-GCP-WAF;SRC-AZR-WAF</t>
        </is>
      </c>
      <c r="L33" s="4" t="inlineStr"/>
      <c r="M33" s="4" t="n"/>
      <c r="N33" s="4" t="n"/>
      <c r="O33" s="4" t="n"/>
      <c r="P33" s="4" t="n"/>
      <c r="Q33" s="4" t="n"/>
      <c r="R33" s="4" t="n"/>
      <c r="S33" s="4" t="n"/>
      <c r="T33" s="4" t="n"/>
      <c r="U33" s="4" t="n"/>
      <c r="V33" s="4" t="n"/>
      <c r="W33" s="4" t="n"/>
    </row>
    <row r="34">
      <c r="A34" s="5" t="inlineStr">
        <is>
          <t>CLD-031</t>
        </is>
      </c>
      <c r="B34" s="5" t="inlineStr">
        <is>
          <t>WAF</t>
        </is>
      </c>
      <c r="C34" s="4" t="inlineStr">
        <is>
          <t>セキュリティ</t>
        </is>
      </c>
      <c r="D34" s="9" t="inlineStr">
        <is>
          <t>High</t>
        </is>
      </c>
      <c r="E34" s="4" t="inlineStr">
        <is>
          <t>不要な機能・ポート・アカウント・既定設定を無効化し、全コンポーネントの構成が強化(ハードニング)されている</t>
        </is>
      </c>
      <c r="F34" s="4" t="inlineStr">
        <is>
          <t>ハードニング基準(ベンチマーク)と適用状況の評価結果が存在する</t>
        </is>
      </c>
      <c r="G34" s="4" t="inlineStr">
        <is>
          <t>既定のまま・不要機能の放置は攻撃者に不要な侵入経路を提供する。</t>
        </is>
      </c>
      <c r="H34" s="4" t="inlineStr">
        <is>
          <t>Azure WA &gt; セキュリティ &gt; SE:08 Harden all workload components</t>
        </is>
      </c>
      <c r="I34" s="4" t="inlineStr">
        <is>
          <t>CLOUD-COMMON</t>
        </is>
      </c>
      <c r="J34" s="4" t="inlineStr">
        <is>
          <t>クラウドを利用する案件に適用。サービス特性・責任共有モデルに応じてN/A可。</t>
        </is>
      </c>
      <c r="K34" s="4" t="inlineStr">
        <is>
          <t>SRC-AZR-WAF</t>
        </is>
      </c>
      <c r="L34" s="4" t="inlineStr"/>
      <c r="M34" s="4" t="n"/>
      <c r="N34" s="4" t="n"/>
      <c r="O34" s="4" t="n"/>
      <c r="P34" s="4" t="n"/>
      <c r="Q34" s="4" t="n"/>
      <c r="R34" s="4" t="n"/>
      <c r="S34" s="4" t="n"/>
      <c r="T34" s="4" t="n"/>
      <c r="U34" s="4" t="n"/>
      <c r="V34" s="4" t="n"/>
      <c r="W34" s="4" t="n"/>
    </row>
    <row r="35">
      <c r="A35" s="5" t="inlineStr">
        <is>
          <t>CLD-032</t>
        </is>
      </c>
      <c r="B35" s="5" t="inlineStr">
        <is>
          <t>WAF</t>
        </is>
      </c>
      <c r="C35" s="4" t="inlineStr">
        <is>
          <t>セキュリティ</t>
        </is>
      </c>
      <c r="D35" s="9" t="inlineStr">
        <is>
          <t>High</t>
        </is>
      </c>
      <c r="E35" s="4" t="inlineStr">
        <is>
          <t>データが機密性・情報種別で分類され、機密データの所在把握と分類に応じた暗号化・アクセス制御・監視が実装されている</t>
        </is>
      </c>
      <c r="F35" s="4" t="inlineStr">
        <is>
          <t>データ分類基準と分類結果、分類に応じた保護策の対応表があり、機密データへのアクセスが最小権限+境界で制限されている</t>
        </is>
      </c>
      <c r="G35" s="4" t="inlineStr">
        <is>
          <t>分類なきデータは機密データの所在不明を生み、保護の過不足と漏えいリスクを招く。</t>
        </is>
      </c>
      <c r="H35" s="4" t="inlineStr">
        <is>
          <t>AWS WA &gt; セキュリティ &gt; SEC07-BP01 / SEC07-BP02 / Google Cloud WAF &gt; セキュリティ &gt; Meet regulatory, compliance, and privacy needs &gt; Classify your confidential data / Lock down access to sensitive data / Azure WA &gt; セキュリティ &gt; SE:03 Classify and consistently apply sensitivity labels</t>
        </is>
      </c>
      <c r="I35" s="4" t="inlineStr">
        <is>
          <t>CLOUD-COMMON</t>
        </is>
      </c>
      <c r="J35" s="4" t="inlineStr">
        <is>
          <t>クラウドを利用する案件に適用。サービス特性・責任共有モデルに応じてN/A可。</t>
        </is>
      </c>
      <c r="K35" s="4" t="inlineStr">
        <is>
          <t>SRC-AWS-WAF;SRC-GCP-WAF;SRC-AZR-WAF</t>
        </is>
      </c>
      <c r="L35" s="4" t="inlineStr">
        <is>
          <t>SEC-CRYPTO;OPS-OBSERVABILITY</t>
        </is>
      </c>
      <c r="M35" s="4" t="n"/>
      <c r="N35" s="4" t="n"/>
      <c r="O35" s="4" t="n"/>
      <c r="P35" s="4" t="n"/>
      <c r="Q35" s="4" t="n"/>
      <c r="R35" s="4" t="n"/>
      <c r="S35" s="4" t="n"/>
      <c r="T35" s="4" t="n"/>
      <c r="U35" s="4" t="n"/>
      <c r="V35" s="4" t="n"/>
      <c r="W35" s="4" t="n"/>
    </row>
    <row r="36">
      <c r="A36" s="5" t="inlineStr">
        <is>
          <t>CLD-033</t>
        </is>
      </c>
      <c r="B36" s="5" t="inlineStr">
        <is>
          <t>WAF</t>
        </is>
      </c>
      <c r="C36" s="4" t="inlineStr">
        <is>
          <t>セキュリティ</t>
        </is>
      </c>
      <c r="D36" s="9" t="inlineStr">
        <is>
          <t>High</t>
        </is>
      </c>
      <c r="E36" s="4" t="inlineStr">
        <is>
          <t>セキュリティインシデント対応手順(範囲・役割・エスカレーション)が定義・訓練され、各手順の実行責任者が明確になっている</t>
        </is>
      </c>
      <c r="F36" s="4" t="inlineStr">
        <is>
          <t>インシデント対応計画と訓練(シミュレーション)の実施記録が存在する</t>
        </is>
      </c>
      <c r="G36" s="4" t="inlineStr">
        <is>
          <t>対応手順がないと侵害時の初動が遅れ、封じ込め失敗による被害拡大を招く。</t>
        </is>
      </c>
      <c r="H36" s="4" t="inlineStr">
        <is>
          <t>Azure WA &gt; セキュリティ &gt; SE:12 Define and test effective incident response procedures</t>
        </is>
      </c>
      <c r="I36" s="4" t="inlineStr">
        <is>
          <t>CLOUD-COMMON</t>
        </is>
      </c>
      <c r="J36" s="4" t="inlineStr">
        <is>
          <t>クラウドを利用する案件に適用。サービス特性・責任共有モデルに応じてN/A可。</t>
        </is>
      </c>
      <c r="K36" s="4" t="inlineStr">
        <is>
          <t>SRC-AZR-WAF</t>
        </is>
      </c>
      <c r="L36" s="4" t="inlineStr"/>
      <c r="M36" s="4" t="n"/>
      <c r="N36" s="4" t="n"/>
      <c r="O36" s="4" t="n"/>
      <c r="P36" s="4" t="n"/>
      <c r="Q36" s="4" t="n"/>
      <c r="R36" s="4" t="n"/>
      <c r="S36" s="4" t="n"/>
      <c r="T36" s="4" t="n"/>
      <c r="U36" s="4" t="n"/>
      <c r="V36" s="4" t="n"/>
      <c r="W36" s="4" t="n"/>
    </row>
    <row r="37">
      <c r="A37" s="5" t="inlineStr">
        <is>
          <t>CLD-034</t>
        </is>
      </c>
      <c r="B37" s="5" t="inlineStr">
        <is>
          <t>WAF</t>
        </is>
      </c>
      <c r="C37" s="4" t="inlineStr">
        <is>
          <t>セキュリティ</t>
        </is>
      </c>
      <c r="D37" s="9" t="inlineStr">
        <is>
          <t>High</t>
        </is>
      </c>
      <c r="E37" s="4" t="inlineStr">
        <is>
          <t>コンプライアンス要件・業界標準・プラットフォーム推奨に整合したセキュリティベースラインが確立され、定期的に実態と照合されている</t>
        </is>
      </c>
      <c r="F37" s="4" t="inlineStr">
        <is>
          <t>ベースライン文書と定期評価(ギャップ分析)の記録が存在する</t>
        </is>
      </c>
      <c r="G37" s="4" t="inlineStr">
        <is>
          <t>基準がないとセキュリティ状態の劣化・逸脱を検知できず、監査にも耐えられない。</t>
        </is>
      </c>
      <c r="H37" s="4" t="inlineStr">
        <is>
          <t>Azure WA &gt; セキュリティ &gt; SE:01 Establish a security baseline</t>
        </is>
      </c>
      <c r="I37" s="4" t="inlineStr">
        <is>
          <t>CLOUD-COMMON</t>
        </is>
      </c>
      <c r="J37" s="4" t="inlineStr">
        <is>
          <t>クラウドを利用する案件に適用。サービス特性・責任共有モデルに応じてN/A可。</t>
        </is>
      </c>
      <c r="K37" s="4" t="inlineStr">
        <is>
          <t>SRC-AZR-WAF</t>
        </is>
      </c>
      <c r="L37" s="4" t="inlineStr"/>
      <c r="M37" s="4" t="n"/>
      <c r="N37" s="4" t="n"/>
      <c r="O37" s="4" t="n"/>
      <c r="P37" s="4" t="n"/>
      <c r="Q37" s="4" t="n"/>
      <c r="R37" s="4" t="n"/>
      <c r="S37" s="4" t="n"/>
      <c r="T37" s="4" t="n"/>
      <c r="U37" s="4" t="n"/>
      <c r="V37" s="4" t="n"/>
      <c r="W37" s="4" t="n"/>
    </row>
    <row r="38">
      <c r="A38" s="5" t="inlineStr">
        <is>
          <t>CLD-035</t>
        </is>
      </c>
      <c r="B38" s="5" t="inlineStr">
        <is>
          <t>WAF</t>
        </is>
      </c>
      <c r="C38" s="4" t="inlineStr">
        <is>
          <t>コスト最適化</t>
        </is>
      </c>
      <c r="D38" s="9" t="inlineStr">
        <is>
          <t>High</t>
        </is>
      </c>
      <c r="E38" s="4" t="inlineStr">
        <is>
          <t>リソースへの標準タグ/ラベル(所有者・環境・プロジェクト等)付与が強制され、コストが部門・プロジェクト単位に帰属・可視化されている</t>
        </is>
      </c>
      <c r="F38" s="4" t="inlineStr">
        <is>
          <t>タグ規約が文書化され、付与率の計測と未タグリソースの是正プロセスがあり、次元別のコストレポートが関係者に定期共有されている</t>
        </is>
      </c>
      <c r="G38" s="4" t="inlineStr">
        <is>
          <t>コストの帰属不明はアカウンタビリティの欠如と最適化の停滞を招き、管理・セキュリティ両面の死角にもなる。</t>
        </is>
      </c>
      <c r="H38" s="4" t="inlineStr">
        <is>
          <t>AWS WA &gt; コスト最適化 &gt; COST03-BP02 Add organization information to cost and usage / Google Cloud WAF &gt; コスト最適化 &gt; Use consistent resource labels / Provide organization-wide cost visibility / Azure WA &gt; コスト最適化 &gt; CO:03 Group and categorize cost data / OCI WAF &gt; Security and Compliance &gt; Organize Resources Using Compartments and Tags / Performance and Cost Optimization &gt; Track and Optimize Your Spending by Using Cost Analysis</t>
        </is>
      </c>
      <c r="I38" s="4" t="inlineStr">
        <is>
          <t>CLOUD-COMMON</t>
        </is>
      </c>
      <c r="J38" s="4" t="inlineStr">
        <is>
          <t>クラウドを利用する案件に適用。サービス特性・責任共有モデルに応じてN/A可。</t>
        </is>
      </c>
      <c r="K38" s="4" t="inlineStr">
        <is>
          <t>SRC-AWS-WAF;SRC-GCP-WAF;SRC-AZR-WAF;SRC-OCI-WAF</t>
        </is>
      </c>
      <c r="L38" s="4" t="inlineStr">
        <is>
          <t>COST</t>
        </is>
      </c>
      <c r="M38" s="4" t="n"/>
      <c r="N38" s="4" t="n"/>
      <c r="O38" s="4" t="n"/>
      <c r="P38" s="4" t="n"/>
      <c r="Q38" s="4" t="n"/>
      <c r="R38" s="4" t="n"/>
      <c r="S38" s="4" t="n"/>
      <c r="T38" s="4" t="n"/>
      <c r="U38" s="4" t="n"/>
      <c r="V38" s="4" t="n"/>
      <c r="W38" s="4" t="n"/>
    </row>
    <row r="39">
      <c r="A39" s="5" t="inlineStr">
        <is>
          <t>CLD-036</t>
        </is>
      </c>
      <c r="B39" s="5" t="inlineStr">
        <is>
          <t>WAF</t>
        </is>
      </c>
      <c r="C39" s="4" t="inlineStr">
        <is>
          <t>コスト最適化</t>
        </is>
      </c>
      <c r="D39" s="9" t="inlineStr">
        <is>
          <t>High</t>
        </is>
      </c>
      <c r="E39" s="4" t="inlineStr">
        <is>
          <t>予算・予測アラートとコスト異常検知が設定され、想定外のコスト増加を早期に検知できる</t>
        </is>
      </c>
      <c r="F39" s="4" t="inlineStr">
        <is>
          <t>予算アラートと異常検知の通知先・対応フローが定義され、機能している</t>
        </is>
      </c>
      <c r="G39" s="4" t="inlineStr">
        <is>
          <t>監視なきコストは、設定ミスや不正利用で月末に高額請求として顕在化する。</t>
        </is>
      </c>
      <c r="H39" s="4" t="inlineStr">
        <is>
          <t>AWS WA &gt; コスト最適化 &gt; COST01-BP03 Establish cloud budgets and forecasts / COST01-BP06 Monitor cost proactively / Google Cloud WAF &gt; コスト最適化 &gt; Estimate realistic budgets and set financial boundaries / OCI WAF &gt; Performance and Cost Optimization &gt; Track and Manage Usage and Cost &gt; Define Budgets</t>
        </is>
      </c>
      <c r="I39" s="4" t="inlineStr">
        <is>
          <t>CLOUD-COMMON</t>
        </is>
      </c>
      <c r="J39" s="4" t="inlineStr">
        <is>
          <t>クラウドを利用する案件に適用。サービス特性・責任共有モデルに応じてN/A可。</t>
        </is>
      </c>
      <c r="K39" s="4" t="inlineStr">
        <is>
          <t>SRC-AWS-WAF;SRC-GCP-WAF;SRC-OCI-WAF</t>
        </is>
      </c>
      <c r="L39" s="4" t="inlineStr">
        <is>
          <t>OPS-OBSERVABILITY;COST</t>
        </is>
      </c>
      <c r="M39" s="4" t="n"/>
      <c r="N39" s="4" t="n"/>
      <c r="O39" s="4" t="n"/>
      <c r="P39" s="4" t="n"/>
      <c r="Q39" s="4" t="n"/>
      <c r="R39" s="4" t="n"/>
      <c r="S39" s="4" t="n"/>
      <c r="T39" s="4" t="n"/>
      <c r="U39" s="4" t="n"/>
      <c r="V39" s="4" t="n"/>
      <c r="W39" s="4" t="n"/>
    </row>
    <row r="40">
      <c r="A40" s="5" t="inlineStr">
        <is>
          <t>CLD-037</t>
        </is>
      </c>
      <c r="B40" s="5" t="inlineStr">
        <is>
          <t>WAF</t>
        </is>
      </c>
      <c r="C40" s="4" t="inlineStr">
        <is>
          <t>コスト最適化</t>
        </is>
      </c>
      <c r="D40" s="9" t="inlineStr">
        <is>
          <t>High</t>
        </is>
      </c>
      <c r="E40" s="4" t="inlineStr">
        <is>
          <t>初期・ランレート・継続コストを見積もるコストモデルが作成・維持され、主要コストドライバーの課金単位を理解して使用を適合させている</t>
        </is>
      </c>
      <c r="F40" s="4" t="inlineStr">
        <is>
          <t>コストモデル文書と実績との定期突合記録があり、主要サービスの課金単位と使用パターンの適合状況が確認できる</t>
        </is>
      </c>
      <c r="G40" s="4" t="inlineStr">
        <is>
          <t>コストモデルがないと支出の妥当性を判断できず、課金単位との乖離は使っていない容量への支払いを生む。</t>
        </is>
      </c>
      <c r="H40" s="4" t="inlineStr">
        <is>
          <t>Azure WA &gt; コスト最適化 &gt; CO:02 Create and maintain a cost model / CO:06 Align usage to billing increments</t>
        </is>
      </c>
      <c r="I40" s="4" t="inlineStr">
        <is>
          <t>CLOUD-COMMON</t>
        </is>
      </c>
      <c r="J40" s="4" t="inlineStr">
        <is>
          <t>クラウドを利用する案件に適用。サービス特性・責任共有モデルに応じてN/A可。</t>
        </is>
      </c>
      <c r="K40" s="4" t="inlineStr">
        <is>
          <t>SRC-AZR-WAF</t>
        </is>
      </c>
      <c r="L40" s="4" t="inlineStr">
        <is>
          <t>COST</t>
        </is>
      </c>
      <c r="M40" s="4" t="n"/>
      <c r="N40" s="4" t="n"/>
      <c r="O40" s="4" t="n"/>
      <c r="P40" s="4" t="n"/>
      <c r="Q40" s="4" t="n"/>
      <c r="R40" s="4" t="n"/>
      <c r="S40" s="4" t="n"/>
      <c r="T40" s="4" t="n"/>
      <c r="U40" s="4" t="n"/>
      <c r="V40" s="4" t="n"/>
      <c r="W40" s="4" t="n"/>
    </row>
    <row r="41">
      <c r="A41" s="5" t="inlineStr">
        <is>
          <t>CLD-038</t>
        </is>
      </c>
      <c r="B41" s="5" t="inlineStr">
        <is>
          <t>WAF</t>
        </is>
      </c>
      <c r="C41" s="4" t="inlineStr">
        <is>
          <t>コスト最適化</t>
        </is>
      </c>
      <c r="D41" s="9" t="inlineStr">
        <is>
          <t>High</t>
        </is>
      </c>
      <c r="E41" s="4" t="inlineStr">
        <is>
          <t>未使用・低利用のリソースをライフサイクルで追跡し、定期的に検出・廃止するプロセス(可能なら自動)がある</t>
        </is>
      </c>
      <c r="F41" s="4" t="inlineStr">
        <is>
          <t>定期的な棚卸し・自動検出と廃止(削減アクション)の実績が記録されている</t>
        </is>
      </c>
      <c r="G41" s="4" t="inlineStr">
        <is>
          <t>使われないリソースへの支出は純粋な浪費として毎月累積し、攻撃面も増大させる。</t>
        </is>
      </c>
      <c r="H41" s="4" t="inlineStr">
        <is>
          <t>AWS WA &gt; コスト最適化 &gt; COST04-BP01 / COST04-BP04 Decommission resources automatically / Azure WA &gt; コスト最適化 &gt; CO:07 Optimize component costs / OCI WAF &gt; Performance and Cost Optimization &gt; Implement a Process to Terminate or STOP Unused Resources</t>
        </is>
      </c>
      <c r="I41" s="4" t="inlineStr">
        <is>
          <t>CLOUD-COMMON</t>
        </is>
      </c>
      <c r="J41" s="4" t="inlineStr">
        <is>
          <t>クラウドを利用する案件に適用。サービス特性・責任共有モデルに応じてN/A可。</t>
        </is>
      </c>
      <c r="K41" s="4" t="inlineStr">
        <is>
          <t>SRC-AWS-WAF;SRC-AZR-WAF;SRC-OCI-WAF</t>
        </is>
      </c>
      <c r="L41" s="4" t="inlineStr">
        <is>
          <t>COST</t>
        </is>
      </c>
      <c r="M41" s="4" t="n"/>
      <c r="N41" s="4" t="n"/>
      <c r="O41" s="4" t="n"/>
      <c r="P41" s="4" t="n"/>
      <c r="Q41" s="4" t="n"/>
      <c r="R41" s="4" t="n"/>
      <c r="S41" s="4" t="n"/>
      <c r="T41" s="4" t="n"/>
      <c r="U41" s="4" t="n"/>
      <c r="V41" s="4" t="n"/>
      <c r="W41" s="4" t="n"/>
    </row>
    <row r="42">
      <c r="A42" s="5" t="inlineStr">
        <is>
          <t>CLD-039</t>
        </is>
      </c>
      <c r="B42" s="5" t="inlineStr">
        <is>
          <t>WAF</t>
        </is>
      </c>
      <c r="C42" s="4" t="inlineStr">
        <is>
          <t>コスト最適化</t>
        </is>
      </c>
      <c r="D42" s="10" t="inlineStr">
        <is>
          <t>Medium</t>
        </is>
      </c>
      <c r="E42" s="4" t="inlineStr">
        <is>
          <t>使用率データと推奨ツールに基づいてリソースのタイプ・サイズ・数を選定し、定期的に見直している(ライトサイジング)</t>
        </is>
      </c>
      <c r="F42" s="4" t="inlineStr">
        <is>
          <t>メトリクスに基づくサイジング見直しの定期プロセスが運用され、推奨事項への対応記録がある</t>
        </is>
      </c>
      <c r="G42" s="4" t="inlineStr">
        <is>
          <t>一度決めたサイズの放置は、恒常的な過剰コストか性能不足を固定化する。</t>
        </is>
      </c>
      <c r="H42" s="4" t="inlineStr">
        <is>
          <t>AWS WA &gt; コスト最適化 &gt; COST06-BP02 Select resource type, size, and number based on data / Google Cloud WAF &gt; オペレーショナルエクセレンス &gt; Manage and optimize cloud resources &gt; Right-size resources / OCI WAF &gt; Performance and Cost Optimization &gt; Track and Manage Usage and Cost</t>
        </is>
      </c>
      <c r="I42" s="4" t="inlineStr">
        <is>
          <t>CLOUD-COMMON</t>
        </is>
      </c>
      <c r="J42" s="4" t="inlineStr">
        <is>
          <t>クラウドを利用する案件に適用。サービス特性・責任共有モデルに応じてN/A可。</t>
        </is>
      </c>
      <c r="K42" s="4" t="inlineStr">
        <is>
          <t>SRC-AWS-WAF;SRC-GCP-WAF;SRC-OCI-WAF</t>
        </is>
      </c>
      <c r="L42" s="4" t="inlineStr">
        <is>
          <t>COST</t>
        </is>
      </c>
      <c r="M42" s="4" t="n"/>
      <c r="N42" s="4" t="n"/>
      <c r="O42" s="4" t="n"/>
      <c r="P42" s="4" t="n"/>
      <c r="Q42" s="4" t="n"/>
      <c r="R42" s="4" t="n"/>
      <c r="S42" s="4" t="n"/>
      <c r="T42" s="4" t="n"/>
      <c r="U42" s="4" t="n"/>
      <c r="V42" s="4" t="n"/>
      <c r="W42" s="4" t="n"/>
    </row>
    <row r="43">
      <c r="A43" s="5" t="inlineStr">
        <is>
          <t>CLD-040</t>
        </is>
      </c>
      <c r="B43" s="5" t="inlineStr">
        <is>
          <t>WAF</t>
        </is>
      </c>
      <c r="C43" s="4" t="inlineStr">
        <is>
          <t>コスト最適化</t>
        </is>
      </c>
      <c r="D43" s="10" t="inlineStr">
        <is>
          <t>Medium</t>
        </is>
      </c>
      <c r="E43" s="4" t="inlineStr">
        <is>
          <t>安定負荷へのコミットメント割引、中断許容負荷への低優先度(スポット)インスタンスの適用が評価されている</t>
        </is>
      </c>
      <c r="F43" s="4" t="inlineStr">
        <is>
          <t>ワークロードの安定性・中断許容度に応じた割引オプションの適用評価(採否と理由)が記録されている</t>
        </is>
      </c>
      <c r="G43" s="4" t="inlineStr">
        <is>
          <t>割引評価を怠ると、同じ使用量に対して恒常的に割高な支払いが続く。</t>
        </is>
      </c>
      <c r="H43" s="4" t="inlineStr">
        <is>
          <t>Google Cloud WAF &gt; コスト最適化 &gt; Foster a culture of cost awareness &gt; Understand discount-based cost optimization</t>
        </is>
      </c>
      <c r="I43" s="4" t="inlineStr">
        <is>
          <t>CLOUD-COMMON</t>
        </is>
      </c>
      <c r="J43" s="4" t="inlineStr">
        <is>
          <t>クラウドを利用する案件に適用。サービス特性・責任共有モデルに応じてN/A可。</t>
        </is>
      </c>
      <c r="K43" s="4" t="inlineStr">
        <is>
          <t>SRC-GCP-WAF</t>
        </is>
      </c>
      <c r="L43" s="4" t="inlineStr">
        <is>
          <t>COST</t>
        </is>
      </c>
      <c r="M43" s="4" t="n"/>
      <c r="N43" s="4" t="n"/>
      <c r="O43" s="4" t="n"/>
      <c r="P43" s="4" t="n"/>
      <c r="Q43" s="4" t="n"/>
      <c r="R43" s="4" t="n"/>
      <c r="S43" s="4" t="n"/>
      <c r="T43" s="4" t="n"/>
      <c r="U43" s="4" t="n"/>
      <c r="V43" s="4" t="n"/>
      <c r="W43" s="4" t="n"/>
    </row>
    <row r="44">
      <c r="A44" s="5" t="inlineStr">
        <is>
          <t>CLD-041</t>
        </is>
      </c>
      <c r="B44" s="5" t="inlineStr">
        <is>
          <t>WAF</t>
        </is>
      </c>
      <c r="C44" s="4" t="inlineStr">
        <is>
          <t>コスト最適化</t>
        </is>
      </c>
      <c r="D44" s="10" t="inlineStr">
        <is>
          <t>Medium</t>
        </is>
      </c>
      <c r="E44" s="4" t="inlineStr">
        <is>
          <t>本番・非本番・DR環境それぞれの要件に応じた支出の傾斜配分(非本番の縮退構成・停止スケジュール等)がされている</t>
        </is>
      </c>
      <c r="F44" s="4" t="inlineStr">
        <is>
          <t>環境別の構成方針(縮退、自動停止スケジュール等)が定義されている</t>
        </is>
      </c>
      <c r="G44" s="4" t="inlineStr">
        <is>
          <t>全環境を本番同等にすると、価値を生まない環境コストが支出を圧迫する。</t>
        </is>
      </c>
      <c r="H44" s="4" t="inlineStr">
        <is>
          <t>Azure WA &gt; コスト最適化 &gt; CO:08 Optimize environment costs</t>
        </is>
      </c>
      <c r="I44" s="4" t="inlineStr">
        <is>
          <t>CLOUD-COMMON</t>
        </is>
      </c>
      <c r="J44" s="4" t="inlineStr">
        <is>
          <t>クラウドを利用する案件に適用。サービス特性・責任共有モデルに応じてN/A可。</t>
        </is>
      </c>
      <c r="K44" s="4" t="inlineStr">
        <is>
          <t>SRC-AZR-WAF</t>
        </is>
      </c>
      <c r="L44" s="4" t="inlineStr">
        <is>
          <t>CONTINUITY-DR;COST</t>
        </is>
      </c>
      <c r="M44" s="4" t="n"/>
      <c r="N44" s="4" t="n"/>
      <c r="O44" s="4" t="n"/>
      <c r="P44" s="4" t="n"/>
      <c r="Q44" s="4" t="n"/>
      <c r="R44" s="4" t="n"/>
      <c r="S44" s="4" t="n"/>
      <c r="T44" s="4" t="n"/>
      <c r="U44" s="4" t="n"/>
      <c r="V44" s="4" t="n"/>
      <c r="W44" s="4" t="n"/>
    </row>
    <row r="45">
      <c r="A45" s="5" t="inlineStr">
        <is>
          <t>CLD-042</t>
        </is>
      </c>
      <c r="B45" s="5" t="inlineStr">
        <is>
          <t>WAF</t>
        </is>
      </c>
      <c r="C45" s="4" t="inlineStr">
        <is>
          <t>コスト最適化</t>
        </is>
      </c>
      <c r="D45" s="10" t="inlineStr">
        <is>
          <t>Medium</t>
        </is>
      </c>
      <c r="E45" s="4" t="inlineStr">
        <is>
          <t>アクセス頻度に応じたストレージ階層移行と保持期限による自動削除(データライフサイクル管理)が構成されている</t>
        </is>
      </c>
      <c r="F45" s="4" t="inlineStr">
        <is>
          <t>ログ・バックアップ等の主要データにライフサイクルポリシー(低頻度層/アーカイブ移行、期限削除)が定義されている</t>
        </is>
      </c>
      <c r="G45" s="4" t="inlineStr">
        <is>
          <t>無期限の高性能階層保管はコストの単調増加と保持規制違反を招く。</t>
        </is>
      </c>
      <c r="H45" s="4" t="inlineStr">
        <is>
          <t>AWS WA &gt; 持続可能性 &gt; SUS04-BP03 Use policies to manage the lifecycle of your datasets / OCI WAF &gt; Performance and Cost Optimization &gt; Implement Object Storage, Object Lifecycle Management</t>
        </is>
      </c>
      <c r="I45" s="4" t="inlineStr">
        <is>
          <t>CLOUD-COMMON</t>
        </is>
      </c>
      <c r="J45" s="4" t="inlineStr">
        <is>
          <t>クラウドを利用する案件に適用。サービス特性・責任共有モデルに応じてN/A可。</t>
        </is>
      </c>
      <c r="K45" s="4" t="inlineStr">
        <is>
          <t>SRC-AWS-WAF;SRC-OCI-WAF</t>
        </is>
      </c>
      <c r="L45" s="4" t="inlineStr">
        <is>
          <t>COST</t>
        </is>
      </c>
      <c r="M45" s="4" t="n"/>
      <c r="N45" s="4" t="n"/>
      <c r="O45" s="4" t="n"/>
      <c r="P45" s="4" t="n"/>
      <c r="Q45" s="4" t="n"/>
      <c r="R45" s="4" t="n"/>
      <c r="S45" s="4" t="n"/>
      <c r="T45" s="4" t="n"/>
      <c r="U45" s="4" t="n"/>
      <c r="V45" s="4" t="n"/>
      <c r="W45" s="4" t="n"/>
    </row>
    <row r="46">
      <c r="A46" s="5" t="inlineStr">
        <is>
          <t>CLD-043</t>
        </is>
      </c>
      <c r="B46" s="5" t="inlineStr">
        <is>
          <t>WAF</t>
        </is>
      </c>
      <c r="C46" s="4" t="inlineStr">
        <is>
          <t>運用</t>
        </is>
      </c>
      <c r="D46" s="9" t="inlineStr">
        <is>
          <t>High</t>
        </is>
      </c>
      <c r="E46" s="4" t="inlineStr">
        <is>
          <t>インフラが宣言型のコード(IaC)で定義・バージョン管理され、コードレビュー・品質保証がアプリコードと同等の厳格さで適用され、環境が再現可能である</t>
        </is>
      </c>
      <c r="F46" s="4" t="inlineStr">
        <is>
          <t>本番構成がIaCから再現可能で、変更がレビューを経てデプロイされ、手動変更が統制・検出される</t>
        </is>
      </c>
      <c r="G46" s="4" t="inlineStr">
        <is>
          <t>手動構築の環境は再現不能で、構成ドリフトと復旧不能リスクを抱える。</t>
        </is>
      </c>
      <c r="H46" s="4" t="inlineStr">
        <is>
          <t>AWS WA &gt; 運用上の優秀性 &gt; OPS05-BP01 Use version control / OPS05-BP04 / Google Cloud WAF &gt; オペレーショナルエクセレンス &gt; Automate and manage change &gt; Adopt IaC / Implement version control / Azure WA &gt; OE:05 Treat IaC and application code the same / OCI WAF &gt; Operational Efficiency &gt; Plan Your Deployment Strategy &gt; Adopt Infrastructure as Code</t>
        </is>
      </c>
      <c r="I46" s="4" t="inlineStr">
        <is>
          <t>CLOUD-COMMON</t>
        </is>
      </c>
      <c r="J46" s="4" t="inlineStr">
        <is>
          <t>クラウドを利用する案件に適用。サービス特性・責任共有モデルに応じてN/A可。</t>
        </is>
      </c>
      <c r="K46" s="4" t="inlineStr">
        <is>
          <t>SRC-AWS-WAF;SRC-GCP-WAF;SRC-AZR-WAF;SRC-OCI-WAF</t>
        </is>
      </c>
      <c r="L46" s="4" t="inlineStr">
        <is>
          <t>OPS-IAC</t>
        </is>
      </c>
      <c r="M46" s="4" t="n"/>
      <c r="N46" s="4" t="n"/>
      <c r="O46" s="4" t="n"/>
      <c r="P46" s="4" t="n"/>
      <c r="Q46" s="4" t="n"/>
      <c r="R46" s="4" t="n"/>
      <c r="S46" s="4" t="n"/>
      <c r="T46" s="4" t="n"/>
      <c r="U46" s="4" t="n"/>
      <c r="V46" s="4" t="n"/>
      <c r="W46" s="4" t="n"/>
    </row>
    <row r="47">
      <c r="A47" s="5" t="inlineStr">
        <is>
          <t>CLD-044</t>
        </is>
      </c>
      <c r="B47" s="5" t="inlineStr">
        <is>
          <t>WAF</t>
        </is>
      </c>
      <c r="C47" s="4" t="inlineStr">
        <is>
          <t>運用</t>
        </is>
      </c>
      <c r="D47" s="9" t="inlineStr">
        <is>
          <t>High</t>
        </is>
      </c>
      <c r="E47" s="4" t="inlineStr">
        <is>
          <t>ビルド・テスト・デプロイが自動化されたCI/CDパイプラインで行われ、全ての変更が品質ゲート・テストを経て環境昇格し、パイプライン外の本番変更経路がない</t>
        </is>
      </c>
      <c r="F47" s="4" t="inlineStr">
        <is>
          <t>本番変更がCI/CD経由に統一され、自動テストと承認ゲートを通過し、変更サイズ・頻度・失敗率が計測されている</t>
        </is>
      </c>
      <c r="G47" s="4" t="inlineStr">
        <is>
          <t>手動リリース・未検証の変更はデプロイ起因障害の最大要因であり、トレーサビリティも失う。</t>
        </is>
      </c>
      <c r="H47" s="4" t="inlineStr">
        <is>
          <t>AWS WA &gt; 運用上の優秀性 &gt; OPS05-BP09 / OPS05-BP10 Fully automate integration and deployment / Google Cloud WAF &gt; オペレーショナルエクセレンス &gt; Automate and manage change &gt; Build CI/CD pipelines / Azure WA &gt; OE:06 Build a workload supply chain / OCI WAF &gt; Operational Efficiency &gt; Adopt Build and Deployment Management Systems / Test and Validate Changes</t>
        </is>
      </c>
      <c r="I47" s="4" t="inlineStr">
        <is>
          <t>CLOUD-COMMON</t>
        </is>
      </c>
      <c r="J47" s="4" t="inlineStr">
        <is>
          <t>クラウドを利用する案件に適用。サービス特性・責任共有モデルに応じてN/A可。</t>
        </is>
      </c>
      <c r="K47" s="4" t="inlineStr">
        <is>
          <t>SRC-AWS-WAF;SRC-GCP-AIML;SRC-AZR-WAF;SRC-OCI-WAF</t>
        </is>
      </c>
      <c r="L47" s="4" t="inlineStr"/>
      <c r="M47" s="4" t="n"/>
      <c r="N47" s="4" t="n"/>
      <c r="O47" s="4" t="n"/>
      <c r="P47" s="4" t="n"/>
      <c r="Q47" s="4" t="n"/>
      <c r="R47" s="4" t="n"/>
      <c r="S47" s="4" t="n"/>
      <c r="T47" s="4" t="n"/>
      <c r="U47" s="4" t="n"/>
      <c r="V47" s="4" t="n"/>
      <c r="W47" s="4" t="n"/>
    </row>
    <row r="48">
      <c r="A48" s="5" t="inlineStr">
        <is>
          <t>CLD-045</t>
        </is>
      </c>
      <c r="B48" s="5" t="inlineStr">
        <is>
          <t>WAF</t>
        </is>
      </c>
      <c r="C48" s="4" t="inlineStr">
        <is>
          <t>運用</t>
        </is>
      </c>
      <c r="D48" s="9" t="inlineStr">
        <is>
          <t>High</t>
        </is>
      </c>
      <c r="E48" s="4" t="inlineStr">
        <is>
          <t>カナリア/ブルーグリーン等の段階的デプロイ戦略を採用し、失敗時に自動でロールバックされる</t>
        </is>
      </c>
      <c r="F48" s="4" t="inlineStr">
        <is>
          <t>段階的リリースと自動ロールバックの設定・発動実績(またはテスト)が確認できる</t>
        </is>
      </c>
      <c r="G48" s="4" t="inlineStr">
        <is>
          <t>一括デプロイ+手動切り戻しは、不具合の全面波及と復旧遅延を招く。</t>
        </is>
      </c>
      <c r="H48" s="4" t="inlineStr">
        <is>
          <t>AWS WA &gt; 運用上の優秀性 &gt; OPS06-BP03 Employ safe deployment strategies / OPS06-BP04 Automate testing and rollback</t>
        </is>
      </c>
      <c r="I48" s="4" t="inlineStr">
        <is>
          <t>CLOUD-COMMON</t>
        </is>
      </c>
      <c r="J48" s="4" t="inlineStr">
        <is>
          <t>クラウドを利用する案件に適用。サービス特性・責任共有モデルに応じてN/A可。</t>
        </is>
      </c>
      <c r="K48" s="4" t="inlineStr">
        <is>
          <t>SRC-AWS-WAF</t>
        </is>
      </c>
      <c r="L48" s="4" t="inlineStr"/>
      <c r="M48" s="4" t="n"/>
      <c r="N48" s="4" t="n"/>
      <c r="O48" s="4" t="n"/>
      <c r="P48" s="4" t="n"/>
      <c r="Q48" s="4" t="n"/>
      <c r="R48" s="4" t="n"/>
      <c r="S48" s="4" t="n"/>
      <c r="T48" s="4" t="n"/>
      <c r="U48" s="4" t="n"/>
      <c r="V48" s="4" t="n"/>
      <c r="W48" s="4" t="n"/>
    </row>
    <row r="49">
      <c r="A49" s="5" t="inlineStr">
        <is>
          <t>CLD-046</t>
        </is>
      </c>
      <c r="B49" s="5" t="inlineStr">
        <is>
          <t>WAF</t>
        </is>
      </c>
      <c r="C49" s="4" t="inlineStr">
        <is>
          <t>運用</t>
        </is>
      </c>
      <c r="D49" s="9" t="inlineStr">
        <is>
          <t>High</t>
        </is>
      </c>
      <c r="E49" s="4" t="inlineStr">
        <is>
          <t>開発・検証・本番の複数環境が分離され、本番変更の前に本番相当環境で検証している</t>
        </is>
      </c>
      <c r="F49" s="4" t="inlineStr">
        <is>
          <t>環境が分離され、本番変更は下位環境での検証を経ることがプロセス化されている</t>
        </is>
      </c>
      <c r="G49" s="4" t="inlineStr">
        <is>
          <t>本番一発勝負の変更は検証不能な障害リスクをそのまま本番に持ち込む。</t>
        </is>
      </c>
      <c r="H49" s="4" t="inlineStr">
        <is>
          <t>AWS WA &gt; 運用上の優秀性 &gt; OPS05-BP08 Use multiple environments</t>
        </is>
      </c>
      <c r="I49" s="4" t="inlineStr">
        <is>
          <t>CLOUD-COMMON</t>
        </is>
      </c>
      <c r="J49" s="4" t="inlineStr">
        <is>
          <t>クラウドを利用する案件に適用。サービス特性・責任共有モデルに応じてN/A可。</t>
        </is>
      </c>
      <c r="K49" s="4" t="inlineStr">
        <is>
          <t>SRC-AWS-WAF</t>
        </is>
      </c>
      <c r="L49" s="4" t="inlineStr"/>
      <c r="M49" s="4" t="n"/>
      <c r="N49" s="4" t="n"/>
      <c r="O49" s="4" t="n"/>
      <c r="P49" s="4" t="n"/>
      <c r="Q49" s="4" t="n"/>
      <c r="R49" s="4" t="n"/>
      <c r="S49" s="4" t="n"/>
      <c r="T49" s="4" t="n"/>
      <c r="U49" s="4" t="n"/>
      <c r="V49" s="4" t="n"/>
      <c r="W49" s="4" t="n"/>
    </row>
    <row r="50">
      <c r="A50" s="5" t="inlineStr">
        <is>
          <t>CLD-047</t>
        </is>
      </c>
      <c r="B50" s="5" t="inlineStr">
        <is>
          <t>WAF</t>
        </is>
      </c>
      <c r="C50" s="4" t="inlineStr">
        <is>
          <t>運用</t>
        </is>
      </c>
      <c r="D50" s="9" t="inlineStr">
        <is>
          <t>High</t>
        </is>
      </c>
      <c r="E50" s="4" t="inlineStr">
        <is>
          <t>メトリクス・ログ・トレースの3種のテレメトリが実装され、稼働率・健全性指標がコンポーネントとクリティカルフロー横断で継続計測できる</t>
        </is>
      </c>
      <c r="F50" s="4" t="inlineStr">
        <is>
          <t>主要コンポーネントのメトリクス/ログが集約され、分散構成ではトレースも取得され、検知・対応・事後分析に利用できる形で保持されている</t>
        </is>
      </c>
      <c r="G50" s="4" t="inlineStr">
        <is>
          <t>観測性の欠如は障害検知の遅れと原因調査の長期化を招く。</t>
        </is>
      </c>
      <c r="H50" s="4" t="inlineStr">
        <is>
          <t>AWS WA &gt; 運用上の優秀性 &gt; OPS04-BP01〜BP05 / Google Cloud WAF &gt; Reliability &gt; Detect potential failures by using observability &gt; Gain comprehensive insights / Azure WA &gt; 信頼性 &gt; RE:10 Continuously measure and track system health</t>
        </is>
      </c>
      <c r="I50" s="4" t="inlineStr">
        <is>
          <t>CLOUD-COMMON</t>
        </is>
      </c>
      <c r="J50" s="4" t="inlineStr">
        <is>
          <t>クラウドを利用する案件に適用。サービス特性・責任共有モデルに応じてN/A可。</t>
        </is>
      </c>
      <c r="K50" s="4" t="inlineStr">
        <is>
          <t>SRC-AWS-WAF;SRC-GCP-AIML;SRC-AZR-WAF</t>
        </is>
      </c>
      <c r="L50" s="4" t="inlineStr">
        <is>
          <t>OPS-OBSERVABILITY</t>
        </is>
      </c>
      <c r="M50" s="4" t="n"/>
      <c r="N50" s="4" t="n"/>
      <c r="O50" s="4" t="n"/>
      <c r="P50" s="4" t="n"/>
      <c r="Q50" s="4" t="n"/>
      <c r="R50" s="4" t="n"/>
      <c r="S50" s="4" t="n"/>
      <c r="T50" s="4" t="n"/>
      <c r="U50" s="4" t="n"/>
      <c r="V50" s="4" t="n"/>
      <c r="W50" s="4" t="n"/>
    </row>
    <row r="51">
      <c r="A51" s="5" t="inlineStr">
        <is>
          <t>CLD-048</t>
        </is>
      </c>
      <c r="B51" s="5" t="inlineStr">
        <is>
          <t>WAF</t>
        </is>
      </c>
      <c r="C51" s="4" t="inlineStr">
        <is>
          <t>運用</t>
        </is>
      </c>
      <c r="D51" s="9" t="inlineStr">
        <is>
          <t>High</t>
        </is>
      </c>
      <c r="E51" s="4" t="inlineStr">
        <is>
          <t>全てのアラートが対応手順・担当に紐づいてアクション可能であり、閾値・優先度の定期見直しでノイズ(アラート疲れ)が抑制されている</t>
        </is>
      </c>
      <c r="F51" s="4" t="inlineStr">
        <is>
          <t>アラートごとにRunbook/エスカレーション先が定義され、恒常的に無視されるアラートがなく、閾値の定期見直し記録がある</t>
        </is>
      </c>
      <c r="G51" s="4" t="inlineStr">
        <is>
          <t>アラートの穴は検知遅延を、ノイズ過多は重大イベントの見逃しを生む。</t>
        </is>
      </c>
      <c r="H51" s="4" t="inlineStr">
        <is>
          <t>AWS WA &gt; 運用上の優秀性 &gt; OPS08-BP04 Create actionable alerts / OPS10-BP02 / Google Cloud WAF &gt; Reliability &gt; Detect potential failures by using observability &gt; Prioritize alerts / OCI WAF &gt; Operational Efficiency &gt; Monitor Your Workload &gt; Create a Set of Alarms for Each Metric / Tune Your Alarms</t>
        </is>
      </c>
      <c r="I51" s="4" t="inlineStr">
        <is>
          <t>CLOUD-COMMON</t>
        </is>
      </c>
      <c r="J51" s="4" t="inlineStr">
        <is>
          <t>クラウドを利用する案件に適用。サービス特性・責任共有モデルに応じてN/A可。</t>
        </is>
      </c>
      <c r="K51" s="4" t="inlineStr">
        <is>
          <t>SRC-AWS-WAF;SRC-GCP-AIML;SRC-OCI-WAF</t>
        </is>
      </c>
      <c r="L51" s="4" t="inlineStr">
        <is>
          <t>OPS-OBSERVABILITY</t>
        </is>
      </c>
      <c r="M51" s="4" t="n"/>
      <c r="N51" s="4" t="n"/>
      <c r="O51" s="4" t="n"/>
      <c r="P51" s="4" t="n"/>
      <c r="Q51" s="4" t="n"/>
      <c r="R51" s="4" t="n"/>
      <c r="S51" s="4" t="n"/>
      <c r="T51" s="4" t="n"/>
      <c r="U51" s="4" t="n"/>
      <c r="V51" s="4" t="n"/>
      <c r="W51" s="4" t="n"/>
    </row>
    <row r="52">
      <c r="A52" s="5" t="inlineStr">
        <is>
          <t>CLD-049</t>
        </is>
      </c>
      <c r="B52" s="5" t="inlineStr">
        <is>
          <t>WAF</t>
        </is>
      </c>
      <c r="C52" s="4" t="inlineStr">
        <is>
          <t>運用</t>
        </is>
      </c>
      <c r="D52" s="9" t="inlineStr">
        <is>
          <t>High</t>
        </is>
      </c>
      <c r="E52" s="4" t="inlineStr">
        <is>
          <t>定型作業のRunbookと障害調査のPlaybook、インシデント対応の役割・連絡ルール・エスカレーションパスが文書化され、最新状態に維持されている</t>
        </is>
      </c>
      <c r="F52" s="4" t="inlineStr">
        <is>
          <t>主要な運用作業・想定障害に手順書が存在して関係者がアクセスでき、演習または実使用で検証済みである</t>
        </is>
      </c>
      <c r="G52" s="4" t="inlineStr">
        <is>
          <t>手順の属人化は担当者不在時の対応不能・初動の混乱とオペミスを招く。</t>
        </is>
      </c>
      <c r="H52" s="4" t="inlineStr">
        <is>
          <t>AWS WA &gt; 運用上の優秀性 &gt; OPS07-BP03 Use runbooks / OPS07-BP04 Use playbooks / Google Cloud WAF &gt; オペレーショナルエクセレンス &gt; Manage incidents and problems &gt; Establish clear incident response procedures</t>
        </is>
      </c>
      <c r="I52" s="4" t="inlineStr">
        <is>
          <t>CLOUD-COMMON</t>
        </is>
      </c>
      <c r="J52" s="4" t="inlineStr">
        <is>
          <t>クラウドを利用する案件に適用。サービス特性・責任共有モデルに応じてN/A可。</t>
        </is>
      </c>
      <c r="K52" s="4" t="inlineStr">
        <is>
          <t>SRC-AWS-WAF;SRC-GCP-WAF</t>
        </is>
      </c>
      <c r="L52" s="4" t="inlineStr"/>
      <c r="M52" s="4" t="n"/>
      <c r="N52" s="4" t="n"/>
      <c r="O52" s="4" t="n"/>
      <c r="P52" s="4" t="n"/>
      <c r="Q52" s="4" t="n"/>
      <c r="R52" s="4" t="n"/>
      <c r="S52" s="4" t="n"/>
      <c r="T52" s="4" t="n"/>
      <c r="U52" s="4" t="n"/>
      <c r="V52" s="4" t="n"/>
      <c r="W52" s="4" t="n"/>
    </row>
    <row r="53">
      <c r="A53" s="5" t="inlineStr">
        <is>
          <t>CLD-050</t>
        </is>
      </c>
      <c r="B53" s="5" t="inlineStr">
        <is>
          <t>WAF</t>
        </is>
      </c>
      <c r="C53" s="4" t="inlineStr">
        <is>
          <t>運用</t>
        </is>
      </c>
      <c r="D53" s="9" t="inlineStr">
        <is>
          <t>High</t>
        </is>
      </c>
      <c r="E53" s="4" t="inlineStr">
        <is>
          <t>構造化されたインシデント管理プロセス(検知・診断・復旧・エスカレーション)があり、重大インシデント後に非難のない事後分析(ポストモーテム)と再発防止策の追跡を行っている</t>
        </is>
      </c>
      <c r="F53" s="4" t="inlineStr">
        <is>
          <t>インシデント管理手順とオンコール体制が文書化され、ポストモーテムと期限付き是正アクションの追跡記録があり、組織に共有されている</t>
        </is>
      </c>
      <c r="G53" s="4" t="inlineStr">
        <is>
          <t>場当たり的な対応は復旧を遅らせ、学習なき組織は同じ障害を繰り返す。</t>
        </is>
      </c>
      <c r="H53" s="4" t="inlineStr">
        <is>
          <t>AWS WA &gt; 運用上の優秀性 &gt; OPS10-BP01 / OPS11-BP02 Perform post-incident analysis / Google Cloud WAF &gt; Reliability &gt; Conduct blameless postmortems / Azure WA &gt; OE:08 Establish a clear, structured incident management process</t>
        </is>
      </c>
      <c r="I53" s="4" t="inlineStr">
        <is>
          <t>CLOUD-COMMON</t>
        </is>
      </c>
      <c r="J53" s="4" t="inlineStr">
        <is>
          <t>クラウドを利用する案件に適用。サービス特性・責任共有モデルに応じてN/A可。</t>
        </is>
      </c>
      <c r="K53" s="4" t="inlineStr">
        <is>
          <t>SRC-AWS-WAF;SRC-GCP-WAF;SRC-AZR-WAF</t>
        </is>
      </c>
      <c r="L53" s="4" t="inlineStr"/>
      <c r="M53" s="4" t="n"/>
      <c r="N53" s="4" t="n"/>
      <c r="O53" s="4" t="n"/>
      <c r="P53" s="4" t="n"/>
      <c r="Q53" s="4" t="n"/>
      <c r="R53" s="4" t="n"/>
      <c r="S53" s="4" t="n"/>
      <c r="T53" s="4" t="n"/>
      <c r="U53" s="4" t="n"/>
      <c r="V53" s="4" t="n"/>
      <c r="W53" s="4" t="n"/>
    </row>
    <row r="54">
      <c r="A54" s="5" t="inlineStr">
        <is>
          <t>CLD-051</t>
        </is>
      </c>
      <c r="B54" s="5" t="inlineStr">
        <is>
          <t>WAF</t>
        </is>
      </c>
      <c r="C54" s="4" t="inlineStr">
        <is>
          <t>運用</t>
        </is>
      </c>
      <c r="D54" s="9" t="inlineStr">
        <is>
          <t>High</t>
        </is>
      </c>
      <c r="E54" s="4" t="inlineStr">
        <is>
          <t>定型・反復的な運用作業がコード化・自動化(Operations as Code)され、手作業への依存が最小化されている</t>
        </is>
      </c>
      <c r="F54" s="4" t="inlineStr">
        <is>
          <t>自動化対象の選定基準と自動化済みタスクの一覧・保守体制があり、手作業は例外として管理されている</t>
        </is>
      </c>
      <c r="G54" s="4" t="inlineStr">
        <is>
          <t>手作業運用はヒューマンエラーと属人化の温床であり、スケールもしない。</t>
        </is>
      </c>
      <c r="H54" s="4" t="inlineStr">
        <is>
          <t>Azure WA &gt; OE:10 Design automation to be reliable, secure, and maintainable / OCI WAF &gt; Operational Efficiency &gt; Perform Operations as Code</t>
        </is>
      </c>
      <c r="I54" s="4" t="inlineStr">
        <is>
          <t>CLOUD-COMMON</t>
        </is>
      </c>
      <c r="J54" s="4" t="inlineStr">
        <is>
          <t>クラウドを利用する案件に適用。サービス特性・責任共有モデルに応じてN/A可。</t>
        </is>
      </c>
      <c r="K54" s="4" t="inlineStr">
        <is>
          <t>SRC-AZR-WAF;SRC-OCI-WAF</t>
        </is>
      </c>
      <c r="L54" s="4" t="inlineStr"/>
      <c r="M54" s="4" t="n"/>
      <c r="N54" s="4" t="n"/>
      <c r="O54" s="4" t="n"/>
      <c r="P54" s="4" t="n"/>
      <c r="Q54" s="4" t="n"/>
      <c r="R54" s="4" t="n"/>
      <c r="S54" s="4" t="n"/>
      <c r="T54" s="4" t="n"/>
      <c r="U54" s="4" t="n"/>
      <c r="V54" s="4" t="n"/>
      <c r="W54" s="4" t="n"/>
    </row>
    <row r="55">
      <c r="A55" s="5" t="inlineStr">
        <is>
          <t>CLD-052</t>
        </is>
      </c>
      <c r="B55" s="5" t="inlineStr">
        <is>
          <t>WAF</t>
        </is>
      </c>
      <c r="C55" s="4" t="inlineStr">
        <is>
          <t>運用</t>
        </is>
      </c>
      <c r="D55" s="10" t="inlineStr">
        <is>
          <t>Medium</t>
        </is>
      </c>
      <c r="E55" s="4" t="inlineStr">
        <is>
          <t>リソース削除の前に、非アクティブの検証→状態保全→無効化→監視期間→残存参照の掃除、という段階的な廃止手順を踏んでいる</t>
        </is>
      </c>
      <c r="F55" s="4" t="inlineStr">
        <is>
          <t>廃止手順の標準が定義され、削除作業の記録に各段階の実施が確認できる</t>
        </is>
      </c>
      <c r="G55" s="4" t="inlineStr">
        <is>
          <t>削除は不可逆であり、隠れた依存関係を見逃すと本番障害・データ喪失を引き起こす。</t>
        </is>
      </c>
      <c r="H55" s="4" t="inlineStr">
        <is>
          <t>Azure WA &gt; OE:11 Plan and execute safe decommissioning</t>
        </is>
      </c>
      <c r="I55" s="4" t="inlineStr">
        <is>
          <t>CLOUD-COMMON</t>
        </is>
      </c>
      <c r="J55" s="4" t="inlineStr">
        <is>
          <t>クラウドを利用する案件に適用。サービス特性・責任共有モデルに応じてN/A可。</t>
        </is>
      </c>
      <c r="K55" s="4" t="inlineStr">
        <is>
          <t>SRC-AZR-WAF</t>
        </is>
      </c>
      <c r="L55" s="4" t="inlineStr">
        <is>
          <t>OPS-OBSERVABILITY</t>
        </is>
      </c>
      <c r="M55" s="4" t="n"/>
      <c r="N55" s="4" t="n"/>
      <c r="O55" s="4" t="n"/>
      <c r="P55" s="4" t="n"/>
      <c r="Q55" s="4" t="n"/>
      <c r="R55" s="4" t="n"/>
      <c r="S55" s="4" t="n"/>
      <c r="T55" s="4" t="n"/>
      <c r="U55" s="4" t="n"/>
      <c r="V55" s="4" t="n"/>
      <c r="W55" s="4" t="n"/>
    </row>
    <row r="56">
      <c r="A56" s="5" t="inlineStr">
        <is>
          <t>CLD-053</t>
        </is>
      </c>
      <c r="B56" s="5" t="inlineStr">
        <is>
          <t>WAF</t>
        </is>
      </c>
      <c r="C56" s="4" t="inlineStr">
        <is>
          <t>パフォーマンス</t>
        </is>
      </c>
      <c r="D56" s="9" t="inlineStr">
        <is>
          <t>High</t>
        </is>
      </c>
      <c r="E56" s="4" t="inlineStr">
        <is>
          <t>需要変動に応じてリソースが自動的に増減する(オートスケーリングまたはサーバーレスの弾力性)</t>
        </is>
      </c>
      <c r="F56" s="4" t="inlineStr">
        <is>
          <t>負荷特性に応じたスケーリングポリシーが構成され、スケール動作が負荷テストで検証されている</t>
        </is>
      </c>
      <c r="G56" s="4" t="inlineStr">
        <is>
          <t>固定容量はピーク時の性能劣化・停止とオフピーク時のコスト浪費を同時に生む。</t>
        </is>
      </c>
      <c r="H56" s="4" t="inlineStr">
        <is>
          <t>AWS WA &gt; 信頼性 &gt; REL07-BP01 Use automation when obtaining or scaling resources / Google Cloud WAF &gt; オペレーショナルエクセレンス &gt; Use autoscaling / パフォーマンス最適化 &gt; Take advantage of elasticity / OCI WAF &gt; Reliability and Resilience &gt; Design for Scalability &gt; Scale Cloud Resources to Meet Your Workload Requirements</t>
        </is>
      </c>
      <c r="I56" s="4" t="inlineStr">
        <is>
          <t>CLOUD-COMMON</t>
        </is>
      </c>
      <c r="J56" s="4" t="inlineStr">
        <is>
          <t>クラウドを利用する案件に適用。サービス特性・責任共有モデルに応じてN/A可。</t>
        </is>
      </c>
      <c r="K56" s="4" t="inlineStr">
        <is>
          <t>SRC-AWS-WAF;SRC-GCP-AIML;SRC-OCI-WAF</t>
        </is>
      </c>
      <c r="L56" s="4" t="inlineStr"/>
      <c r="M56" s="4" t="n"/>
      <c r="N56" s="4" t="n"/>
      <c r="O56" s="4" t="n"/>
      <c r="P56" s="4" t="n"/>
      <c r="Q56" s="4" t="n"/>
      <c r="R56" s="4" t="n"/>
      <c r="S56" s="4" t="n"/>
      <c r="T56" s="4" t="n"/>
      <c r="U56" s="4" t="n"/>
      <c r="V56" s="4" t="n"/>
      <c r="W56" s="4" t="n"/>
    </row>
    <row r="57">
      <c r="A57" s="5" t="inlineStr">
        <is>
          <t>CLD-054</t>
        </is>
      </c>
      <c r="B57" s="5" t="inlineStr">
        <is>
          <t>WAF</t>
        </is>
      </c>
      <c r="C57" s="4" t="inlineStr">
        <is>
          <t>パフォーマンス</t>
        </is>
      </c>
      <c r="D57" s="9" t="inlineStr">
        <is>
          <t>High</t>
        </is>
      </c>
      <c r="E57" s="4" t="inlineStr">
        <is>
          <t>全てのワークロードフローに対し、要件に紐づく数値の性能目標(応答時間・スループット等)が定義されている</t>
        </is>
      </c>
      <c r="F57" s="4" t="inlineStr">
        <is>
          <t>フロー別の性能目標値の一覧が存在し、計測方法が定義されている</t>
        </is>
      </c>
      <c r="G57" s="4" t="inlineStr">
        <is>
          <t>数値目標がないと性能の合否判定も劣化検知もできない。</t>
        </is>
      </c>
      <c r="H57" s="4" t="inlineStr">
        <is>
          <t>Azure WA &gt; パフォーマンス効率 &gt; PE:01 Define performance targets</t>
        </is>
      </c>
      <c r="I57" s="4" t="inlineStr">
        <is>
          <t>CLOUD-COMMON</t>
        </is>
      </c>
      <c r="J57" s="4" t="inlineStr">
        <is>
          <t>クラウドを利用する案件に適用。サービス特性・責任共有モデルに応じてN/A可。</t>
        </is>
      </c>
      <c r="K57" s="4" t="inlineStr">
        <is>
          <t>SRC-AZR-WAF</t>
        </is>
      </c>
      <c r="L57" s="4" t="inlineStr"/>
      <c r="M57" s="4" t="n"/>
      <c r="N57" s="4" t="n"/>
      <c r="O57" s="4" t="n"/>
      <c r="P57" s="4" t="n"/>
      <c r="Q57" s="4" t="n"/>
      <c r="R57" s="4" t="n"/>
      <c r="S57" s="4" t="n"/>
      <c r="T57" s="4" t="n"/>
      <c r="U57" s="4" t="n"/>
      <c r="V57" s="4" t="n"/>
      <c r="W57" s="4" t="n"/>
    </row>
    <row r="58">
      <c r="A58" s="5" t="inlineStr">
        <is>
          <t>CLD-055</t>
        </is>
      </c>
      <c r="B58" s="5" t="inlineStr">
        <is>
          <t>WAF</t>
        </is>
      </c>
      <c r="C58" s="4" t="inlineStr">
        <is>
          <t>パフォーマンス</t>
        </is>
      </c>
      <c r="D58" s="10" t="inlineStr">
        <is>
          <t>Medium</t>
        </is>
      </c>
      <c r="E58" s="4" t="inlineStr">
        <is>
          <t>想定ピークを模した負荷テストを本番相当条件で実施し、性能要件とスケーリング動作を検証している</t>
        </is>
      </c>
      <c r="F58" s="4" t="inlineStr">
        <is>
          <t>負荷テスト結果(応答時間・スループット・スケール挙動)と改善記録が文書化されている</t>
        </is>
      </c>
      <c r="G58" s="4" t="inlineStr">
        <is>
          <t>未検証の容量・性能想定は繁忙期のピークで初めて破綻が発覚する。</t>
        </is>
      </c>
      <c r="H58" s="4" t="inlineStr">
        <is>
          <t>AWS WA &gt; 信頼性 &gt; REL07-BP04 Load test your workload / OCI WAF &gt; Reliability and Resilience &gt; Design for Scalability &gt; Perform Load Tests</t>
        </is>
      </c>
      <c r="I58" s="4" t="inlineStr">
        <is>
          <t>CLOUD-COMMON</t>
        </is>
      </c>
      <c r="J58" s="4" t="inlineStr">
        <is>
          <t>クラウドを利用する案件に適用。サービス特性・責任共有モデルに応じてN/A可。</t>
        </is>
      </c>
      <c r="K58" s="4" t="inlineStr">
        <is>
          <t>SRC-AWS-WAF;SRC-OCI-WAF</t>
        </is>
      </c>
      <c r="L58" s="4" t="inlineStr"/>
      <c r="M58" s="4" t="n"/>
      <c r="N58" s="4" t="n"/>
      <c r="O58" s="4" t="n"/>
      <c r="P58" s="4" t="n"/>
      <c r="Q58" s="4" t="n"/>
      <c r="R58" s="4" t="n"/>
      <c r="S58" s="4" t="n"/>
      <c r="T58" s="4" t="n"/>
      <c r="U58" s="4" t="n"/>
      <c r="V58" s="4" t="n"/>
      <c r="W58" s="4" t="n"/>
    </row>
    <row r="59">
      <c r="A59" s="5" t="inlineStr">
        <is>
          <t>CLD-056</t>
        </is>
      </c>
      <c r="B59" s="5" t="inlineStr">
        <is>
          <t>WAF</t>
        </is>
      </c>
      <c r="C59" s="4" t="inlineStr">
        <is>
          <t>パフォーマンス</t>
        </is>
      </c>
      <c r="D59" s="10" t="inlineStr">
        <is>
          <t>Medium</t>
        </is>
      </c>
      <c r="E59" s="4" t="inlineStr">
        <is>
          <t>使用実績・成長予測・ビジネスイベント(季節変動・キャンペーン等)に基づくキャパシティプランニングが行われ、定期的に見直されている</t>
        </is>
      </c>
      <c r="F59" s="4" t="inlineStr">
        <is>
          <t>需要予測と容量計画が文書化され、オートスケーリングポリシーまたは定期レビューで裏付けられている</t>
        </is>
      </c>
      <c r="G59" s="4" t="inlineStr">
        <is>
          <t>容量計画がないと、リソース枯渇による停止か過剰プロビジョニングによる浪費が発生する。</t>
        </is>
      </c>
      <c r="H59" s="4" t="inlineStr">
        <is>
          <t>Google Cloud WAF &gt; オペレーショナルエクセレンス &gt; Ensure operational readiness and performance using CloudOps &gt; Plan and manage capacity / Azure WA &gt; パフォーマンス効率 &gt; PE:02 Conduct capacity planning</t>
        </is>
      </c>
      <c r="I59" s="4" t="inlineStr">
        <is>
          <t>CLOUD-COMMON</t>
        </is>
      </c>
      <c r="J59" s="4" t="inlineStr">
        <is>
          <t>クラウドを利用する案件に適用。サービス特性・責任共有モデルに応じてN/A可。</t>
        </is>
      </c>
      <c r="K59" s="4" t="inlineStr">
        <is>
          <t>SRC-GCP-WAF;SRC-AZR-WAF</t>
        </is>
      </c>
      <c r="L59" s="4" t="inlineStr"/>
      <c r="M59" s="4" t="n"/>
      <c r="N59" s="4" t="n"/>
      <c r="O59" s="4" t="n"/>
      <c r="P59" s="4" t="n"/>
      <c r="Q59" s="4" t="n"/>
      <c r="R59" s="4" t="n"/>
      <c r="S59" s="4" t="n"/>
      <c r="T59" s="4" t="n"/>
      <c r="U59" s="4" t="n"/>
      <c r="V59" s="4" t="n"/>
      <c r="W59" s="4" t="n"/>
    </row>
    <row r="60">
      <c r="A60" s="5" t="inlineStr">
        <is>
          <t>CLD-057</t>
        </is>
      </c>
      <c r="B60" s="5" t="inlineStr">
        <is>
          <t>WAF</t>
        </is>
      </c>
      <c r="C60" s="4" t="inlineStr">
        <is>
          <t>パフォーマンス</t>
        </is>
      </c>
      <c r="D60" s="10" t="inlineStr">
        <is>
          <t>Medium</t>
        </is>
      </c>
      <c r="E60" s="4" t="inlineStr">
        <is>
          <t>性能を継続計測してベースラインと比較し、劣化・非効率・スケーリングギャップを検知できる仕組みがある</t>
        </is>
      </c>
      <c r="F60" s="4" t="inlineStr">
        <is>
          <t>性能メトリックの収集・ベースライン・劣化アラートの定義が存在する</t>
        </is>
      </c>
      <c r="G60" s="4" t="inlineStr">
        <is>
          <t>計測がないと徐々に進行する性能劣化を検知できない。</t>
        </is>
      </c>
      <c r="H60" s="4" t="inlineStr">
        <is>
          <t>Azure WA &gt; パフォーマンス効率 &gt; PE:04 Establish consistent performance measurement / PE:12 Continuously optimize performance</t>
        </is>
      </c>
      <c r="I60" s="4" t="inlineStr">
        <is>
          <t>CLOUD-COMMON</t>
        </is>
      </c>
      <c r="J60" s="4" t="inlineStr">
        <is>
          <t>クラウドを利用する案件に適用。サービス特性・責任共有モデルに応じてN/A可。</t>
        </is>
      </c>
      <c r="K60" s="4" t="inlineStr">
        <is>
          <t>SRC-AZR-WAF</t>
        </is>
      </c>
      <c r="L60" s="4" t="inlineStr"/>
      <c r="M60" s="4" t="n"/>
      <c r="N60" s="4" t="n"/>
      <c r="O60" s="4" t="n"/>
      <c r="P60" s="4" t="n"/>
      <c r="Q60" s="4" t="n"/>
      <c r="R60" s="4" t="n"/>
      <c r="S60" s="4" t="n"/>
      <c r="T60" s="4" t="n"/>
      <c r="U60" s="4" t="n"/>
      <c r="V60" s="4" t="n"/>
      <c r="W60" s="4" t="n"/>
    </row>
    <row r="61">
      <c r="A61" s="5" t="inlineStr">
        <is>
          <t>CLD-058</t>
        </is>
      </c>
      <c r="B61" s="5" t="inlineStr">
        <is>
          <t>WAF</t>
        </is>
      </c>
      <c r="C61" s="4" t="inlineStr">
        <is>
          <t>パフォーマンス</t>
        </is>
      </c>
      <c r="D61" s="11" t="inlineStr">
        <is>
          <t>Low</t>
        </is>
      </c>
      <c r="E61" s="4" t="inlineStr">
        <is>
          <t>バックアップ・スキャン・ローテーション・デプロイ等の定常運用タスクが本番性能へ与える影響を監視・最小化している</t>
        </is>
      </c>
      <c r="F61" s="4" t="inlineStr">
        <is>
          <t>運用タスクの実行時間帯・影響評価の記録がある</t>
        </is>
      </c>
      <c r="G61" s="4" t="inlineStr">
        <is>
          <t>運用タスクの無配慮な実行はピーク時間帯の性能劣化を引き起こす。</t>
        </is>
      </c>
      <c r="H61" s="4" t="inlineStr">
        <is>
          <t>Azure WA &gt; パフォーマンス効率 &gt; PE:10 Optimize operational tasks</t>
        </is>
      </c>
      <c r="I61" s="4" t="inlineStr">
        <is>
          <t>CLOUD-COMMON</t>
        </is>
      </c>
      <c r="J61" s="4" t="inlineStr">
        <is>
          <t>クラウドを利用する案件に適用。サービス特性・責任共有モデルに応じてN/A可。</t>
        </is>
      </c>
      <c r="K61" s="4" t="inlineStr">
        <is>
          <t>SRC-AZR-WAF</t>
        </is>
      </c>
      <c r="L61" s="4" t="inlineStr">
        <is>
          <t>CONTINUITY-BACKUP;OPS-OBSERVABILITY</t>
        </is>
      </c>
      <c r="M61" s="4" t="n"/>
      <c r="N61" s="4" t="n"/>
      <c r="O61" s="4" t="n"/>
      <c r="P61" s="4" t="n"/>
      <c r="Q61" s="4" t="n"/>
      <c r="R61" s="4" t="n"/>
      <c r="S61" s="4" t="n"/>
      <c r="T61" s="4" t="n"/>
      <c r="U61" s="4" t="n"/>
      <c r="V61" s="4" t="n"/>
      <c r="W61" s="4" t="n"/>
    </row>
    <row r="62">
      <c r="A62" s="5" t="inlineStr">
        <is>
          <t>CLD-059</t>
        </is>
      </c>
      <c r="B62" s="5" t="inlineStr">
        <is>
          <t>WAF</t>
        </is>
      </c>
      <c r="C62" s="4" t="inlineStr">
        <is>
          <t>持続可能性・ガバナンス</t>
        </is>
      </c>
      <c r="D62" s="9" t="inlineStr">
        <is>
          <t>High</t>
        </is>
      </c>
      <c r="E62" s="4" t="inlineStr">
        <is>
          <t>本番と非本番、ワークロード間が別のアカウント(サブスクリプション/プロジェクト/テナント区画)で分離され、爆発半径が限定されている</t>
        </is>
      </c>
      <c r="F62" s="4" t="inlineStr">
        <is>
          <t>環境ごとにアカウントが分かれ、組織管理サービスで一元統制されている</t>
        </is>
      </c>
      <c r="G62" s="4" t="inlineStr">
        <is>
          <t>同居環境は開発側の事故・侵害が本番へ直結する。</t>
        </is>
      </c>
      <c r="H62" s="4" t="inlineStr">
        <is>
          <t>AWS WA &gt; セキュリティ &gt; SEC01-BP01 Separate workloads using accounts</t>
        </is>
      </c>
      <c r="I62" s="4" t="inlineStr">
        <is>
          <t>CLOUD-COMMON</t>
        </is>
      </c>
      <c r="J62" s="4" t="inlineStr">
        <is>
          <t>クラウドを利用する案件に適用。サービス特性・責任共有モデルに応じてN/A可。</t>
        </is>
      </c>
      <c r="K62" s="4" t="inlineStr">
        <is>
          <t>SRC-AWS-WAF</t>
        </is>
      </c>
      <c r="L62" s="4" t="inlineStr"/>
      <c r="M62" s="4" t="n"/>
      <c r="N62" s="4" t="n"/>
      <c r="O62" s="4" t="n"/>
      <c r="P62" s="4" t="n"/>
      <c r="Q62" s="4" t="n"/>
      <c r="R62" s="4" t="n"/>
      <c r="S62" s="4" t="n"/>
      <c r="T62" s="4" t="n"/>
      <c r="U62" s="4" t="n"/>
      <c r="V62" s="4" t="n"/>
      <c r="W62" s="4" t="n"/>
    </row>
    <row r="63">
      <c r="A63" s="5" t="inlineStr">
        <is>
          <t>CLD-060</t>
        </is>
      </c>
      <c r="B63" s="5" t="inlineStr">
        <is>
          <t>WAF</t>
        </is>
      </c>
      <c r="C63" s="4" t="inlineStr">
        <is>
          <t>持続可能性・ガバナンス</t>
        </is>
      </c>
      <c r="D63" s="9" t="inlineStr">
        <is>
          <t>High</t>
        </is>
      </c>
      <c r="E63" s="4" t="inlineStr">
        <is>
          <t>組織全体に適用される予防的ガードレール(危険操作の拒否ポリシー)が設定され、テナント/アカウントの初期構成がガバナンス標準(ランディングゾーン)に基づいて標準化されている</t>
        </is>
      </c>
      <c r="F63" s="4" t="inlineStr">
        <is>
          <t>監査ログ無効化・未承認リージョン利用等を拒否する組織ポリシーが全アカウントに適用され、ID・ネットワーク・ログの標準構成がテンプレート化されている</t>
        </is>
      </c>
      <c r="G63" s="4" t="inlineStr">
        <is>
          <t>個別アカウントの統制任せでは1つのミスが組織全体のリスクとなり、無標準の環境構築はガバナンス欠如構成を量産する。</t>
        </is>
      </c>
      <c r="H63" s="4" t="inlineStr">
        <is>
          <t>AWS WA &gt; セキュリティ &gt; SEC03-BP05 Define permission guardrails for your organization / OCI WAF &gt; Get Started &gt; About Landing Zones and the OCI Well-Architected Pillars</t>
        </is>
      </c>
      <c r="I63" s="4" t="inlineStr">
        <is>
          <t>CLOUD-COMMON</t>
        </is>
      </c>
      <c r="J63" s="4" t="inlineStr">
        <is>
          <t>クラウドを利用する案件に適用。サービス特性・責任共有モデルに応じてN/A可。</t>
        </is>
      </c>
      <c r="K63" s="4" t="inlineStr">
        <is>
          <t>SRC-AWS-WAF;SRC-OCI-WAF</t>
        </is>
      </c>
      <c r="L63" s="4" t="inlineStr"/>
      <c r="M63" s="4" t="n"/>
      <c r="N63" s="4" t="n"/>
      <c r="O63" s="4" t="n"/>
      <c r="P63" s="4" t="n"/>
      <c r="Q63" s="4" t="n"/>
      <c r="R63" s="4" t="n"/>
      <c r="S63" s="4" t="n"/>
      <c r="T63" s="4" t="n"/>
      <c r="U63" s="4" t="n"/>
      <c r="V63" s="4" t="n"/>
      <c r="W63" s="4" t="n"/>
    </row>
    <row r="64">
      <c r="A64" s="5" t="inlineStr">
        <is>
          <t>CLD-061</t>
        </is>
      </c>
      <c r="B64" s="5" t="inlineStr">
        <is>
          <t>WAF</t>
        </is>
      </c>
      <c r="C64" s="4" t="inlineStr">
        <is>
          <t>持続可能性・ガバナンス</t>
        </is>
      </c>
      <c r="D64" s="9" t="inlineStr">
        <is>
          <t>High</t>
        </is>
      </c>
      <c r="E64" s="4" t="inlineStr">
        <is>
          <t>クラウド事業者と自社の責任分界(パッチ・バックアップ・監視・アクセス管理等)がサービス種別ごとに明文化され、自社責任項目に運用が割り当てられている</t>
        </is>
      </c>
      <c r="F64" s="4" t="inlineStr">
        <is>
          <t>利用サービスごとの責任分担表が存在し、自社責任の各項目に担当と手順が対応付いている</t>
        </is>
      </c>
      <c r="G64" s="4" t="inlineStr">
        <is>
          <t>責任の空白地帯(誰もやらない領域)は重大事故の典型的な原因である。</t>
        </is>
      </c>
      <c r="H64" s="4" t="inlineStr">
        <is>
          <t>OCI WAF &gt; Operational Efficiency &gt; About Best Practices for Operating Cloud Deployments Efficiently &gt; Identify Your Responsibilities</t>
        </is>
      </c>
      <c r="I64" s="4" t="inlineStr">
        <is>
          <t>CLOUD-COMMON</t>
        </is>
      </c>
      <c r="J64" s="4" t="inlineStr">
        <is>
          <t>クラウドを利用する案件に適用。サービス特性・責任共有モデルに応じてN/A可。</t>
        </is>
      </c>
      <c r="K64" s="4" t="inlineStr">
        <is>
          <t>SRC-OCI-WAF</t>
        </is>
      </c>
      <c r="L64" s="4" t="inlineStr">
        <is>
          <t>CONTINUITY-BACKUP;OPS-OBSERVABILITY</t>
        </is>
      </c>
      <c r="M64" s="4" t="n"/>
      <c r="N64" s="4" t="n"/>
      <c r="O64" s="4" t="n"/>
      <c r="P64" s="4" t="n"/>
      <c r="Q64" s="4" t="n"/>
      <c r="R64" s="4" t="n"/>
      <c r="S64" s="4" t="n"/>
      <c r="T64" s="4" t="n"/>
      <c r="U64" s="4" t="n"/>
      <c r="V64" s="4" t="n"/>
      <c r="W64" s="4" t="n"/>
    </row>
    <row r="65">
      <c r="A65" s="5" t="inlineStr">
        <is>
          <t>CLD-062</t>
        </is>
      </c>
      <c r="B65" s="5" t="inlineStr">
        <is>
          <t>WAF</t>
        </is>
      </c>
      <c r="C65" s="4" t="inlineStr">
        <is>
          <t>持続可能性・ガバナンス</t>
        </is>
      </c>
      <c r="D65" s="9" t="inlineStr">
        <is>
          <t>High</t>
        </is>
      </c>
      <c r="E65" s="4" t="inlineStr">
        <is>
          <t>適用される規制・基準が特定され、準拠状況が自動評価等で継続監視されている</t>
        </is>
      </c>
      <c r="F65" s="4" t="inlineStr">
        <is>
          <t>対象規制のリストと対応状況が文書化され、準拠状況の自動評価・逸脱検知の仕組みがある</t>
        </is>
      </c>
      <c r="G65" s="4" t="inlineStr">
        <is>
          <t>コンプライアンスを一度きりの対応にすると、構成変更で逸脱しても気づけない。</t>
        </is>
      </c>
      <c r="H65" s="4" t="inlineStr">
        <is>
          <t>Google Cloud WAF &gt; セキュリティ &gt; Meet regulatory, compliance, and privacy needs &gt; Assess your compliance needs / Monitor your compliance</t>
        </is>
      </c>
      <c r="I65" s="4" t="inlineStr">
        <is>
          <t>CLOUD-COMMON</t>
        </is>
      </c>
      <c r="J65" s="4" t="inlineStr">
        <is>
          <t>クラウドを利用する案件に適用。サービス特性・責任共有モデルに応じてN/A可。</t>
        </is>
      </c>
      <c r="K65" s="4" t="inlineStr">
        <is>
          <t>SRC-GCP-WAF</t>
        </is>
      </c>
      <c r="L65" s="4" t="inlineStr">
        <is>
          <t>OPS-OBSERVABILITY</t>
        </is>
      </c>
      <c r="M65" s="4" t="n"/>
      <c r="N65" s="4" t="n"/>
      <c r="O65" s="4" t="n"/>
      <c r="P65" s="4" t="n"/>
      <c r="Q65" s="4" t="n"/>
      <c r="R65" s="4" t="n"/>
      <c r="S65" s="4" t="n"/>
      <c r="T65" s="4" t="n"/>
      <c r="U65" s="4" t="n"/>
      <c r="V65" s="4" t="n"/>
      <c r="W65" s="4" t="n"/>
    </row>
    <row r="66">
      <c r="A66" s="5" t="inlineStr">
        <is>
          <t>CLD-063</t>
        </is>
      </c>
      <c r="B66" s="5" t="inlineStr">
        <is>
          <t>WAF</t>
        </is>
      </c>
      <c r="C66" s="4" t="inlineStr">
        <is>
          <t>持続可能性・ガバナンス</t>
        </is>
      </c>
      <c r="D66" s="10" t="inlineStr">
        <is>
          <t>Medium</t>
        </is>
      </c>
      <c r="E66" s="4" t="inlineStr">
        <is>
          <t>リージョン選定にデータ所在地規制・ユーザー近接性・DR要件が考慮され、データの保存場所が法令・契約要件に従って技術的に制約されている</t>
        </is>
      </c>
      <c r="F66" s="4" t="inlineStr">
        <is>
          <t>選定根拠の文書と規制要件との対応があり、保存先リージョンの制約が技術的に強制されている</t>
        </is>
      </c>
      <c r="G66" s="4" t="inlineStr">
        <is>
          <t>所在地統制の欠如は域外保存による法令・契約違反と、事後の高コストな移設を招く。</t>
        </is>
      </c>
      <c r="H66" s="4" t="inlineStr">
        <is>
          <t>Google Cloud WAF &gt; セキュリティ &gt; Meet regulatory, compliance, and privacy needs &gt; Control data residency / OCI WAF &gt; Operational Efficiency &gt; Plan Your Deployment Strategy &gt; Choose a Region Based on Your Customers and Data</t>
        </is>
      </c>
      <c r="I66" s="4" t="inlineStr">
        <is>
          <t>CLOUD-COMMON</t>
        </is>
      </c>
      <c r="J66" s="4" t="inlineStr">
        <is>
          <t>クラウドを利用する案件に適用。サービス特性・責任共有モデルに応じてN/A可。</t>
        </is>
      </c>
      <c r="K66" s="4" t="inlineStr">
        <is>
          <t>SRC-GCP-WAF;SRC-OCI-WAF</t>
        </is>
      </c>
      <c r="L66" s="4" t="inlineStr">
        <is>
          <t>CONTINUITY-DR</t>
        </is>
      </c>
      <c r="M66" s="4" t="n"/>
      <c r="N66" s="4" t="n"/>
      <c r="O66" s="4" t="n"/>
      <c r="P66" s="4" t="n"/>
      <c r="Q66" s="4" t="n"/>
      <c r="R66" s="4" t="n"/>
      <c r="S66" s="4" t="n"/>
      <c r="T66" s="4" t="n"/>
      <c r="U66" s="4" t="n"/>
      <c r="V66" s="4" t="n"/>
      <c r="W66" s="4" t="n"/>
    </row>
    <row r="67">
      <c r="A67" s="5" t="inlineStr">
        <is>
          <t>CLD-064</t>
        </is>
      </c>
      <c r="B67" s="5" t="inlineStr">
        <is>
          <t>WAF</t>
        </is>
      </c>
      <c r="C67" s="4" t="inlineStr">
        <is>
          <t>持続可能性・ガバナンス</t>
        </is>
      </c>
      <c r="D67" s="11" t="inlineStr">
        <is>
          <t>Low</t>
        </is>
      </c>
      <c r="E67" s="4" t="inlineStr">
        <is>
          <t>クラウド利用の環境影響(エネルギー・炭素)に関する目標が設定され、未使用削減・効率化・最新化による改善が継続されている</t>
        </is>
      </c>
      <c r="F67" s="4" t="inlineStr">
        <is>
          <t>持続可能性目標が文書化され、定期的な改善活動の記録がある</t>
        </is>
      </c>
      <c r="G67" s="4" t="inlineStr">
        <is>
          <t>目標なき環境負荷は可視化されず、組織のESG要求と乖離していく。</t>
        </is>
      </c>
      <c r="H67" s="4" t="inlineStr">
        <is>
          <t>AWS WA &gt; 持続可能性 &gt; SUS06-BP01 Communicate and cascade your sustainability goals</t>
        </is>
      </c>
      <c r="I67" s="4" t="inlineStr">
        <is>
          <t>CLOUD-COMMON</t>
        </is>
      </c>
      <c r="J67" s="4" t="inlineStr">
        <is>
          <t>クラウドを利用する案件に適用。サービス特性・責任共有モデルに応じてN/A可。</t>
        </is>
      </c>
      <c r="K67" s="4" t="inlineStr">
        <is>
          <t>SRC-AWS-WAF</t>
        </is>
      </c>
      <c r="L67" s="4" t="inlineStr"/>
      <c r="M67" s="4" t="n"/>
      <c r="N67" s="4" t="n"/>
      <c r="O67" s="4" t="n"/>
      <c r="P67" s="4" t="n"/>
      <c r="Q67" s="4" t="n"/>
      <c r="R67" s="4" t="n"/>
      <c r="S67" s="4" t="n"/>
      <c r="T67" s="4" t="n"/>
      <c r="U67" s="4" t="n"/>
      <c r="V67" s="4" t="n"/>
      <c r="W67" s="4" t="n"/>
    </row>
  </sheetData>
  <autoFilter ref="A1:W67"/>
  <conditionalFormatting sqref="O2:O2000">
    <cfRule type="cellIs" priority="1" operator="equal" dxfId="0">
      <formula>"Fail"</formula>
    </cfRule>
    <cfRule type="cellIs" priority="2" operator="equal" dxfId="1">
      <formula>"Pass"</formula>
    </cfRule>
    <cfRule type="cellIs" priority="4" operator="equal" dxfId="0">
      <formula>"Fail"</formula>
    </cfRule>
    <cfRule type="cellIs" priority="5" operator="equal" dxfId="1">
      <formula>"Pass"</formula>
    </cfRule>
    <cfRule type="cellIs" priority="7" operator="equal" dxfId="0">
      <formula>"Fail"</formula>
    </cfRule>
    <cfRule type="cellIs" priority="8" operator="equal" dxfId="1">
      <formula>"Pass"</formula>
    </cfRule>
    <cfRule type="cellIs" priority="10" operator="equal" dxfId="0">
      <formula>"Fail"</formula>
    </cfRule>
    <cfRule type="cellIs" priority="11" operator="equal" dxfId="1">
      <formula>"Pass"</formula>
    </cfRule>
    <cfRule type="cellIs" priority="13" operator="equal" dxfId="0">
      <formula>"Fail"</formula>
    </cfRule>
    <cfRule type="cellIs" priority="14" operator="equal" dxfId="1">
      <formula>"Pass"</formula>
    </cfRule>
  </conditionalFormatting>
  <conditionalFormatting sqref="N2:N2000">
    <cfRule type="cellIs" priority="3" operator="equal" dxfId="2">
      <formula>"N/A"</formula>
    </cfRule>
    <cfRule type="cellIs" priority="6" operator="equal" dxfId="2">
      <formula>"N/A"</formula>
    </cfRule>
    <cfRule type="cellIs" priority="9" operator="equal" dxfId="2">
      <formula>"N/A"</formula>
    </cfRule>
    <cfRule type="cellIs" priority="12" operator="equal" dxfId="2">
      <formula>"N/A"</formula>
    </cfRule>
    <cfRule type="cellIs" priority="15" operator="equal" dxfId="2">
      <formula>"N/A"</formula>
    </cfRule>
  </conditionalFormatting>
  <dataValidations count="20">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s>
  <pageMargins left="0.75" right="0.75" top="1" bottom="1" header="0.5" footer="0.5"/>
  <pageSetup orientation="landscape" fitToWidth="1"/>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W130"/>
  <sheetViews>
    <sheetView workbookViewId="0">
      <pane xSplit="4" ySplit="1" topLeftCell="E2"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4" customWidth="1" min="1" max="1"/>
    <col width="14" customWidth="1" min="2" max="2"/>
    <col width="28" customWidth="1" min="3" max="3"/>
    <col width="12" customWidth="1" min="4" max="4"/>
    <col width="46" customWidth="1" min="5" max="5"/>
    <col width="52" customWidth="1" min="6" max="6"/>
    <col width="48" customWidth="1" min="7" max="7"/>
    <col width="46" customWidth="1" min="8" max="8"/>
    <col width="18" customWidth="1" min="9" max="9"/>
    <col width="38" customWidth="1" min="10" max="10"/>
    <col width="28" customWidth="1" min="11" max="11"/>
    <col width="25" customWidth="1" min="12" max="12"/>
    <col width="13" customWidth="1" min="13" max="13"/>
    <col width="12" customWidth="1" min="14" max="14"/>
    <col width="12" customWidth="1" min="15" max="15"/>
    <col width="38" customWidth="1" min="16" max="16"/>
    <col width="24" customWidth="1" min="17" max="17"/>
    <col width="30" customWidth="1" min="18" max="18"/>
    <col width="23" customWidth="1" min="19" max="19"/>
    <col width="15" customWidth="1" min="20" max="20"/>
    <col width="18" customWidth="1" min="21" max="21"/>
    <col width="15" customWidth="1" min="22" max="22"/>
    <col width="15" customWidth="1" min="23" max="23"/>
  </cols>
  <sheetData>
    <row r="1">
      <c r="A1" s="3" t="inlineStr">
        <is>
          <t>ID</t>
        </is>
      </c>
      <c r="B1" s="3" t="inlineStr">
        <is>
          <t>区分</t>
        </is>
      </c>
      <c r="C1" s="3" t="inlineStr">
        <is>
          <t>カテゴリ</t>
        </is>
      </c>
      <c r="D1" s="3" t="inlineStr">
        <is>
          <t>基準重要度</t>
        </is>
      </c>
      <c r="E1" s="3" t="inlineStr">
        <is>
          <t>チェック項目</t>
        </is>
      </c>
      <c r="F1" s="3" t="inlineStr">
        <is>
          <t>合格基準</t>
        </is>
      </c>
      <c r="G1" s="3" t="inlineStr">
        <is>
          <t>意図(なぜ確認するか)</t>
        </is>
      </c>
      <c r="H1" s="3" t="inlineStr">
        <is>
          <t>対象ドキュメント(参照箇所)</t>
        </is>
      </c>
      <c r="I1" s="21" t="inlineStr">
        <is>
          <t>適用プロファイル</t>
        </is>
      </c>
      <c r="J1" s="21" t="inlineStr">
        <is>
          <t>適用条件</t>
        </is>
      </c>
      <c r="K1" s="21" t="inlineStr">
        <is>
          <t>出典ID</t>
        </is>
      </c>
      <c r="L1" s="21" t="inlineStr">
        <is>
          <t>重複統制グループ</t>
        </is>
      </c>
      <c r="M1" s="21" t="inlineStr">
        <is>
          <t>案件重要度</t>
        </is>
      </c>
      <c r="N1" s="21" t="inlineStr">
        <is>
          <t>適用判定</t>
        </is>
      </c>
      <c r="O1" s="21" t="inlineStr">
        <is>
          <t>判定</t>
        </is>
      </c>
      <c r="P1" s="21" t="inlineStr">
        <is>
          <t>証跡・参照箇所</t>
        </is>
      </c>
      <c r="Q1" s="21" t="inlineStr">
        <is>
          <t>指摘・Issue ID</t>
        </is>
      </c>
      <c r="R1" s="21" t="inlineStr">
        <is>
          <t>対応方針</t>
        </is>
      </c>
      <c r="S1" s="21" t="inlineStr">
        <is>
          <t>例外・リスク受容承認者</t>
        </is>
      </c>
      <c r="T1" s="21" t="inlineStr">
        <is>
          <t>是正期限</t>
        </is>
      </c>
      <c r="U1" s="21" t="inlineStr">
        <is>
          <t>レビュアー</t>
        </is>
      </c>
      <c r="V1" s="21" t="inlineStr">
        <is>
          <t>レビュー日</t>
        </is>
      </c>
      <c r="W1" s="21" t="inlineStr">
        <is>
          <t>再確認結果</t>
        </is>
      </c>
    </row>
    <row r="2">
      <c r="A2" s="5" t="inlineStr">
        <is>
          <t>AWS-001</t>
        </is>
      </c>
      <c r="B2" s="5" t="inlineStr">
        <is>
          <t>WAF</t>
        </is>
      </c>
      <c r="C2" s="4" t="inlineStr">
        <is>
          <t>運用上の優秀性 / Operational Excellence</t>
        </is>
      </c>
      <c r="D2" s="9" t="inlineStr">
        <is>
          <t>High</t>
        </is>
      </c>
      <c r="E2" s="4" t="inlineStr">
        <is>
          <t>インフラ定義(CloudFormation/CDK/Terraform等のIaCテンプレート)と運用スクリプトがバージョン管理(Git/CodeCommit等)されている</t>
        </is>
      </c>
      <c r="F2" s="4" t="inlineStr">
        <is>
          <t>本番環境を構成する全リソースがIaCコードから再現可能で、そのコードがバージョン管理リポジトリで変更履歴を追跡できる</t>
        </is>
      </c>
      <c r="G2" s="4" t="inlineStr">
        <is>
          <t>手動構築や未管理の変更は環境の再現・ロールバックを不可能にし、障害復旧を遅らせる。</t>
        </is>
      </c>
      <c r="H2" s="4" t="inlineStr">
        <is>
          <t>AWS Well-Architected Framework &gt; 運用上の優秀性の柱 &gt; OPS 5 &gt; OPS05-BP01 Use version control</t>
        </is>
      </c>
      <c r="I2" s="4" t="inlineStr">
        <is>
          <t>AWS-DELTA</t>
        </is>
      </c>
      <c r="J2" s="4" t="inlineStr">
        <is>
          <t>AWS採用時に、CLOUD-COMMONで未評価のAWS固有差分へ適用。</t>
        </is>
      </c>
      <c r="K2" s="4" t="inlineStr">
        <is>
          <t>SRC-AWS-WAF</t>
        </is>
      </c>
      <c r="L2" s="4" t="inlineStr">
        <is>
          <t>OPS-IAC</t>
        </is>
      </c>
      <c r="M2" s="4" t="n"/>
      <c r="N2" s="4" t="n"/>
      <c r="O2" s="4" t="n"/>
      <c r="P2" s="4" t="n"/>
      <c r="Q2" s="4" t="n"/>
      <c r="R2" s="4" t="n"/>
      <c r="S2" s="4" t="n"/>
      <c r="T2" s="4" t="n"/>
      <c r="U2" s="4" t="n"/>
      <c r="V2" s="4" t="n"/>
      <c r="W2" s="4" t="n"/>
    </row>
    <row r="3">
      <c r="A3" s="5" t="inlineStr">
        <is>
          <t>AWS-002</t>
        </is>
      </c>
      <c r="B3" s="5" t="inlineStr">
        <is>
          <t>WAF</t>
        </is>
      </c>
      <c r="C3" s="4" t="inlineStr">
        <is>
          <t>運用上の優秀性 / Operational Excellence</t>
        </is>
      </c>
      <c r="D3" s="10" t="inlineStr">
        <is>
          <t>Medium</t>
        </is>
      </c>
      <c r="E3" s="4" t="inlineStr">
        <is>
          <t>ビルド・デプロイがCodeBuild/CodePipeline等のビルド・デプロイ管理システムで実行され、手動デプロイを排除している</t>
        </is>
      </c>
      <c r="F3" s="4" t="inlineStr">
        <is>
          <t>本番へのデプロイがパイプライン経由のみで行われ、手動デプロイの実績がない(緊急手順を除き手順書で禁止されている)</t>
        </is>
      </c>
      <c r="G3" s="4" t="inlineStr">
        <is>
          <t>手動デプロイは構成差異とヒューマンエラーを生み、デプロイ起因の障害率を高める。</t>
        </is>
      </c>
      <c r="H3" s="4" t="inlineStr">
        <is>
          <t>AWS Well-Architected Framework &gt; 運用上の優秀性の柱 &gt; OPS 5 &gt; OPS05-BP04 Use build and deployment management systems</t>
        </is>
      </c>
      <c r="I3" s="4" t="inlineStr">
        <is>
          <t>AWS-DELTA</t>
        </is>
      </c>
      <c r="J3" s="4" t="inlineStr">
        <is>
          <t>AWS採用時に、CLOUD-COMMONで未評価のAWS固有差分へ適用。</t>
        </is>
      </c>
      <c r="K3" s="4" t="inlineStr">
        <is>
          <t>SRC-AWS-WAF</t>
        </is>
      </c>
      <c r="L3" s="4" t="inlineStr"/>
      <c r="M3" s="4" t="n"/>
      <c r="N3" s="4" t="n"/>
      <c r="O3" s="4" t="n"/>
      <c r="P3" s="4" t="n"/>
      <c r="Q3" s="4" t="n"/>
      <c r="R3" s="4" t="n"/>
      <c r="S3" s="4" t="n"/>
      <c r="T3" s="4" t="n"/>
      <c r="U3" s="4" t="n"/>
      <c r="V3" s="4" t="n"/>
      <c r="W3" s="4" t="n"/>
    </row>
    <row r="4">
      <c r="A4" s="5" t="inlineStr">
        <is>
          <t>AWS-003</t>
        </is>
      </c>
      <c r="B4" s="5" t="inlineStr">
        <is>
          <t>WAF</t>
        </is>
      </c>
      <c r="C4" s="4" t="inlineStr">
        <is>
          <t>運用上の優秀性 / Operational Excellence</t>
        </is>
      </c>
      <c r="D4" s="9" t="inlineStr">
        <is>
          <t>High</t>
        </is>
      </c>
      <c r="E4" s="4" t="inlineStr">
        <is>
          <t>アプリケーションがCloudWatchメトリクス/ログ(またはCloudWatch Agent/Embedded Metric Format)でテレメトリを送信している</t>
        </is>
      </c>
      <c r="F4" s="4" t="inlineStr">
        <is>
          <t>主要コンポーネントごとにメトリクスとログがCloudWatchに集約され、ワークロードの状態を示すKPIが計測されている</t>
        </is>
      </c>
      <c r="G4" s="4" t="inlineStr">
        <is>
          <t>テレメトリがないと障害の検知・切り分けができず、MTTRが増大する。</t>
        </is>
      </c>
      <c r="H4" s="4" t="inlineStr">
        <is>
          <t>AWS Well-Architected Framework &gt; 運用上の優秀性の柱 &gt; OPS 4 &gt; OPS04-BP02 Implement application telemetry</t>
        </is>
      </c>
      <c r="I4" s="4" t="inlineStr">
        <is>
          <t>AWS-DELTA</t>
        </is>
      </c>
      <c r="J4" s="4" t="inlineStr">
        <is>
          <t>AWS採用時に、CLOUD-COMMONで未評価のAWS固有差分へ適用。</t>
        </is>
      </c>
      <c r="K4" s="4" t="inlineStr">
        <is>
          <t>SRC-AWS-WAF</t>
        </is>
      </c>
      <c r="L4" s="4" t="inlineStr">
        <is>
          <t>OPS-OBSERVABILITY</t>
        </is>
      </c>
      <c r="M4" s="4" t="n"/>
      <c r="N4" s="4" t="n"/>
      <c r="O4" s="4" t="n"/>
      <c r="P4" s="4" t="n"/>
      <c r="Q4" s="4" t="n"/>
      <c r="R4" s="4" t="n"/>
      <c r="S4" s="4" t="n"/>
      <c r="T4" s="4" t="n"/>
      <c r="U4" s="4" t="n"/>
      <c r="V4" s="4" t="n"/>
      <c r="W4" s="4" t="n"/>
    </row>
    <row r="5">
      <c r="A5" s="5" t="inlineStr">
        <is>
          <t>AWS-004</t>
        </is>
      </c>
      <c r="B5" s="5" t="inlineStr">
        <is>
          <t>WAF</t>
        </is>
      </c>
      <c r="C5" s="4" t="inlineStr">
        <is>
          <t>運用上の優秀性 / Operational Excellence</t>
        </is>
      </c>
      <c r="D5" s="10" t="inlineStr">
        <is>
          <t>Medium</t>
        </is>
      </c>
      <c r="E5" s="4" t="inlineStr">
        <is>
          <t>マイクロサービス/分散構成でAWS X-Ray等による分散トレーシングを実装している</t>
        </is>
      </c>
      <c r="F5" s="4" t="inlineStr">
        <is>
          <t>サービス間リクエストにトレースIDが伝播し、X-Ray(またはOpenTelemetry互換基盤)でエンドツーエンドのトレースを参照できる</t>
        </is>
      </c>
      <c r="G5" s="4" t="inlineStr">
        <is>
          <t>分散システムでは単一サービスのログだけでは遅延・エラーの発生箇所を特定できない。</t>
        </is>
      </c>
      <c r="H5" s="4" t="inlineStr">
        <is>
          <t>AWS Well-Architected Framework &gt; 運用上の優秀性の柱 &gt; OPS 4 &gt; OPS04-BP05 Implement distributed tracing</t>
        </is>
      </c>
      <c r="I5" s="4" t="inlineStr">
        <is>
          <t>AWS-DELTA</t>
        </is>
      </c>
      <c r="J5" s="4" t="inlineStr">
        <is>
          <t>AWS採用時に、CLOUD-COMMONで未評価のAWS固有差分へ適用。</t>
        </is>
      </c>
      <c r="K5" s="4" t="inlineStr">
        <is>
          <t>SRC-AWS-WAF</t>
        </is>
      </c>
      <c r="L5" s="4" t="inlineStr"/>
      <c r="M5" s="4" t="n"/>
      <c r="N5" s="4" t="n"/>
      <c r="O5" s="4" t="n"/>
      <c r="P5" s="4" t="n"/>
      <c r="Q5" s="4" t="n"/>
      <c r="R5" s="4" t="n"/>
      <c r="S5" s="4" t="n"/>
      <c r="T5" s="4" t="n"/>
      <c r="U5" s="4" t="n"/>
      <c r="V5" s="4" t="n"/>
      <c r="W5" s="4" t="n"/>
    </row>
    <row r="6">
      <c r="A6" s="5" t="inlineStr">
        <is>
          <t>AWS-005</t>
        </is>
      </c>
      <c r="B6" s="5" t="inlineStr">
        <is>
          <t>WAF</t>
        </is>
      </c>
      <c r="C6" s="4" t="inlineStr">
        <is>
          <t>運用上の優秀性 / Operational Excellence</t>
        </is>
      </c>
      <c r="D6" s="9" t="inlineStr">
        <is>
          <t>High</t>
        </is>
      </c>
      <c r="E6" s="4" t="inlineStr">
        <is>
          <t>CloudWatchアラームがアクション可能(閾値の根拠があり、対応手順に紐づく)に定義され、通知先が明確である</t>
        </is>
      </c>
      <c r="F6" s="4" t="inlineStr">
        <is>
          <t>全アラームに対応手順(Runbook/エスカレーション先)が紐づき、恒常的に無視されるアラームが存在しない</t>
        </is>
      </c>
      <c r="G6" s="4" t="inlineStr">
        <is>
          <t>アクション不能なアラームはアラート疲れを起こし、重大イベントの見逃しにつながる。</t>
        </is>
      </c>
      <c r="H6" s="4" t="inlineStr">
        <is>
          <t>AWS Well-Architected Framework &gt; 運用上の優秀性の柱 &gt; OPS 8 &gt; OPS08-BP04 Create actionable alerts</t>
        </is>
      </c>
      <c r="I6" s="4" t="inlineStr">
        <is>
          <t>AWS-DELTA</t>
        </is>
      </c>
      <c r="J6" s="4" t="inlineStr">
        <is>
          <t>AWS採用時に、CLOUD-COMMONで未評価のAWS固有差分へ適用。</t>
        </is>
      </c>
      <c r="K6" s="4" t="inlineStr">
        <is>
          <t>SRC-AWS-WAF</t>
        </is>
      </c>
      <c r="L6" s="4" t="inlineStr"/>
      <c r="M6" s="4" t="n"/>
      <c r="N6" s="4" t="n"/>
      <c r="O6" s="4" t="n"/>
      <c r="P6" s="4" t="n"/>
      <c r="Q6" s="4" t="n"/>
      <c r="R6" s="4" t="n"/>
      <c r="S6" s="4" t="n"/>
      <c r="T6" s="4" t="n"/>
      <c r="U6" s="4" t="n"/>
      <c r="V6" s="4" t="n"/>
      <c r="W6" s="4" t="n"/>
    </row>
    <row r="7">
      <c r="A7" s="5" t="inlineStr">
        <is>
          <t>AWS-006</t>
        </is>
      </c>
      <c r="B7" s="5" t="inlineStr">
        <is>
          <t>WAF</t>
        </is>
      </c>
      <c r="C7" s="4" t="inlineStr">
        <is>
          <t>運用上の優秀性 / Operational Excellence</t>
        </is>
      </c>
      <c r="D7" s="11" t="inlineStr">
        <is>
          <t>Low</t>
        </is>
      </c>
      <c r="E7" s="4" t="inlineStr">
        <is>
          <t>CloudWatchダッシュボードでワークロードの健全性(ビジネスKPI含む)を可視化している</t>
        </is>
      </c>
      <c r="F7" s="4" t="inlineStr">
        <is>
          <t>運用チームが参照するダッシュボードが存在し、主要メトリクスと稼働状況が一目で確認できる</t>
        </is>
      </c>
      <c r="G7" s="4" t="inlineStr">
        <is>
          <t>状態の可視化がないと障害時の状況把握と関係者への共有が遅れる。</t>
        </is>
      </c>
      <c r="H7" s="4" t="inlineStr">
        <is>
          <t>AWS Well-Architected Framework &gt; 運用上の優秀性の柱 &gt; OPS 8 &gt; OPS08-BP05 Create dashboards</t>
        </is>
      </c>
      <c r="I7" s="4" t="inlineStr">
        <is>
          <t>AWS-DELTA</t>
        </is>
      </c>
      <c r="J7" s="4" t="inlineStr">
        <is>
          <t>AWS採用時に、CLOUD-COMMONで未評価のAWS固有差分へ適用。</t>
        </is>
      </c>
      <c r="K7" s="4" t="inlineStr">
        <is>
          <t>SRC-AWS-WAF</t>
        </is>
      </c>
      <c r="L7" s="4" t="inlineStr"/>
      <c r="M7" s="4" t="n"/>
      <c r="N7" s="4" t="n"/>
      <c r="O7" s="4" t="n"/>
      <c r="P7" s="4" t="n"/>
      <c r="Q7" s="4" t="n"/>
      <c r="R7" s="4" t="n"/>
      <c r="S7" s="4" t="n"/>
      <c r="T7" s="4" t="n"/>
      <c r="U7" s="4" t="n"/>
      <c r="V7" s="4" t="n"/>
      <c r="W7" s="4" t="n"/>
    </row>
    <row r="8">
      <c r="A8" s="5" t="inlineStr">
        <is>
          <t>AWS-007</t>
        </is>
      </c>
      <c r="B8" s="5" t="inlineStr">
        <is>
          <t>WAF</t>
        </is>
      </c>
      <c r="C8" s="4" t="inlineStr">
        <is>
          <t>運用上の優秀性 / Operational Excellence</t>
        </is>
      </c>
      <c r="D8" s="9" t="inlineStr">
        <is>
          <t>High</t>
        </is>
      </c>
      <c r="E8" s="4" t="inlineStr">
        <is>
          <t>CodeDeploy等を用いたカナリア/ブルーグリーン/ローリング等の安全なデプロイ戦略を採用している</t>
        </is>
      </c>
      <c r="F8" s="4" t="inlineStr">
        <is>
          <t>本番デプロイが段階的リリース方式で行われ、異常時に旧バージョンへ切り戻せることが文書化・実証されている</t>
        </is>
      </c>
      <c r="G8" s="4" t="inlineStr">
        <is>
          <t>一括置換デプロイは不具合発生時に全ユーザーへ影響が及び、復旧に時間がかかる。</t>
        </is>
      </c>
      <c r="H8" s="4" t="inlineStr">
        <is>
          <t>AWS Well-Architected Framework &gt; 運用上の優秀性の柱 &gt; OPS 6 &gt; OPS06-BP03 Employ safe deployment strategies</t>
        </is>
      </c>
      <c r="I8" s="4" t="inlineStr">
        <is>
          <t>AWS-DELTA</t>
        </is>
      </c>
      <c r="J8" s="4" t="inlineStr">
        <is>
          <t>AWS採用時に、CLOUD-COMMONで未評価のAWS固有差分へ適用。</t>
        </is>
      </c>
      <c r="K8" s="4" t="inlineStr">
        <is>
          <t>SRC-AWS-WAF</t>
        </is>
      </c>
      <c r="L8" s="4" t="inlineStr"/>
      <c r="M8" s="4" t="n"/>
      <c r="N8" s="4" t="n"/>
      <c r="O8" s="4" t="n"/>
      <c r="P8" s="4" t="n"/>
      <c r="Q8" s="4" t="n"/>
      <c r="R8" s="4" t="n"/>
      <c r="S8" s="4" t="n"/>
      <c r="T8" s="4" t="n"/>
      <c r="U8" s="4" t="n"/>
      <c r="V8" s="4" t="n"/>
      <c r="W8" s="4" t="n"/>
    </row>
    <row r="9">
      <c r="A9" s="5" t="inlineStr">
        <is>
          <t>AWS-008</t>
        </is>
      </c>
      <c r="B9" s="5" t="inlineStr">
        <is>
          <t>WAF</t>
        </is>
      </c>
      <c r="C9" s="4" t="inlineStr">
        <is>
          <t>運用上の優秀性 / Operational Excellence</t>
        </is>
      </c>
      <c r="D9" s="9" t="inlineStr">
        <is>
          <t>High</t>
        </is>
      </c>
      <c r="E9" s="4" t="inlineStr">
        <is>
          <t>デプロイパイプラインにテストとロールバックの自動化が組み込まれている</t>
        </is>
      </c>
      <c r="F9" s="4" t="inlineStr">
        <is>
          <t>パイプライン内で自動テストが実行され、失敗またはアラーム検知時に自動ロールバックが発動する設定になっている</t>
        </is>
      </c>
      <c r="G9" s="4" t="inlineStr">
        <is>
          <t>自動ロールバックがないと、深夜・休日のデプロイ障害で人手による復旧待ちが発生し停止が長引く。</t>
        </is>
      </c>
      <c r="H9" s="4" t="inlineStr">
        <is>
          <t>AWS Well-Architected Framework &gt; 運用上の優秀性の柱 &gt; OPS 6 &gt; OPS06-BP04 Automate testing and rollback</t>
        </is>
      </c>
      <c r="I9" s="4" t="inlineStr">
        <is>
          <t>AWS-DELTA</t>
        </is>
      </c>
      <c r="J9" s="4" t="inlineStr">
        <is>
          <t>AWS採用時に、CLOUD-COMMONで未評価のAWS固有差分へ適用。</t>
        </is>
      </c>
      <c r="K9" s="4" t="inlineStr">
        <is>
          <t>SRC-AWS-WAF</t>
        </is>
      </c>
      <c r="L9" s="4" t="inlineStr"/>
      <c r="M9" s="4" t="n"/>
      <c r="N9" s="4" t="n"/>
      <c r="O9" s="4" t="n"/>
      <c r="P9" s="4" t="n"/>
      <c r="Q9" s="4" t="n"/>
      <c r="R9" s="4" t="n"/>
      <c r="S9" s="4" t="n"/>
      <c r="T9" s="4" t="n"/>
      <c r="U9" s="4" t="n"/>
      <c r="V9" s="4" t="n"/>
      <c r="W9" s="4" t="n"/>
    </row>
    <row r="10">
      <c r="A10" s="5" t="inlineStr">
        <is>
          <t>AWS-009</t>
        </is>
      </c>
      <c r="B10" s="5" t="inlineStr">
        <is>
          <t>WAF</t>
        </is>
      </c>
      <c r="C10" s="4" t="inlineStr">
        <is>
          <t>運用上の優秀性 / Operational Excellence</t>
        </is>
      </c>
      <c r="D10" s="10" t="inlineStr">
        <is>
          <t>Medium</t>
        </is>
      </c>
      <c r="E10" s="4" t="inlineStr">
        <is>
          <t>定型運用手順がRunbook(SSMドキュメント等)として整備され、可能な範囲で自動化されている</t>
        </is>
      </c>
      <c r="F10" s="4" t="inlineStr">
        <is>
          <t>デプロイ・再起動・スケール変更等の定型作業にRunbookが存在し、最新の環境で検証済みである</t>
        </is>
      </c>
      <c r="G10" s="4" t="inlineStr">
        <is>
          <t>手順が属人化していると、担当者不在時にオペレーションミスや対応遅延が発生する。</t>
        </is>
      </c>
      <c r="H10" s="4" t="inlineStr">
        <is>
          <t>AWS Well-Architected Framework &gt; 運用上の優秀性の柱 &gt; OPS 7 &gt; OPS07-BP03 Use runbooks to perform procedures</t>
        </is>
      </c>
      <c r="I10" s="4" t="inlineStr">
        <is>
          <t>AWS-DELTA</t>
        </is>
      </c>
      <c r="J10" s="4" t="inlineStr">
        <is>
          <t>AWS採用時に、CLOUD-COMMONで未評価のAWS固有差分へ適用。</t>
        </is>
      </c>
      <c r="K10" s="4" t="inlineStr">
        <is>
          <t>SRC-AWS-WAF</t>
        </is>
      </c>
      <c r="L10" s="4" t="inlineStr"/>
      <c r="M10" s="4" t="n"/>
      <c r="N10" s="4" t="n"/>
      <c r="O10" s="4" t="n"/>
      <c r="P10" s="4" t="n"/>
      <c r="Q10" s="4" t="n"/>
      <c r="R10" s="4" t="n"/>
      <c r="S10" s="4" t="n"/>
      <c r="T10" s="4" t="n"/>
      <c r="U10" s="4" t="n"/>
      <c r="V10" s="4" t="n"/>
      <c r="W10" s="4" t="n"/>
    </row>
    <row r="11">
      <c r="A11" s="5" t="inlineStr">
        <is>
          <t>AWS-010</t>
        </is>
      </c>
      <c r="B11" s="5" t="inlineStr">
        <is>
          <t>WAF</t>
        </is>
      </c>
      <c r="C11" s="4" t="inlineStr">
        <is>
          <t>運用上の優秀性 / Operational Excellence</t>
        </is>
      </c>
      <c r="D11" s="10" t="inlineStr">
        <is>
          <t>Medium</t>
        </is>
      </c>
      <c r="E11" s="4" t="inlineStr">
        <is>
          <t>本番ワークロードに対して適切なAWSサポートプラン(Business以上)が契約されている</t>
        </is>
      </c>
      <c r="F11" s="4" t="inlineStr">
        <is>
          <t>本番アカウントにBusiness/Enterprise等のサポートプランが有効で、AWSへのエスカレーション手順が運用文書に記載されている</t>
        </is>
      </c>
      <c r="G11" s="4" t="inlineStr">
        <is>
          <t>サポートプランがないとAWS基盤側の障害・不明事象で技術支援を受けられず、復旧が長期化する。</t>
        </is>
      </c>
      <c r="H11" s="4" t="inlineStr">
        <is>
          <t>AWS Well-Architected Framework &gt; 運用上の優秀性の柱 &gt; OPS 7 &gt; OPS07-BP06 Create support plans for production workloads</t>
        </is>
      </c>
      <c r="I11" s="4" t="inlineStr">
        <is>
          <t>AWS-DELTA</t>
        </is>
      </c>
      <c r="J11" s="4" t="inlineStr">
        <is>
          <t>AWS採用時に、CLOUD-COMMONで未評価のAWS固有差分へ適用。</t>
        </is>
      </c>
      <c r="K11" s="4" t="inlineStr">
        <is>
          <t>SRC-AWS-WAF</t>
        </is>
      </c>
      <c r="L11" s="4" t="inlineStr"/>
      <c r="M11" s="4" t="n"/>
      <c r="N11" s="4" t="n"/>
      <c r="O11" s="4" t="n"/>
      <c r="P11" s="4" t="n"/>
      <c r="Q11" s="4" t="n"/>
      <c r="R11" s="4" t="n"/>
      <c r="S11" s="4" t="n"/>
      <c r="T11" s="4" t="n"/>
      <c r="U11" s="4" t="n"/>
      <c r="V11" s="4" t="n"/>
      <c r="W11" s="4" t="n"/>
    </row>
    <row r="12">
      <c r="A12" s="5" t="inlineStr">
        <is>
          <t>AWS-011</t>
        </is>
      </c>
      <c r="B12" s="5" t="inlineStr">
        <is>
          <t>WAF</t>
        </is>
      </c>
      <c r="C12" s="4" t="inlineStr">
        <is>
          <t>運用上の優秀性 / Operational Excellence</t>
        </is>
      </c>
      <c r="D12" s="10" t="inlineStr">
        <is>
          <t>Medium</t>
        </is>
      </c>
      <c r="E12" s="4" t="inlineStr">
        <is>
          <t>インシデント後にポストインシデント分析(事後分析)を実施し、再発防止策を追跡する仕組みがある</t>
        </is>
      </c>
      <c r="F12" s="4" t="inlineStr">
        <is>
          <t>重大インシデントごとに事後分析記録が作成され、是正アクションが期限付きで管理されている</t>
        </is>
      </c>
      <c r="G12" s="4" t="inlineStr">
        <is>
          <t>事後分析を怠ると同種の障害が再発し、運用品質が改善しない。</t>
        </is>
      </c>
      <c r="H12" s="4" t="inlineStr">
        <is>
          <t>AWS Well-Architected Framework &gt; 運用上の優秀性の柱 &gt; OPS 11 &gt; OPS11-BP02 Perform post-incident analysis</t>
        </is>
      </c>
      <c r="I12" s="4" t="inlineStr">
        <is>
          <t>AWS-DELTA</t>
        </is>
      </c>
      <c r="J12" s="4" t="inlineStr">
        <is>
          <t>AWS採用時に、CLOUD-COMMONで未評価のAWS固有差分へ適用。</t>
        </is>
      </c>
      <c r="K12" s="4" t="inlineStr">
        <is>
          <t>SRC-AWS-WAF</t>
        </is>
      </c>
      <c r="L12" s="4" t="inlineStr"/>
      <c r="M12" s="4" t="n"/>
      <c r="N12" s="4" t="n"/>
      <c r="O12" s="4" t="n"/>
      <c r="P12" s="4" t="n"/>
      <c r="Q12" s="4" t="n"/>
      <c r="R12" s="4" t="n"/>
      <c r="S12" s="4" t="n"/>
      <c r="T12" s="4" t="n"/>
      <c r="U12" s="4" t="n"/>
      <c r="V12" s="4" t="n"/>
      <c r="W12" s="4" t="n"/>
    </row>
    <row r="13">
      <c r="A13" s="5" t="inlineStr">
        <is>
          <t>AWS-012</t>
        </is>
      </c>
      <c r="B13" s="5" t="inlineStr">
        <is>
          <t>WAF</t>
        </is>
      </c>
      <c r="C13" s="4" t="inlineStr">
        <is>
          <t>セキュリティ / Security</t>
        </is>
      </c>
      <c r="D13" s="9" t="inlineStr">
        <is>
          <t>High</t>
        </is>
      </c>
      <c r="E13" s="4" t="inlineStr">
        <is>
          <t>AWS Organizationsを用い、本番/開発/セキュリティ等の用途ごとにAWSアカウントを分離している</t>
        </is>
      </c>
      <c r="F13" s="4" t="inlineStr">
        <is>
          <t>環境・ワークロード単位でアカウントが分離され、Organizationsで一元管理されている(単一アカウントに本番と開発が同居していない)</t>
        </is>
      </c>
      <c r="G13" s="4" t="inlineStr">
        <is>
          <t>アカウント同居は爆発半径を広げ、開発環境の侵害や誤操作が本番に直結する。</t>
        </is>
      </c>
      <c r="H13" s="4" t="inlineStr">
        <is>
          <t>AWS Well-Architected Framework &gt; セキュリティの柱 &gt; SEC 1 &gt; SEC01-BP01 Separate workloads using accounts</t>
        </is>
      </c>
      <c r="I13" s="4" t="inlineStr">
        <is>
          <t>AWS-DELTA</t>
        </is>
      </c>
      <c r="J13" s="4" t="inlineStr">
        <is>
          <t>AWS採用時に、CLOUD-COMMONで未評価のAWS固有差分へ適用。</t>
        </is>
      </c>
      <c r="K13" s="4" t="inlineStr">
        <is>
          <t>SRC-AWS-WAF</t>
        </is>
      </c>
      <c r="L13" s="4" t="inlineStr"/>
      <c r="M13" s="4" t="n"/>
      <c r="N13" s="4" t="n"/>
      <c r="O13" s="4" t="n"/>
      <c r="P13" s="4" t="n"/>
      <c r="Q13" s="4" t="n"/>
      <c r="R13" s="4" t="n"/>
      <c r="S13" s="4" t="n"/>
      <c r="T13" s="4" t="n"/>
      <c r="U13" s="4" t="n"/>
      <c r="V13" s="4" t="n"/>
      <c r="W13" s="4" t="n"/>
    </row>
    <row r="14">
      <c r="A14" s="5" t="inlineStr">
        <is>
          <t>AWS-013</t>
        </is>
      </c>
      <c r="B14" s="5" t="inlineStr">
        <is>
          <t>WAF</t>
        </is>
      </c>
      <c r="C14" s="4" t="inlineStr">
        <is>
          <t>セキュリティ / Security</t>
        </is>
      </c>
      <c r="D14" s="8" t="inlineStr">
        <is>
          <t>Critical</t>
        </is>
      </c>
      <c r="E14" s="4" t="inlineStr">
        <is>
          <t>ルートユーザーがMFAで保護され、アクセスキーを持たず、日常利用されていない</t>
        </is>
      </c>
      <c r="F14" s="4" t="inlineStr">
        <is>
          <t>全アカウントのルートユーザーにハードウェア/仮想MFAが設定され、ルートのアクセスキーが存在せず、利用時の通知・記録がある</t>
        </is>
      </c>
      <c r="G14" s="4" t="inlineStr">
        <is>
          <t>ルート認証情報の漏えいはアカウント全体の乗っ取り(全リソース削除・データ侵害)に直結する。</t>
        </is>
      </c>
      <c r="H14" s="4" t="inlineStr">
        <is>
          <t>AWS Well-Architected Framework &gt; セキュリティの柱 &gt; SEC 1 &gt; SEC01-BP02 Secure account root user and properties</t>
        </is>
      </c>
      <c r="I14" s="4" t="inlineStr">
        <is>
          <t>AWS-DELTA</t>
        </is>
      </c>
      <c r="J14" s="4" t="inlineStr">
        <is>
          <t>AWS採用時に、CLOUD-COMMONで未評価のAWS固有差分へ適用。</t>
        </is>
      </c>
      <c r="K14" s="4" t="inlineStr">
        <is>
          <t>SRC-AWS-WAF</t>
        </is>
      </c>
      <c r="L14" s="4" t="inlineStr"/>
      <c r="M14" s="4" t="n"/>
      <c r="N14" s="4" t="n"/>
      <c r="O14" s="4" t="n"/>
      <c r="P14" s="4" t="n"/>
      <c r="Q14" s="4" t="n"/>
      <c r="R14" s="4" t="n"/>
      <c r="S14" s="4" t="n"/>
      <c r="T14" s="4" t="n"/>
      <c r="U14" s="4" t="n"/>
      <c r="V14" s="4" t="n"/>
      <c r="W14" s="4" t="n"/>
    </row>
    <row r="15">
      <c r="A15" s="5" t="inlineStr">
        <is>
          <t>AWS-014</t>
        </is>
      </c>
      <c r="B15" s="5" t="inlineStr">
        <is>
          <t>WAF</t>
        </is>
      </c>
      <c r="C15" s="4" t="inlineStr">
        <is>
          <t>セキュリティ / Security</t>
        </is>
      </c>
      <c r="D15" s="9" t="inlineStr">
        <is>
          <t>High</t>
        </is>
      </c>
      <c r="E15" s="4" t="inlineStr">
        <is>
          <t>IAM Identity Center(または外部IdPとのフェデレーション)による集中ID管理を採用し、アカウントごとのIAMユーザー乱立を避けている</t>
        </is>
      </c>
      <c r="F15" s="4" t="inlineStr">
        <is>
          <t>人間のアクセスが集中IdP経由のシングルサインオンで行われ、個別IAMユーザーの新規作成が原則禁止されている</t>
        </is>
      </c>
      <c r="G15" s="4" t="inlineStr">
        <is>
          <t>分散したIDは退職者アカウントの削除漏れや認証情報の放置を招き、不正アクセスの温床になる。</t>
        </is>
      </c>
      <c r="H15" s="4" t="inlineStr">
        <is>
          <t>AWS Well-Architected Framework &gt; セキュリティの柱 &gt; SEC 2 &gt; SEC02-BP04 Rely on a centralized identity provider</t>
        </is>
      </c>
      <c r="I15" s="4" t="inlineStr">
        <is>
          <t>AWS-DELTA</t>
        </is>
      </c>
      <c r="J15" s="4" t="inlineStr">
        <is>
          <t>AWS採用時に、CLOUD-COMMONで未評価のAWS固有差分へ適用。</t>
        </is>
      </c>
      <c r="K15" s="4" t="inlineStr">
        <is>
          <t>SRC-AWS-WAF</t>
        </is>
      </c>
      <c r="L15" s="4" t="inlineStr">
        <is>
          <t>SEC-IAM</t>
        </is>
      </c>
      <c r="M15" s="4" t="n"/>
      <c r="N15" s="4" t="n"/>
      <c r="O15" s="4" t="n"/>
      <c r="P15" s="4" t="n"/>
      <c r="Q15" s="4" t="n"/>
      <c r="R15" s="4" t="n"/>
      <c r="S15" s="4" t="n"/>
      <c r="T15" s="4" t="n"/>
      <c r="U15" s="4" t="n"/>
      <c r="V15" s="4" t="n"/>
      <c r="W15" s="4" t="n"/>
    </row>
    <row r="16">
      <c r="A16" s="5" t="inlineStr">
        <is>
          <t>AWS-015</t>
        </is>
      </c>
      <c r="B16" s="5" t="inlineStr">
        <is>
          <t>WAF</t>
        </is>
      </c>
      <c r="C16" s="4" t="inlineStr">
        <is>
          <t>セキュリティ / Security</t>
        </is>
      </c>
      <c r="D16" s="8" t="inlineStr">
        <is>
          <t>Critical</t>
        </is>
      </c>
      <c r="E16" s="4" t="inlineStr">
        <is>
          <t>アプリケーション・CI/CD・運用アクセスがIAMロールによる一時的認証情報を使用し、長期アクセスキーを排除している</t>
        </is>
      </c>
      <c r="F16" s="4" t="inlineStr">
        <is>
          <t>EC2はインスタンスプロファイル、ECS/Lambdaはタスク/実行ロール、外部CIはOIDCフェデレーション等を使用し、長期アクセスキーが棚卸しで存在しない(または例外が承認済み)</t>
        </is>
      </c>
      <c r="G16" s="4" t="inlineStr">
        <is>
          <t>長期アクセスキーはコード・端末からの漏えいリスクが高く、漏えい時に長期間悪用される。</t>
        </is>
      </c>
      <c r="H16" s="4" t="inlineStr">
        <is>
          <t>AWS Well-Architected Framework &gt; セキュリティの柱 &gt; SEC 2 &gt; SEC02-BP02 Use temporary credentials</t>
        </is>
      </c>
      <c r="I16" s="4" t="inlineStr">
        <is>
          <t>AWS-DELTA</t>
        </is>
      </c>
      <c r="J16" s="4" t="inlineStr">
        <is>
          <t>AWS採用時に、CLOUD-COMMONで未評価のAWS固有差分へ適用。</t>
        </is>
      </c>
      <c r="K16" s="4" t="inlineStr">
        <is>
          <t>SRC-AWS-WAF</t>
        </is>
      </c>
      <c r="L16" s="4" t="inlineStr">
        <is>
          <t>SEC-IAM</t>
        </is>
      </c>
      <c r="M16" s="4" t="n"/>
      <c r="N16" s="4" t="n"/>
      <c r="O16" s="4" t="n"/>
      <c r="P16" s="4" t="n"/>
      <c r="Q16" s="4" t="n"/>
      <c r="R16" s="4" t="n"/>
      <c r="S16" s="4" t="n"/>
      <c r="T16" s="4" t="n"/>
      <c r="U16" s="4" t="n"/>
      <c r="V16" s="4" t="n"/>
      <c r="W16" s="4" t="n"/>
    </row>
    <row r="17">
      <c r="A17" s="5" t="inlineStr">
        <is>
          <t>AWS-016</t>
        </is>
      </c>
      <c r="B17" s="5" t="inlineStr">
        <is>
          <t>WAF</t>
        </is>
      </c>
      <c r="C17" s="4" t="inlineStr">
        <is>
          <t>セキュリティ / Security</t>
        </is>
      </c>
      <c r="D17" s="8" t="inlineStr">
        <is>
          <t>Critical</t>
        </is>
      </c>
      <c r="E17" s="4" t="inlineStr">
        <is>
          <t>DB接続情報・APIキー等のシークレットがAWS Secrets Manager(またはSSM Parameter Store SecureString)で管理され、コード・環境変数への直書きがない</t>
        </is>
      </c>
      <c r="F17" s="4" t="inlineStr">
        <is>
          <t>リポジトリとテンプレートにシークレットのハードコードがなく、アプリは実行時にSecrets Manager等から取得し、ローテーションが設定されている</t>
        </is>
      </c>
      <c r="G17" s="4" t="inlineStr">
        <is>
          <t>コードに埋め込まれたシークレットはリポジトリ経由で漏えいし、データベース侵害等に直結する。</t>
        </is>
      </c>
      <c r="H17" s="4" t="inlineStr">
        <is>
          <t>AWS Well-Architected Framework &gt; セキュリティの柱 &gt; SEC 2 &gt; SEC02-BP03 Store and use secrets securely</t>
        </is>
      </c>
      <c r="I17" s="4" t="inlineStr">
        <is>
          <t>AWS-DELTA</t>
        </is>
      </c>
      <c r="J17" s="4" t="inlineStr">
        <is>
          <t>AWS採用時に、CLOUD-COMMONで未評価のAWS固有差分へ適用。</t>
        </is>
      </c>
      <c r="K17" s="4" t="inlineStr">
        <is>
          <t>SRC-AWS-WAF</t>
        </is>
      </c>
      <c r="L17" s="4" t="inlineStr"/>
      <c r="M17" s="4" t="n"/>
      <c r="N17" s="4" t="n"/>
      <c r="O17" s="4" t="n"/>
      <c r="P17" s="4" t="n"/>
      <c r="Q17" s="4" t="n"/>
      <c r="R17" s="4" t="n"/>
      <c r="S17" s="4" t="n"/>
      <c r="T17" s="4" t="n"/>
      <c r="U17" s="4" t="n"/>
      <c r="V17" s="4" t="n"/>
      <c r="W17" s="4" t="n"/>
    </row>
    <row r="18">
      <c r="A18" s="5" t="inlineStr">
        <is>
          <t>AWS-017</t>
        </is>
      </c>
      <c r="B18" s="5" t="inlineStr">
        <is>
          <t>WAF</t>
        </is>
      </c>
      <c r="C18" s="4" t="inlineStr">
        <is>
          <t>セキュリティ / Security</t>
        </is>
      </c>
      <c r="D18" s="9" t="inlineStr">
        <is>
          <t>High</t>
        </is>
      </c>
      <c r="E18" s="4" t="inlineStr">
        <is>
          <t>コンソール等への人間のサインインにMFAを含む強力なサインインメカニズムが強制されている</t>
        </is>
      </c>
      <c r="F18" s="4" t="inlineStr">
        <is>
          <t>全ユーザーにMFAが強制(IdPポリシーまたはIAMポリシーで未設定時のアクセス拒否)されている</t>
        </is>
      </c>
      <c r="G18" s="4" t="inlineStr">
        <is>
          <t>パスワード単独認証はフィッシングやリスト型攻撃で容易に突破される。</t>
        </is>
      </c>
      <c r="H18" s="4" t="inlineStr">
        <is>
          <t>AWS Well-Architected Framework &gt; セキュリティの柱 &gt; SEC 2 &gt; SEC02-BP01 Use strong sign-in mechanisms</t>
        </is>
      </c>
      <c r="I18" s="4" t="inlineStr">
        <is>
          <t>AWS-DELTA</t>
        </is>
      </c>
      <c r="J18" s="4" t="inlineStr">
        <is>
          <t>AWS採用時に、CLOUD-COMMONで未評価のAWS固有差分へ適用。</t>
        </is>
      </c>
      <c r="K18" s="4" t="inlineStr">
        <is>
          <t>SRC-AWS-WAF</t>
        </is>
      </c>
      <c r="L18" s="4" t="inlineStr"/>
      <c r="M18" s="4" t="n"/>
      <c r="N18" s="4" t="n"/>
      <c r="O18" s="4" t="n"/>
      <c r="P18" s="4" t="n"/>
      <c r="Q18" s="4" t="n"/>
      <c r="R18" s="4" t="n"/>
      <c r="S18" s="4" t="n"/>
      <c r="T18" s="4" t="n"/>
      <c r="U18" s="4" t="n"/>
      <c r="V18" s="4" t="n"/>
      <c r="W18" s="4" t="n"/>
    </row>
    <row r="19">
      <c r="A19" s="5" t="inlineStr">
        <is>
          <t>AWS-018</t>
        </is>
      </c>
      <c r="B19" s="5" t="inlineStr">
        <is>
          <t>WAF</t>
        </is>
      </c>
      <c r="C19" s="4" t="inlineStr">
        <is>
          <t>セキュリティ / Security</t>
        </is>
      </c>
      <c r="D19" s="8" t="inlineStr">
        <is>
          <t>Critical</t>
        </is>
      </c>
      <c r="E19" s="4" t="inlineStr">
        <is>
          <t>IAMポリシーが最小権限で定義され、ワイルドカード(Action:*, Resource:*)や管理者権限の濫用がない</t>
        </is>
      </c>
      <c r="F19" s="4" t="inlineStr">
        <is>
          <t>AdministratorAccess等の広範な権限の付与が承認された管理者に限定され、アプリ/サービスロールのポリシーが必要なアクション・リソースに限定されている</t>
        </is>
      </c>
      <c r="G19" s="4" t="inlineStr">
        <is>
          <t>過剰権限は認証情報漏えい時の被害を最大化し、全リソース破壊やデータ持ち出しを許す。</t>
        </is>
      </c>
      <c r="H19" s="4" t="inlineStr">
        <is>
          <t>AWS Well-Architected Framework &gt; セキュリティの柱 &gt; SEC 3 &gt; SEC03-BP02 Grant least privilege access</t>
        </is>
      </c>
      <c r="I19" s="4" t="inlineStr">
        <is>
          <t>AWS-DELTA</t>
        </is>
      </c>
      <c r="J19" s="4" t="inlineStr">
        <is>
          <t>AWS採用時に、CLOUD-COMMONで未評価のAWS固有差分へ適用。</t>
        </is>
      </c>
      <c r="K19" s="4" t="inlineStr">
        <is>
          <t>SRC-AWS-WAF</t>
        </is>
      </c>
      <c r="L19" s="4" t="inlineStr">
        <is>
          <t>SEC-IAM</t>
        </is>
      </c>
      <c r="M19" s="4" t="n"/>
      <c r="N19" s="4" t="n"/>
      <c r="O19" s="4" t="n"/>
      <c r="P19" s="4" t="n"/>
      <c r="Q19" s="4" t="n"/>
      <c r="R19" s="4" t="n"/>
      <c r="S19" s="4" t="n"/>
      <c r="T19" s="4" t="n"/>
      <c r="U19" s="4" t="n"/>
      <c r="V19" s="4" t="n"/>
      <c r="W19" s="4" t="n"/>
    </row>
    <row r="20">
      <c r="A20" s="5" t="inlineStr">
        <is>
          <t>AWS-019</t>
        </is>
      </c>
      <c r="B20" s="5" t="inlineStr">
        <is>
          <t>WAF</t>
        </is>
      </c>
      <c r="C20" s="4" t="inlineStr">
        <is>
          <t>セキュリティ / Security</t>
        </is>
      </c>
      <c r="D20" s="9" t="inlineStr">
        <is>
          <t>High</t>
        </is>
      </c>
      <c r="E20" s="4" t="inlineStr">
        <is>
          <t>Organizationsのサービスコントロールポリシー(SCP)等で組織的な権限ガードレール(リージョン制限、CloudTrail無効化禁止等)を設定している</t>
        </is>
      </c>
      <c r="F20" s="4" t="inlineStr">
        <is>
          <t>全アカウントに適用されるSCPで、監査ログ無効化・未承認リージョン利用等の危険操作が拒否される</t>
        </is>
      </c>
      <c r="G20" s="4" t="inlineStr">
        <is>
          <t>ガードレールがないと、個々のアカウント管理者のミスや侵害が組織全体の統制を破壊する。</t>
        </is>
      </c>
      <c r="H20" s="4" t="inlineStr">
        <is>
          <t>AWS Well-Architected Framework &gt; セキュリティの柱 &gt; SEC 3 &gt; SEC03-BP05 Define permission guardrails for your organization</t>
        </is>
      </c>
      <c r="I20" s="4" t="inlineStr">
        <is>
          <t>AWS-DELTA</t>
        </is>
      </c>
      <c r="J20" s="4" t="inlineStr">
        <is>
          <t>AWS採用時に、CLOUD-COMMONで未評価のAWS固有差分へ適用。</t>
        </is>
      </c>
      <c r="K20" s="4" t="inlineStr">
        <is>
          <t>SRC-AWS-WAF</t>
        </is>
      </c>
      <c r="L20" s="4" t="inlineStr"/>
      <c r="M20" s="4" t="n"/>
      <c r="N20" s="4" t="n"/>
      <c r="O20" s="4" t="n"/>
      <c r="P20" s="4" t="n"/>
      <c r="Q20" s="4" t="n"/>
      <c r="R20" s="4" t="n"/>
      <c r="S20" s="4" t="n"/>
      <c r="T20" s="4" t="n"/>
      <c r="U20" s="4" t="n"/>
      <c r="V20" s="4" t="n"/>
      <c r="W20" s="4" t="n"/>
    </row>
    <row r="21">
      <c r="A21" s="5" t="inlineStr">
        <is>
          <t>AWS-020</t>
        </is>
      </c>
      <c r="B21" s="5" t="inlineStr">
        <is>
          <t>WAF</t>
        </is>
      </c>
      <c r="C21" s="4" t="inlineStr">
        <is>
          <t>セキュリティ / Security</t>
        </is>
      </c>
      <c r="D21" s="9" t="inlineStr">
        <is>
          <t>High</t>
        </is>
      </c>
      <c r="E21" s="4" t="inlineStr">
        <is>
          <t>IAM Access Analyzerでパブリックアクセス・クロスアカウントアクセスを継続的に分析している</t>
        </is>
      </c>
      <c r="F21" s="4" t="inlineStr">
        <is>
          <t>Access Analyzerが有効で、意図しない外部共有の検出結果がゼロまたは全件承認済みである</t>
        </is>
      </c>
      <c r="G21" s="4" t="inlineStr">
        <is>
          <t>意図しないリソース公開(S3バケット、KMSキー、ロール等)は情報漏えいの典型的な原因である。</t>
        </is>
      </c>
      <c r="H21" s="4" t="inlineStr">
        <is>
          <t>AWS Well-Architected Framework &gt; セキュリティの柱 &gt; SEC 3 &gt; SEC03-BP07 Analyze public and cross-account access</t>
        </is>
      </c>
      <c r="I21" s="4" t="inlineStr">
        <is>
          <t>AWS-DELTA</t>
        </is>
      </c>
      <c r="J21" s="4" t="inlineStr">
        <is>
          <t>AWS採用時に、CLOUD-COMMONで未評価のAWS固有差分へ適用。</t>
        </is>
      </c>
      <c r="K21" s="4" t="inlineStr">
        <is>
          <t>SRC-AWS-WAF</t>
        </is>
      </c>
      <c r="L21" s="4" t="inlineStr">
        <is>
          <t>SEC-IAM</t>
        </is>
      </c>
      <c r="M21" s="4" t="n"/>
      <c r="N21" s="4" t="n"/>
      <c r="O21" s="4" t="n"/>
      <c r="P21" s="4" t="n"/>
      <c r="Q21" s="4" t="n"/>
      <c r="R21" s="4" t="n"/>
      <c r="S21" s="4" t="n"/>
      <c r="T21" s="4" t="n"/>
      <c r="U21" s="4" t="n"/>
      <c r="V21" s="4" t="n"/>
      <c r="W21" s="4" t="n"/>
    </row>
    <row r="22">
      <c r="A22" s="5" t="inlineStr">
        <is>
          <t>AWS-021</t>
        </is>
      </c>
      <c r="B22" s="5" t="inlineStr">
        <is>
          <t>WAF</t>
        </is>
      </c>
      <c r="C22" s="4" t="inlineStr">
        <is>
          <t>セキュリティ / Security</t>
        </is>
      </c>
      <c r="D22" s="8" t="inlineStr">
        <is>
          <t>Critical</t>
        </is>
      </c>
      <c r="E22" s="4" t="inlineStr">
        <is>
          <t>CloudTrailが全リージョン・全アカウントで有効化され、証跡ログが改ざん防止された場所(別アカウントのS3等)に保全されている</t>
        </is>
      </c>
      <c r="F22" s="4" t="inlineStr">
        <is>
          <t>組織証跡(Organization Trail)またはこれに準ずる構成で全APIコールが記録され、ログバケットへの削除・変更が制限されている</t>
        </is>
      </c>
      <c r="G22" s="4" t="inlineStr">
        <is>
          <t>証跡がないと侵害の検知・調査が不可能になり、被害範囲を特定できない。</t>
        </is>
      </c>
      <c r="H22" s="4" t="inlineStr">
        <is>
          <t>AWS Well-Architected Framework &gt; セキュリティの柱 &gt; SEC 4 &gt; SEC04-BP01 Configure service and application logging</t>
        </is>
      </c>
      <c r="I22" s="4" t="inlineStr">
        <is>
          <t>AWS-DELTA</t>
        </is>
      </c>
      <c r="J22" s="4" t="inlineStr">
        <is>
          <t>AWS採用時に、CLOUD-COMMONで未評価のAWS固有差分へ適用。</t>
        </is>
      </c>
      <c r="K22" s="4" t="inlineStr">
        <is>
          <t>SRC-AWS-WAF</t>
        </is>
      </c>
      <c r="L22" s="4" t="inlineStr">
        <is>
          <t>OPS-OBSERVABILITY</t>
        </is>
      </c>
      <c r="M22" s="4" t="n"/>
      <c r="N22" s="4" t="n"/>
      <c r="O22" s="4" t="n"/>
      <c r="P22" s="4" t="n"/>
      <c r="Q22" s="4" t="n"/>
      <c r="R22" s="4" t="n"/>
      <c r="S22" s="4" t="n"/>
      <c r="T22" s="4" t="n"/>
      <c r="U22" s="4" t="n"/>
      <c r="V22" s="4" t="n"/>
      <c r="W22" s="4" t="n"/>
    </row>
    <row r="23">
      <c r="A23" s="5" t="inlineStr">
        <is>
          <t>AWS-022</t>
        </is>
      </c>
      <c r="B23" s="5" t="inlineStr">
        <is>
          <t>WAF</t>
        </is>
      </c>
      <c r="C23" s="4" t="inlineStr">
        <is>
          <t>セキュリティ / Security</t>
        </is>
      </c>
      <c r="D23" s="9" t="inlineStr">
        <is>
          <t>High</t>
        </is>
      </c>
      <c r="E23" s="4" t="inlineStr">
        <is>
          <t>GuardDutyによる脅威検出が有効化され、Security Hub等で検出結果が標準化された場所に集約されている</t>
        </is>
      </c>
      <c r="F23" s="4" t="inlineStr">
        <is>
          <t>全アカウント・全リージョンでGuardDutyが有効、検出結果がSecurity Hub等に集約され、重大検出の通知・対応フローが定義されている</t>
        </is>
      </c>
      <c r="G23" s="4" t="inlineStr">
        <is>
          <t>脅威検出がないと、不正マイニングや認証情報悪用などの侵害兆候に気づけない。</t>
        </is>
      </c>
      <c r="H23" s="4" t="inlineStr">
        <is>
          <t>AWS Well-Architected Framework &gt; セキュリティの柱 &gt; SEC 4 &gt; SEC04-BP02 Capture logs, findings, and metrics in standardized locations</t>
        </is>
      </c>
      <c r="I23" s="4" t="inlineStr">
        <is>
          <t>AWS-DELTA</t>
        </is>
      </c>
      <c r="J23" s="4" t="inlineStr">
        <is>
          <t>AWS採用時に、CLOUD-COMMONで未評価のAWS固有差分へ適用。</t>
        </is>
      </c>
      <c r="K23" s="4" t="inlineStr">
        <is>
          <t>SRC-AWS-WAF</t>
        </is>
      </c>
      <c r="L23" s="4" t="inlineStr"/>
      <c r="M23" s="4" t="n"/>
      <c r="N23" s="4" t="n"/>
      <c r="O23" s="4" t="n"/>
      <c r="P23" s="4" t="n"/>
      <c r="Q23" s="4" t="n"/>
      <c r="R23" s="4" t="n"/>
      <c r="S23" s="4" t="n"/>
      <c r="T23" s="4" t="n"/>
      <c r="U23" s="4" t="n"/>
      <c r="V23" s="4" t="n"/>
      <c r="W23" s="4" t="n"/>
    </row>
    <row r="24">
      <c r="A24" s="5" t="inlineStr">
        <is>
          <t>AWS-023</t>
        </is>
      </c>
      <c r="B24" s="5" t="inlineStr">
        <is>
          <t>WAF</t>
        </is>
      </c>
      <c r="C24" s="4" t="inlineStr">
        <is>
          <t>セキュリティ / Security</t>
        </is>
      </c>
      <c r="D24" s="10" t="inlineStr">
        <is>
          <t>Medium</t>
        </is>
      </c>
      <c r="E24" s="4" t="inlineStr">
        <is>
          <t>AWS Configで非準拠リソースを検出し、修復(自動修復またはチケット化)を開始する仕組みがある</t>
        </is>
      </c>
      <c r="F24" s="4" t="inlineStr">
        <is>
          <t>主要なセキュリティ基準(暗号化必須、公開禁止等)がConfigルール化され、非準拠検出時の修復プロセスが動作している</t>
        </is>
      </c>
      <c r="G24" s="4" t="inlineStr">
        <is>
          <t>構成ドリフトを放置すると、当初は安全だった環境に公開リソースや未暗号化リソースが混入する。</t>
        </is>
      </c>
      <c r="H24" s="4" t="inlineStr">
        <is>
          <t>AWS Well-Architected Framework &gt; セキュリティの柱 &gt; SEC 4 &gt; SEC04-BP04 Initiate remediation for non-compliant resources</t>
        </is>
      </c>
      <c r="I24" s="4" t="inlineStr">
        <is>
          <t>AWS-DELTA</t>
        </is>
      </c>
      <c r="J24" s="4" t="inlineStr">
        <is>
          <t>AWS採用時に、CLOUD-COMMONで未評価のAWS固有差分へ適用。</t>
        </is>
      </c>
      <c r="K24" s="4" t="inlineStr">
        <is>
          <t>SRC-AWS-WAF</t>
        </is>
      </c>
      <c r="L24" s="4" t="inlineStr"/>
      <c r="M24" s="4" t="n"/>
      <c r="N24" s="4" t="n"/>
      <c r="O24" s="4" t="n"/>
      <c r="P24" s="4" t="n"/>
      <c r="Q24" s="4" t="n"/>
      <c r="R24" s="4" t="n"/>
      <c r="S24" s="4" t="n"/>
      <c r="T24" s="4" t="n"/>
      <c r="U24" s="4" t="n"/>
      <c r="V24" s="4" t="n"/>
      <c r="W24" s="4" t="n"/>
    </row>
    <row r="25">
      <c r="A25" s="5" t="inlineStr">
        <is>
          <t>AWS-024</t>
        </is>
      </c>
      <c r="B25" s="5" t="inlineStr">
        <is>
          <t>WAF</t>
        </is>
      </c>
      <c r="C25" s="4" t="inlineStr">
        <is>
          <t>セキュリティ / Security</t>
        </is>
      </c>
      <c r="D25" s="9" t="inlineStr">
        <is>
          <t>High</t>
        </is>
      </c>
      <c r="E25" s="4" t="inlineStr">
        <is>
          <t>VPCでパブリック/プライベートサブネットのネットワークレイヤー分離を行い、DB等の内部リソースをプライベートサブネットに配置している</t>
        </is>
      </c>
      <c r="F25" s="4" t="inlineStr">
        <is>
          <t>インターネット到達が必要なリソースのみパブリックサブネットにあり、DB・キャッシュ・内部APIはプライベートサブネットに配置されている</t>
        </is>
      </c>
      <c r="G25" s="4" t="inlineStr">
        <is>
          <t>内部リソースの直接公開は攻撃面を不必要に拡大し、侵入の足がかりを与える。</t>
        </is>
      </c>
      <c r="H25" s="4" t="inlineStr">
        <is>
          <t>AWS Well-Architected Framework &gt; セキュリティの柱 &gt; SEC 5 &gt; SEC05-BP01 Create network layers</t>
        </is>
      </c>
      <c r="I25" s="4" t="inlineStr">
        <is>
          <t>AWS-DELTA</t>
        </is>
      </c>
      <c r="J25" s="4" t="inlineStr">
        <is>
          <t>AWS採用時に、CLOUD-COMMONで未評価のAWS固有差分へ適用。</t>
        </is>
      </c>
      <c r="K25" s="4" t="inlineStr">
        <is>
          <t>SRC-AWS-WAF</t>
        </is>
      </c>
      <c r="L25" s="4" t="inlineStr"/>
      <c r="M25" s="4" t="n"/>
      <c r="N25" s="4" t="n"/>
      <c r="O25" s="4" t="n"/>
      <c r="P25" s="4" t="n"/>
      <c r="Q25" s="4" t="n"/>
      <c r="R25" s="4" t="n"/>
      <c r="S25" s="4" t="n"/>
      <c r="T25" s="4" t="n"/>
      <c r="U25" s="4" t="n"/>
      <c r="V25" s="4" t="n"/>
      <c r="W25" s="4" t="n"/>
    </row>
    <row r="26">
      <c r="A26" s="5" t="inlineStr">
        <is>
          <t>AWS-025</t>
        </is>
      </c>
      <c r="B26" s="5" t="inlineStr">
        <is>
          <t>WAF</t>
        </is>
      </c>
      <c r="C26" s="4" t="inlineStr">
        <is>
          <t>セキュリティ / Security</t>
        </is>
      </c>
      <c r="D26" s="8" t="inlineStr">
        <is>
          <t>Critical</t>
        </is>
      </c>
      <c r="E26" s="4" t="inlineStr">
        <is>
          <t>セキュリティグループ/ネットワークACLでレイヤー内のトラフィックが最小限に制御されている(管理ポートの0.0.0.0/0開放等がない)</t>
        </is>
      </c>
      <c r="F26" s="4" t="inlineStr">
        <is>
          <t>SSH/RDP/DBポートがインターネットに開放されておらず、セキュリティグループが送信元を必要な範囲に限定している</t>
        </is>
      </c>
      <c r="G26" s="4" t="inlineStr">
        <is>
          <t>管理ポートの全開放は総当たり攻撃と侵入の最頻出経路であり、侵害に直結する。</t>
        </is>
      </c>
      <c r="H26" s="4" t="inlineStr">
        <is>
          <t>AWS Well-Architected Framework &gt; セキュリティの柱 &gt; SEC 5 &gt; SEC05-BP02 Control traffic flow within your network layers</t>
        </is>
      </c>
      <c r="I26" s="4" t="inlineStr">
        <is>
          <t>AWS-DELTA</t>
        </is>
      </c>
      <c r="J26" s="4" t="inlineStr">
        <is>
          <t>AWS採用時に、CLOUD-COMMONで未評価のAWS固有差分へ適用。</t>
        </is>
      </c>
      <c r="K26" s="4" t="inlineStr">
        <is>
          <t>SRC-AWS-WAF</t>
        </is>
      </c>
      <c r="L26" s="4" t="inlineStr"/>
      <c r="M26" s="4" t="n"/>
      <c r="N26" s="4" t="n"/>
      <c r="O26" s="4" t="n"/>
      <c r="P26" s="4" t="n"/>
      <c r="Q26" s="4" t="n"/>
      <c r="R26" s="4" t="n"/>
      <c r="S26" s="4" t="n"/>
      <c r="T26" s="4" t="n"/>
      <c r="U26" s="4" t="n"/>
      <c r="V26" s="4" t="n"/>
      <c r="W26" s="4" t="n"/>
    </row>
    <row r="27">
      <c r="A27" s="5" t="inlineStr">
        <is>
          <t>AWS-026</t>
        </is>
      </c>
      <c r="B27" s="5" t="inlineStr">
        <is>
          <t>WAF</t>
        </is>
      </c>
      <c r="C27" s="4" t="inlineStr">
        <is>
          <t>セキュリティ / Security</t>
        </is>
      </c>
      <c r="D27" s="9" t="inlineStr">
        <is>
          <t>High</t>
        </is>
      </c>
      <c r="E27" s="4" t="inlineStr">
        <is>
          <t>公開Webエンドポイントの前段にAWS WAFを配置し、必要に応じてShield/Network Firewall等の検査ベースの保護を実装している</t>
        </is>
      </c>
      <c r="F27" s="4" t="inlineStr">
        <is>
          <t>インターネット公開のALB/CloudFront/API GatewayにWAF(マネージドルール含む)が関連付けられ、ルールの監視・更新プロセスがある</t>
        </is>
      </c>
      <c r="G27" s="4" t="inlineStr">
        <is>
          <t>アプリケーション層の防御がないと、SQLi/XSSや大量リクエストによる侵害・停止のリスクが高まる。</t>
        </is>
      </c>
      <c r="H27" s="4" t="inlineStr">
        <is>
          <t>AWS Well-Architected Framework &gt; セキュリティの柱 &gt; SEC 5 &gt; SEC05-BP03 Implement inspection-based protection</t>
        </is>
      </c>
      <c r="I27" s="4" t="inlineStr">
        <is>
          <t>AWS-DELTA</t>
        </is>
      </c>
      <c r="J27" s="4" t="inlineStr">
        <is>
          <t>AWS採用時に、CLOUD-COMMONで未評価のAWS固有差分へ適用。</t>
        </is>
      </c>
      <c r="K27" s="4" t="inlineStr">
        <is>
          <t>SRC-AWS-WAF</t>
        </is>
      </c>
      <c r="L27" s="4" t="inlineStr"/>
      <c r="M27" s="4" t="n"/>
      <c r="N27" s="4" t="n"/>
      <c r="O27" s="4" t="n"/>
      <c r="P27" s="4" t="n"/>
      <c r="Q27" s="4" t="n"/>
      <c r="R27" s="4" t="n"/>
      <c r="S27" s="4" t="n"/>
      <c r="T27" s="4" t="n"/>
      <c r="U27" s="4" t="n"/>
      <c r="V27" s="4" t="n"/>
      <c r="W27" s="4" t="n"/>
    </row>
    <row r="28">
      <c r="A28" s="5" t="inlineStr">
        <is>
          <t>AWS-027</t>
        </is>
      </c>
      <c r="B28" s="5" t="inlineStr">
        <is>
          <t>WAF</t>
        </is>
      </c>
      <c r="C28" s="4" t="inlineStr">
        <is>
          <t>セキュリティ / Security</t>
        </is>
      </c>
      <c r="D28" s="9" t="inlineStr">
        <is>
          <t>High</t>
        </is>
      </c>
      <c r="E28" s="4" t="inlineStr">
        <is>
          <t>Amazon Inspector等でEC2/ECR/Lambdaの脆弱性スキャンを継続実施し、パッチ適用(SSM Patch Manager等)のプロセスがある</t>
        </is>
      </c>
      <c r="F28" s="4" t="inlineStr">
        <is>
          <t>脆弱性スキャンが自動で実行され、重大度に応じた修復SLA(例: Critical=即時〜数日)が定義・遵守されている</t>
        </is>
      </c>
      <c r="G28" s="4" t="inlineStr">
        <is>
          <t>既知脆弱性の放置は侵害の最も一般的な原因であり、修復遅延がそのままリスク期間になる。</t>
        </is>
      </c>
      <c r="H28" s="4" t="inlineStr">
        <is>
          <t>AWS Well-Architected Framework &gt; セキュリティの柱 &gt; SEC 6 &gt; SEC06-BP01 Perform vulnerability management</t>
        </is>
      </c>
      <c r="I28" s="4" t="inlineStr">
        <is>
          <t>AWS-DELTA</t>
        </is>
      </c>
      <c r="J28" s="4" t="inlineStr">
        <is>
          <t>AWS採用時に、CLOUD-COMMONで未評価のAWS固有差分へ適用。</t>
        </is>
      </c>
      <c r="K28" s="4" t="inlineStr">
        <is>
          <t>SRC-AWS-WAF</t>
        </is>
      </c>
      <c r="L28" s="4" t="inlineStr">
        <is>
          <t>SEC-SUPPLY-CHAIN</t>
        </is>
      </c>
      <c r="M28" s="4" t="n"/>
      <c r="N28" s="4" t="n"/>
      <c r="O28" s="4" t="n"/>
      <c r="P28" s="4" t="n"/>
      <c r="Q28" s="4" t="n"/>
      <c r="R28" s="4" t="n"/>
      <c r="S28" s="4" t="n"/>
      <c r="T28" s="4" t="n"/>
      <c r="U28" s="4" t="n"/>
      <c r="V28" s="4" t="n"/>
      <c r="W28" s="4" t="n"/>
    </row>
    <row r="29">
      <c r="A29" s="5" t="inlineStr">
        <is>
          <t>AWS-028</t>
        </is>
      </c>
      <c r="B29" s="5" t="inlineStr">
        <is>
          <t>WAF</t>
        </is>
      </c>
      <c r="C29" s="4" t="inlineStr">
        <is>
          <t>セキュリティ / Security</t>
        </is>
      </c>
      <c r="D29" s="10" t="inlineStr">
        <is>
          <t>Medium</t>
        </is>
      </c>
      <c r="E29" s="4" t="inlineStr">
        <is>
          <t>サーバーへの対話的アクセスをSSM Session Manager等に集約し、SSH鍵配布・踏み台の常時開放を廃止している</t>
        </is>
      </c>
      <c r="F29" s="4" t="inlineStr">
        <is>
          <t>EC2への通常アクセスがSession Manager(操作ログ記録付き)経由で、22番ポートの常時開放や共有SSH鍵が存在しない</t>
        </is>
      </c>
      <c r="G29" s="4" t="inlineStr">
        <is>
          <t>SSH鍵の共有・放置は監査不能なアクセスを生み、鍵漏えい時の侵入を許す。</t>
        </is>
      </c>
      <c r="H29" s="4" t="inlineStr">
        <is>
          <t>AWS Well-Architected Framework &gt; セキュリティの柱 &gt; SEC 6 &gt; SEC06-BP03 Reduce manual management and interactive access</t>
        </is>
      </c>
      <c r="I29" s="4" t="inlineStr">
        <is>
          <t>AWS-DELTA</t>
        </is>
      </c>
      <c r="J29" s="4" t="inlineStr">
        <is>
          <t>AWS採用時に、CLOUD-COMMONで未評価のAWS固有差分へ適用。</t>
        </is>
      </c>
      <c r="K29" s="4" t="inlineStr">
        <is>
          <t>SRC-AWS-WAF</t>
        </is>
      </c>
      <c r="L29" s="4" t="inlineStr"/>
      <c r="M29" s="4" t="n"/>
      <c r="N29" s="4" t="n"/>
      <c r="O29" s="4" t="n"/>
      <c r="P29" s="4" t="n"/>
      <c r="Q29" s="4" t="n"/>
      <c r="R29" s="4" t="n"/>
      <c r="S29" s="4" t="n"/>
      <c r="T29" s="4" t="n"/>
      <c r="U29" s="4" t="n"/>
      <c r="V29" s="4" t="n"/>
      <c r="W29" s="4" t="n"/>
    </row>
    <row r="30">
      <c r="A30" s="5" t="inlineStr">
        <is>
          <t>AWS-029</t>
        </is>
      </c>
      <c r="B30" s="5" t="inlineStr">
        <is>
          <t>WAF</t>
        </is>
      </c>
      <c r="C30" s="4" t="inlineStr">
        <is>
          <t>セキュリティ / Security</t>
        </is>
      </c>
      <c r="D30" s="8" t="inlineStr">
        <is>
          <t>Critical</t>
        </is>
      </c>
      <c r="E30" s="4" t="inlineStr">
        <is>
          <t>S3/EBS/RDS/DynamoDB等の保管データがKMSで暗号化され、暗号化がデフォルト・強制になっている</t>
        </is>
      </c>
      <c r="F30" s="4" t="inlineStr">
        <is>
          <t>全ストレージリソースで保管時暗号化が有効(アカウントレベルのEBSデフォルト暗号化、S3デフォルト暗号化等)で、未暗号化リソースの作成が統制されている</t>
        </is>
      </c>
      <c r="G30" s="4" t="inlineStr">
        <is>
          <t>保管時暗号化の欠如は、スナップショット共有ミスや媒体レベルの漏えい時にデータがそのまま露出する。</t>
        </is>
      </c>
      <c r="H30" s="4" t="inlineStr">
        <is>
          <t>AWS Well-Architected Framework &gt; セキュリティの柱 &gt; SEC 8 &gt; SEC08-BP02 Enforce encryption at rest</t>
        </is>
      </c>
      <c r="I30" s="4" t="inlineStr">
        <is>
          <t>AWS-DELTA</t>
        </is>
      </c>
      <c r="J30" s="4" t="inlineStr">
        <is>
          <t>AWS採用時に、CLOUD-COMMONで未評価のAWS固有差分へ適用。</t>
        </is>
      </c>
      <c r="K30" s="4" t="inlineStr">
        <is>
          <t>SRC-AWS-WAF</t>
        </is>
      </c>
      <c r="L30" s="4" t="inlineStr">
        <is>
          <t>SEC-CRYPTO</t>
        </is>
      </c>
      <c r="M30" s="4" t="n"/>
      <c r="N30" s="4" t="n"/>
      <c r="O30" s="4" t="n"/>
      <c r="P30" s="4" t="n"/>
      <c r="Q30" s="4" t="n"/>
      <c r="R30" s="4" t="n"/>
      <c r="S30" s="4" t="n"/>
      <c r="T30" s="4" t="n"/>
      <c r="U30" s="4" t="n"/>
      <c r="V30" s="4" t="n"/>
      <c r="W30" s="4" t="n"/>
    </row>
    <row r="31">
      <c r="A31" s="5" t="inlineStr">
        <is>
          <t>AWS-030</t>
        </is>
      </c>
      <c r="B31" s="5" t="inlineStr">
        <is>
          <t>WAF</t>
        </is>
      </c>
      <c r="C31" s="4" t="inlineStr">
        <is>
          <t>セキュリティ / Security</t>
        </is>
      </c>
      <c r="D31" s="8" t="inlineStr">
        <is>
          <t>Critical</t>
        </is>
      </c>
      <c r="E31" s="4" t="inlineStr">
        <is>
          <t>S3のブロックパブリックアクセスがアカウント/バケット単位で有効化され、機密データへのアクセス制御(バケットポリシー、VPCエンドポイントポリシー等)が強制されている</t>
        </is>
      </c>
      <c r="F31" s="4" t="inlineStr">
        <is>
          <t>アカウントレベルのS3 Block Public Accessが有効で、公開が必要なバケットは例外として文書化・承認されている</t>
        </is>
      </c>
      <c r="G31" s="4" t="inlineStr">
        <is>
          <t>S3バケットの誤公開はクラウドで最も多い大規模情報漏えいの原因である。</t>
        </is>
      </c>
      <c r="H31" s="4" t="inlineStr">
        <is>
          <t>AWS Well-Architected Framework &gt; セキュリティの柱 &gt; SEC 8 &gt; SEC08-BP04 Enforce access control</t>
        </is>
      </c>
      <c r="I31" s="4" t="inlineStr">
        <is>
          <t>AWS-DELTA</t>
        </is>
      </c>
      <c r="J31" s="4" t="inlineStr">
        <is>
          <t>AWS採用時に、CLOUD-COMMONで未評価のAWS固有差分へ適用。</t>
        </is>
      </c>
      <c r="K31" s="4" t="inlineStr">
        <is>
          <t>SRC-AWS-WAF</t>
        </is>
      </c>
      <c r="L31" s="4" t="inlineStr"/>
      <c r="M31" s="4" t="n"/>
      <c r="N31" s="4" t="n"/>
      <c r="O31" s="4" t="n"/>
      <c r="P31" s="4" t="n"/>
      <c r="Q31" s="4" t="n"/>
      <c r="R31" s="4" t="n"/>
      <c r="S31" s="4" t="n"/>
      <c r="T31" s="4" t="n"/>
      <c r="U31" s="4" t="n"/>
      <c r="V31" s="4" t="n"/>
      <c r="W31" s="4" t="n"/>
    </row>
    <row r="32">
      <c r="A32" s="5" t="inlineStr">
        <is>
          <t>AWS-031</t>
        </is>
      </c>
      <c r="B32" s="5" t="inlineStr">
        <is>
          <t>WAF</t>
        </is>
      </c>
      <c r="C32" s="4" t="inlineStr">
        <is>
          <t>セキュリティ / Security</t>
        </is>
      </c>
      <c r="D32" s="9" t="inlineStr">
        <is>
          <t>High</t>
        </is>
      </c>
      <c r="E32" s="4" t="inlineStr">
        <is>
          <t>外部・内部通信でTLSが強制され、証明書がACMで管理・自動更新されている</t>
        </is>
      </c>
      <c r="F32" s="4" t="inlineStr">
        <is>
          <t>公開エンドポイントがHTTPS必須(HTTPはリダイレクトまたは拒否)で、TLSポリシーが古いプロトコルを無効化し、証明書の期限切れ監視がある</t>
        </is>
      </c>
      <c r="G32" s="4" t="inlineStr">
        <is>
          <t>平文通信は盗聴・中間者攻撃を許し、証明書の期限切れはサービス停止を起こす。</t>
        </is>
      </c>
      <c r="H32" s="4" t="inlineStr">
        <is>
          <t>AWS Well-Architected Framework &gt; セキュリティの柱 &gt; SEC 9 &gt; SEC09-BP02 Enforce encryption in transit</t>
        </is>
      </c>
      <c r="I32" s="4" t="inlineStr">
        <is>
          <t>AWS-DELTA</t>
        </is>
      </c>
      <c r="J32" s="4" t="inlineStr">
        <is>
          <t>AWS採用時に、CLOUD-COMMONで未評価のAWS固有差分へ適用。</t>
        </is>
      </c>
      <c r="K32" s="4" t="inlineStr">
        <is>
          <t>SRC-AWS-WAF</t>
        </is>
      </c>
      <c r="L32" s="4" t="inlineStr"/>
      <c r="M32" s="4" t="n"/>
      <c r="N32" s="4" t="n"/>
      <c r="O32" s="4" t="n"/>
      <c r="P32" s="4" t="n"/>
      <c r="Q32" s="4" t="n"/>
      <c r="R32" s="4" t="n"/>
      <c r="S32" s="4" t="n"/>
      <c r="T32" s="4" t="n"/>
      <c r="U32" s="4" t="n"/>
      <c r="V32" s="4" t="n"/>
      <c r="W32" s="4" t="n"/>
    </row>
    <row r="33">
      <c r="A33" s="5" t="inlineStr">
        <is>
          <t>AWS-032</t>
        </is>
      </c>
      <c r="B33" s="5" t="inlineStr">
        <is>
          <t>WAF</t>
        </is>
      </c>
      <c r="C33" s="4" t="inlineStr">
        <is>
          <t>セキュリティ / Security</t>
        </is>
      </c>
      <c r="D33" s="9" t="inlineStr">
        <is>
          <t>High</t>
        </is>
      </c>
      <c r="E33" s="4" t="inlineStr">
        <is>
          <t>セキュリティインシデント管理計画と対応プレイブックが整備され、定期的にテストされている</t>
        </is>
      </c>
      <c r="F33" s="4" t="inlineStr">
        <is>
          <t>認証情報漏えい・ランサムウェア等の想定シナリオごとにプレイブックがあり、年1回以上のシミュレーション(ゲームデー)実績がある</t>
        </is>
      </c>
      <c r="G33" s="4" t="inlineStr">
        <is>
          <t>準備なきインシデント対応は初動を誤らせ、封じ込め失敗による被害拡大を招く。</t>
        </is>
      </c>
      <c r="H33" s="4" t="inlineStr">
        <is>
          <t>AWS Well-Architected Framework &gt; セキュリティの柱 &gt; SEC 10 &gt; SEC10-BP02 Develop incident management plans / SEC10-BP04 Develop and test security incident response playbooks</t>
        </is>
      </c>
      <c r="I33" s="4" t="inlineStr">
        <is>
          <t>AWS-DELTA</t>
        </is>
      </c>
      <c r="J33" s="4" t="inlineStr">
        <is>
          <t>AWS採用時に、CLOUD-COMMONで未評価のAWS固有差分へ適用。</t>
        </is>
      </c>
      <c r="K33" s="4" t="inlineStr">
        <is>
          <t>SRC-AWS-WAF</t>
        </is>
      </c>
      <c r="L33" s="4" t="inlineStr"/>
      <c r="M33" s="4" t="n"/>
      <c r="N33" s="4" t="n"/>
      <c r="O33" s="4" t="n"/>
      <c r="P33" s="4" t="n"/>
      <c r="Q33" s="4" t="n"/>
      <c r="R33" s="4" t="n"/>
      <c r="S33" s="4" t="n"/>
      <c r="T33" s="4" t="n"/>
      <c r="U33" s="4" t="n"/>
      <c r="V33" s="4" t="n"/>
      <c r="W33" s="4" t="n"/>
    </row>
    <row r="34">
      <c r="A34" s="5" t="inlineStr">
        <is>
          <t>AWS-033</t>
        </is>
      </c>
      <c r="B34" s="5" t="inlineStr">
        <is>
          <t>WAF</t>
        </is>
      </c>
      <c r="C34" s="4" t="inlineStr">
        <is>
          <t>信頼性 / Reliability</t>
        </is>
      </c>
      <c r="D34" s="10" t="inlineStr">
        <is>
          <t>Medium</t>
        </is>
      </c>
      <c r="E34" s="4" t="inlineStr">
        <is>
          <t>Service Quotas(サービス上限)を把握し、使用量に対する監視・アラートを設定している</t>
        </is>
      </c>
      <c r="F34" s="4" t="inlineStr">
        <is>
          <t>主要サービスのクォータ使用率が監視され、閾値超過(例: 80%)で通知される仕組みがある</t>
        </is>
      </c>
      <c r="G34" s="4" t="inlineStr">
        <is>
          <t>クォータ到達はスケールアウト失敗やAPIスロットリングを引き起こし、需要ピーク時に障害となる。</t>
        </is>
      </c>
      <c r="H34" s="4" t="inlineStr">
        <is>
          <t>AWS Well-Architected Framework &gt; 信頼性の柱 &gt; REL 1 &gt; REL01-BP04 Monitor and manage quotas</t>
        </is>
      </c>
      <c r="I34" s="4" t="inlineStr">
        <is>
          <t>AWS-DELTA</t>
        </is>
      </c>
      <c r="J34" s="4" t="inlineStr">
        <is>
          <t>AWS採用時に、CLOUD-COMMONで未評価のAWS固有差分へ適用。</t>
        </is>
      </c>
      <c r="K34" s="4" t="inlineStr">
        <is>
          <t>SRC-AWS-WAF</t>
        </is>
      </c>
      <c r="L34" s="4" t="inlineStr">
        <is>
          <t>OPS-OBSERVABILITY</t>
        </is>
      </c>
      <c r="M34" s="4" t="n"/>
      <c r="N34" s="4" t="n"/>
      <c r="O34" s="4" t="n"/>
      <c r="P34" s="4" t="n"/>
      <c r="Q34" s="4" t="n"/>
      <c r="R34" s="4" t="n"/>
      <c r="S34" s="4" t="n"/>
      <c r="T34" s="4" t="n"/>
      <c r="U34" s="4" t="n"/>
      <c r="V34" s="4" t="n"/>
      <c r="W34" s="4" t="n"/>
    </row>
    <row r="35">
      <c r="A35" s="5" t="inlineStr">
        <is>
          <t>AWS-034</t>
        </is>
      </c>
      <c r="B35" s="5" t="inlineStr">
        <is>
          <t>WAF</t>
        </is>
      </c>
      <c r="C35" s="4" t="inlineStr">
        <is>
          <t>信頼性 / Reliability</t>
        </is>
      </c>
      <c r="D35" s="10" t="inlineStr">
        <is>
          <t>Medium</t>
        </is>
      </c>
      <c r="E35" s="4" t="inlineStr">
        <is>
          <t>フェイルオーバー時の一時的なリソース増加を見込んで、現在のクォータと最大使用量の間に十分な余裕を確保している</t>
        </is>
      </c>
      <c r="F35" s="4" t="inlineStr">
        <is>
          <t>DR/フェイルオーバー先のアカウント・リージョンでも必要なクォータが事前に引き上げられている</t>
        </is>
      </c>
      <c r="G35" s="4" t="inlineStr">
        <is>
          <t>災害時にクォータ不足で復旧リソースを起動できず、DR計画が絵に描いた餅になる。</t>
        </is>
      </c>
      <c r="H35" s="4" t="inlineStr">
        <is>
          <t>AWS Well-Architected Framework &gt; 信頼性の柱 &gt; REL 1 &gt; REL01-BP06 Ensure that a sufficient gap exists between the current quotas and the maximum usage to accommodate failover</t>
        </is>
      </c>
      <c r="I35" s="4" t="inlineStr">
        <is>
          <t>AWS-DELTA</t>
        </is>
      </c>
      <c r="J35" s="4" t="inlineStr">
        <is>
          <t>AWS採用時に、CLOUD-COMMONで未評価のAWS固有差分へ適用。</t>
        </is>
      </c>
      <c r="K35" s="4" t="inlineStr">
        <is>
          <t>SRC-AWS-WAF</t>
        </is>
      </c>
      <c r="L35" s="4" t="inlineStr">
        <is>
          <t>RELIABILITY-HA</t>
        </is>
      </c>
      <c r="M35" s="4" t="n"/>
      <c r="N35" s="4" t="n"/>
      <c r="O35" s="4" t="n"/>
      <c r="P35" s="4" t="n"/>
      <c r="Q35" s="4" t="n"/>
      <c r="R35" s="4" t="n"/>
      <c r="S35" s="4" t="n"/>
      <c r="T35" s="4" t="n"/>
      <c r="U35" s="4" t="n"/>
      <c r="V35" s="4" t="n"/>
      <c r="W35" s="4" t="n"/>
    </row>
    <row r="36">
      <c r="A36" s="5" t="inlineStr">
        <is>
          <t>AWS-035</t>
        </is>
      </c>
      <c r="B36" s="5" t="inlineStr">
        <is>
          <t>WAF</t>
        </is>
      </c>
      <c r="C36" s="4" t="inlineStr">
        <is>
          <t>信頼性 / Reliability</t>
        </is>
      </c>
      <c r="D36" s="9" t="inlineStr">
        <is>
          <t>High</t>
        </is>
      </c>
      <c r="E36" s="4" t="inlineStr">
        <is>
          <t>パブリックエンドポイントがRoute 53・CloudFront・ELB等の高可用なマネージドサービスで構成されている</t>
        </is>
      </c>
      <c r="F36" s="4" t="inlineStr">
        <is>
          <t>ユーザー向けエンドポイントが単一インスタンス直結ではなく、複数AZにまたがるロードバランサー/CDN経由で提供されている</t>
        </is>
      </c>
      <c r="G36" s="4" t="inlineStr">
        <is>
          <t>エンドポイントが単一障害点だと、その1点の障害がサービス全停止になる。</t>
        </is>
      </c>
      <c r="H36" s="4" t="inlineStr">
        <is>
          <t>AWS Well-Architected Framework &gt; 信頼性の柱 &gt; REL 2 &gt; REL02-BP01 Use highly available network connectivity for your workload public endpoints</t>
        </is>
      </c>
      <c r="I36" s="4" t="inlineStr">
        <is>
          <t>AWS-DELTA</t>
        </is>
      </c>
      <c r="J36" s="4" t="inlineStr">
        <is>
          <t>AWS採用時に、CLOUD-COMMONで未評価のAWS固有差分へ適用。</t>
        </is>
      </c>
      <c r="K36" s="4" t="inlineStr">
        <is>
          <t>SRC-AWS-WAF</t>
        </is>
      </c>
      <c r="L36" s="4" t="inlineStr"/>
      <c r="M36" s="4" t="n"/>
      <c r="N36" s="4" t="n"/>
      <c r="O36" s="4" t="n"/>
      <c r="P36" s="4" t="n"/>
      <c r="Q36" s="4" t="n"/>
      <c r="R36" s="4" t="n"/>
      <c r="S36" s="4" t="n"/>
      <c r="T36" s="4" t="n"/>
      <c r="U36" s="4" t="n"/>
      <c r="V36" s="4" t="n"/>
      <c r="W36" s="4" t="n"/>
    </row>
    <row r="37">
      <c r="A37" s="5" t="inlineStr">
        <is>
          <t>AWS-036</t>
        </is>
      </c>
      <c r="B37" s="5" t="inlineStr">
        <is>
          <t>WAF</t>
        </is>
      </c>
      <c r="C37" s="4" t="inlineStr">
        <is>
          <t>信頼性 / Reliability</t>
        </is>
      </c>
      <c r="D37" s="9" t="inlineStr">
        <is>
          <t>High</t>
        </is>
      </c>
      <c r="E37" s="4" t="inlineStr">
        <is>
          <t>オンプレミスとの接続(Direct Connect/VPN)が冗長化されている</t>
        </is>
      </c>
      <c r="F37" s="4" t="inlineStr">
        <is>
          <t>ハイブリッド接続が複数経路(DX2本またはDX+VPNバックアップ等)で構成され、片系断のフェイルオーバーテスト実績がある</t>
        </is>
      </c>
      <c r="G37" s="4" t="inlineStr">
        <is>
          <t>単一回線のハイブリッド接続は回線断で基幹連携が全停止する。</t>
        </is>
      </c>
      <c r="H37" s="4" t="inlineStr">
        <is>
          <t>AWS Well-Architected Framework &gt; 信頼性の柱 &gt; REL 2 &gt; REL02-BP02 Provision redundant connectivity between private networks in the cloud and on-premises environments</t>
        </is>
      </c>
      <c r="I37" s="4" t="inlineStr">
        <is>
          <t>AWS-DELTA</t>
        </is>
      </c>
      <c r="J37" s="4" t="inlineStr">
        <is>
          <t>AWS採用時に、CLOUD-COMMONで未評価のAWS固有差分へ適用。</t>
        </is>
      </c>
      <c r="K37" s="4" t="inlineStr">
        <is>
          <t>SRC-AWS-WAF</t>
        </is>
      </c>
      <c r="L37" s="4" t="inlineStr">
        <is>
          <t>RELIABILITY-HA</t>
        </is>
      </c>
      <c r="M37" s="4" t="n"/>
      <c r="N37" s="4" t="n"/>
      <c r="O37" s="4" t="n"/>
      <c r="P37" s="4" t="n"/>
      <c r="Q37" s="4" t="n"/>
      <c r="R37" s="4" t="n"/>
      <c r="S37" s="4" t="n"/>
      <c r="T37" s="4" t="n"/>
      <c r="U37" s="4" t="n"/>
      <c r="V37" s="4" t="n"/>
      <c r="W37" s="4" t="n"/>
    </row>
    <row r="38">
      <c r="A38" s="5" t="inlineStr">
        <is>
          <t>AWS-037</t>
        </is>
      </c>
      <c r="B38" s="5" t="inlineStr">
        <is>
          <t>WAF</t>
        </is>
      </c>
      <c r="C38" s="4" t="inlineStr">
        <is>
          <t>信頼性 / Reliability</t>
        </is>
      </c>
      <c r="D38" s="10" t="inlineStr">
        <is>
          <t>Medium</t>
        </is>
      </c>
      <c r="E38" s="4" t="inlineStr">
        <is>
          <t>SQS/SNS/EventBridge等を用いてコンポーネント間を疎結合にしている</t>
        </is>
      </c>
      <c r="F38" s="4" t="inlineStr">
        <is>
          <t>同期呼び出しが必須でない連携がキュー/イベント駆動で実装され、下流障害時にメッセージが保全される(DLQ含む)</t>
        </is>
      </c>
      <c r="G38" s="4" t="inlineStr">
        <is>
          <t>密結合な同期連携は下流の一時障害が上流全体へ連鎖するカスケード障害を招く。</t>
        </is>
      </c>
      <c r="H38" s="4" t="inlineStr">
        <is>
          <t>AWS Well-Architected Framework &gt; 信頼性の柱 &gt; REL 4 &gt; REL04-BP02 Implement loosely coupled dependencies</t>
        </is>
      </c>
      <c r="I38" s="4" t="inlineStr">
        <is>
          <t>AWS-DELTA</t>
        </is>
      </c>
      <c r="J38" s="4" t="inlineStr">
        <is>
          <t>AWS採用時に、CLOUD-COMMONで未評価のAWS固有差分へ適用。</t>
        </is>
      </c>
      <c r="K38" s="4" t="inlineStr">
        <is>
          <t>SRC-AWS-WAF</t>
        </is>
      </c>
      <c r="L38" s="4" t="inlineStr"/>
      <c r="M38" s="4" t="n"/>
      <c r="N38" s="4" t="n"/>
      <c r="O38" s="4" t="n"/>
      <c r="P38" s="4" t="n"/>
      <c r="Q38" s="4" t="n"/>
      <c r="R38" s="4" t="n"/>
      <c r="S38" s="4" t="n"/>
      <c r="T38" s="4" t="n"/>
      <c r="U38" s="4" t="n"/>
      <c r="V38" s="4" t="n"/>
      <c r="W38" s="4" t="n"/>
    </row>
    <row r="39">
      <c r="A39" s="5" t="inlineStr">
        <is>
          <t>AWS-038</t>
        </is>
      </c>
      <c r="B39" s="5" t="inlineStr">
        <is>
          <t>WAF</t>
        </is>
      </c>
      <c r="C39" s="4" t="inlineStr">
        <is>
          <t>信頼性 / Reliability</t>
        </is>
      </c>
      <c r="D39" s="10" t="inlineStr">
        <is>
          <t>Medium</t>
        </is>
      </c>
      <c r="E39" s="4" t="inlineStr">
        <is>
          <t>更新系のAPI・メッセージ処理が冪等に設計されている(冪等トークン、条件付き書き込み等)</t>
        </is>
      </c>
      <c r="F39" s="4" t="inlineStr">
        <is>
          <t>リトライや重複配信が発生しても二重処理(二重課金・重複登録)が起きないことが設計・テストで確認されている</t>
        </is>
      </c>
      <c r="G39" s="4" t="inlineStr">
        <is>
          <t>非冪等な処理はリトライ・再配信時にデータ不整合や二重実行を引き起こす。</t>
        </is>
      </c>
      <c r="H39" s="4" t="inlineStr">
        <is>
          <t>AWS Well-Architected Framework &gt; 信頼性の柱 &gt; REL 4 &gt; REL04-BP04 Make mutating operations idempotent</t>
        </is>
      </c>
      <c r="I39" s="4" t="inlineStr">
        <is>
          <t>AWS-DELTA</t>
        </is>
      </c>
      <c r="J39" s="4" t="inlineStr">
        <is>
          <t>AWS採用時に、CLOUD-COMMONで未評価のAWS固有差分へ適用。</t>
        </is>
      </c>
      <c r="K39" s="4" t="inlineStr">
        <is>
          <t>SRC-AWS-WAF</t>
        </is>
      </c>
      <c r="L39" s="4" t="inlineStr"/>
      <c r="M39" s="4" t="n"/>
      <c r="N39" s="4" t="n"/>
      <c r="O39" s="4" t="n"/>
      <c r="P39" s="4" t="n"/>
      <c r="Q39" s="4" t="n"/>
      <c r="R39" s="4" t="n"/>
      <c r="S39" s="4" t="n"/>
      <c r="T39" s="4" t="n"/>
      <c r="U39" s="4" t="n"/>
      <c r="V39" s="4" t="n"/>
      <c r="W39" s="4" t="n"/>
    </row>
    <row r="40">
      <c r="A40" s="5" t="inlineStr">
        <is>
          <t>AWS-039</t>
        </is>
      </c>
      <c r="B40" s="5" t="inlineStr">
        <is>
          <t>WAF</t>
        </is>
      </c>
      <c r="C40" s="4" t="inlineStr">
        <is>
          <t>信頼性 / Reliability</t>
        </is>
      </c>
      <c r="D40" s="9" t="inlineStr">
        <is>
          <t>High</t>
        </is>
      </c>
      <c r="E40" s="4" t="inlineStr">
        <is>
          <t>依存先呼び出しのリトライがエクスポネンシャルバックオフ+ジッター付きで制御され、リトライ回数に上限がある</t>
        </is>
      </c>
      <c r="F40" s="4" t="inlineStr">
        <is>
          <t>SDKのリトライ設定またはアプリ実装でバックオフ・上限・ジッターが設定され、無制限リトライが存在しない</t>
        </is>
      </c>
      <c r="G40" s="4" t="inlineStr">
        <is>
          <t>無秩序なリトライはリトライストームとなり、障害中のサービスへの過負荷で復旧を妨げる。</t>
        </is>
      </c>
      <c r="H40" s="4" t="inlineStr">
        <is>
          <t>AWS Well-Architected Framework &gt; 信頼性の柱 &gt; REL 5 &gt; REL05-BP03 Control and limit retry calls</t>
        </is>
      </c>
      <c r="I40" s="4" t="inlineStr">
        <is>
          <t>AWS-DELTA</t>
        </is>
      </c>
      <c r="J40" s="4" t="inlineStr">
        <is>
          <t>AWS採用時に、CLOUD-COMMONで未評価のAWS固有差分へ適用。</t>
        </is>
      </c>
      <c r="K40" s="4" t="inlineStr">
        <is>
          <t>SRC-AWS-WAF</t>
        </is>
      </c>
      <c r="L40" s="4" t="inlineStr"/>
      <c r="M40" s="4" t="n"/>
      <c r="N40" s="4" t="n"/>
      <c r="O40" s="4" t="n"/>
      <c r="P40" s="4" t="n"/>
      <c r="Q40" s="4" t="n"/>
      <c r="R40" s="4" t="n"/>
      <c r="S40" s="4" t="n"/>
      <c r="T40" s="4" t="n"/>
      <c r="U40" s="4" t="n"/>
      <c r="V40" s="4" t="n"/>
      <c r="W40" s="4" t="n"/>
    </row>
    <row r="41">
      <c r="A41" s="5" t="inlineStr">
        <is>
          <t>AWS-040</t>
        </is>
      </c>
      <c r="B41" s="5" t="inlineStr">
        <is>
          <t>WAF</t>
        </is>
      </c>
      <c r="C41" s="4" t="inlineStr">
        <is>
          <t>信頼性 / Reliability</t>
        </is>
      </c>
      <c r="D41" s="10" t="inlineStr">
        <is>
          <t>Medium</t>
        </is>
      </c>
      <c r="E41" s="4" t="inlineStr">
        <is>
          <t>全ての外部・依存先呼び出しに適切なクライアントタイムアウトが設定されている</t>
        </is>
      </c>
      <c r="F41" s="4" t="inlineStr">
        <is>
          <t>接続・読み取りタイムアウトがデフォルト任せでなく要件に基づき設定され、タイムアウト時の挙動が定義されている</t>
        </is>
      </c>
      <c r="G41" s="4" t="inlineStr">
        <is>
          <t>タイムアウト未設定はスレッド/コネクション枯渇を招き、依存先の遅延が自サービスの全停止に発展する。</t>
        </is>
      </c>
      <c r="H41" s="4" t="inlineStr">
        <is>
          <t>AWS Well-Architected Framework &gt; 信頼性の柱 &gt; REL 5 &gt; REL05-BP05 Set client timeouts</t>
        </is>
      </c>
      <c r="I41" s="4" t="inlineStr">
        <is>
          <t>AWS-DELTA</t>
        </is>
      </c>
      <c r="J41" s="4" t="inlineStr">
        <is>
          <t>AWS採用時に、CLOUD-COMMONで未評価のAWS固有差分へ適用。</t>
        </is>
      </c>
      <c r="K41" s="4" t="inlineStr">
        <is>
          <t>SRC-AWS-WAF</t>
        </is>
      </c>
      <c r="L41" s="4" t="inlineStr"/>
      <c r="M41" s="4" t="n"/>
      <c r="N41" s="4" t="n"/>
      <c r="O41" s="4" t="n"/>
      <c r="P41" s="4" t="n"/>
      <c r="Q41" s="4" t="n"/>
      <c r="R41" s="4" t="n"/>
      <c r="S41" s="4" t="n"/>
      <c r="T41" s="4" t="n"/>
      <c r="U41" s="4" t="n"/>
      <c r="V41" s="4" t="n"/>
      <c r="W41" s="4" t="n"/>
    </row>
    <row r="42">
      <c r="A42" s="5" t="inlineStr">
        <is>
          <t>AWS-041</t>
        </is>
      </c>
      <c r="B42" s="5" t="inlineStr">
        <is>
          <t>WAF</t>
        </is>
      </c>
      <c r="C42" s="4" t="inlineStr">
        <is>
          <t>信頼性 / Reliability</t>
        </is>
      </c>
      <c r="D42" s="10" t="inlineStr">
        <is>
          <t>Medium</t>
        </is>
      </c>
      <c r="E42" s="4" t="inlineStr">
        <is>
          <t>アプリケーションが可能な限りステートレスに設計され、セッション状態をElastiCache/DynamoDB等の外部ストアに退避している</t>
        </is>
      </c>
      <c r="F42" s="4" t="inlineStr">
        <is>
          <t>任意のインスタンス停止・入替がユーザーセッションに影響しないことが確認されている(スティッキーセッション依存がない)</t>
        </is>
      </c>
      <c r="G42" s="4" t="inlineStr">
        <is>
          <t>ステートフルなサーバーはスケールイン・障害時のインスタンス入替でユーザー影響を発生させる。</t>
        </is>
      </c>
      <c r="H42" s="4" t="inlineStr">
        <is>
          <t>AWS Well-Architected Framework &gt; 信頼性の柱 &gt; REL 5 &gt; REL05-BP06 Make systems stateless where possible</t>
        </is>
      </c>
      <c r="I42" s="4" t="inlineStr">
        <is>
          <t>AWS-DELTA</t>
        </is>
      </c>
      <c r="J42" s="4" t="inlineStr">
        <is>
          <t>AWS採用時に、CLOUD-COMMONで未評価のAWS固有差分へ適用。</t>
        </is>
      </c>
      <c r="K42" s="4" t="inlineStr">
        <is>
          <t>SRC-AWS-WAF</t>
        </is>
      </c>
      <c r="L42" s="4" t="inlineStr"/>
      <c r="M42" s="4" t="n"/>
      <c r="N42" s="4" t="n"/>
      <c r="O42" s="4" t="n"/>
      <c r="P42" s="4" t="n"/>
      <c r="Q42" s="4" t="n"/>
      <c r="R42" s="4" t="n"/>
      <c r="S42" s="4" t="n"/>
      <c r="T42" s="4" t="n"/>
      <c r="U42" s="4" t="n"/>
      <c r="V42" s="4" t="n"/>
      <c r="W42" s="4" t="n"/>
    </row>
    <row r="43">
      <c r="A43" s="5" t="inlineStr">
        <is>
          <t>AWS-042</t>
        </is>
      </c>
      <c r="B43" s="5" t="inlineStr">
        <is>
          <t>WAF</t>
        </is>
      </c>
      <c r="C43" s="4" t="inlineStr">
        <is>
          <t>信頼性 / Reliability</t>
        </is>
      </c>
      <c r="D43" s="8" t="inlineStr">
        <is>
          <t>Critical</t>
        </is>
      </c>
      <c r="E43" s="4" t="inlineStr">
        <is>
          <t>ワークロードが複数AZに分散配置されている(EC2/ECSのマルチAZ、RDS Multi-AZ、ELBのクロスAZ等)。要件に応じてマルチリージョンを検討している</t>
        </is>
      </c>
      <c r="F43" s="4" t="inlineStr">
        <is>
          <t>本番の全階層(LB・アプリ・DB)が2AZ以上に配置され、1AZ喪失でもサービス継続できる構成が図面と実機で確認できる</t>
        </is>
      </c>
      <c r="G43" s="4" t="inlineStr">
        <is>
          <t>単一AZ構成はAZ障害(データセンター障害)でサービス全停止・データ喪失につながる。</t>
        </is>
      </c>
      <c r="H43" s="4" t="inlineStr">
        <is>
          <t>AWS Well-Architected Framework &gt; 信頼性の柱 &gt; REL 10 &gt; REL10-BP01 Deploy the workload to multiple locations</t>
        </is>
      </c>
      <c r="I43" s="4" t="inlineStr">
        <is>
          <t>AWS-DELTA</t>
        </is>
      </c>
      <c r="J43" s="4" t="inlineStr">
        <is>
          <t>AWS採用時に、CLOUD-COMMONで未評価のAWS固有差分へ適用。</t>
        </is>
      </c>
      <c r="K43" s="4" t="inlineStr">
        <is>
          <t>SRC-AWS-WAF</t>
        </is>
      </c>
      <c r="L43" s="4" t="inlineStr"/>
      <c r="M43" s="4" t="n"/>
      <c r="N43" s="4" t="n"/>
      <c r="O43" s="4" t="n"/>
      <c r="P43" s="4" t="n"/>
      <c r="Q43" s="4" t="n"/>
      <c r="R43" s="4" t="n"/>
      <c r="S43" s="4" t="n"/>
      <c r="T43" s="4" t="n"/>
      <c r="U43" s="4" t="n"/>
      <c r="V43" s="4" t="n"/>
      <c r="W43" s="4" t="n"/>
    </row>
    <row r="44">
      <c r="A44" s="5" t="inlineStr">
        <is>
          <t>AWS-043</t>
        </is>
      </c>
      <c r="B44" s="5" t="inlineStr">
        <is>
          <t>WAF</t>
        </is>
      </c>
      <c r="C44" s="4" t="inlineStr">
        <is>
          <t>信頼性 / Reliability</t>
        </is>
      </c>
      <c r="D44" s="9" t="inlineStr">
        <is>
          <t>High</t>
        </is>
      </c>
      <c r="E44" s="4" t="inlineStr">
        <is>
          <t>Auto Scaling・ヘルスチェック・RDS自動フェイルオーバー等により、全レイヤーで障害からの自動復旧(セルフヒーリング)が構成されている</t>
        </is>
      </c>
      <c r="F44" s="4" t="inlineStr">
        <is>
          <t>インスタンス障害時に人手を介さず置換・フェイルオーバーが行われることがテストで確認されている</t>
        </is>
      </c>
      <c r="G44" s="4" t="inlineStr">
        <is>
          <t>手動復旧前提の構成は夜間障害でMTTRが数時間単位に伸びる。</t>
        </is>
      </c>
      <c r="H44" s="4" t="inlineStr">
        <is>
          <t>AWS Well-Architected Framework &gt; 信頼性の柱 &gt; REL 11 &gt; REL11-BP03 Automate healing on all layers</t>
        </is>
      </c>
      <c r="I44" s="4" t="inlineStr">
        <is>
          <t>AWS-DELTA</t>
        </is>
      </c>
      <c r="J44" s="4" t="inlineStr">
        <is>
          <t>AWS採用時に、CLOUD-COMMONで未評価のAWS固有差分へ適用。</t>
        </is>
      </c>
      <c r="K44" s="4" t="inlineStr">
        <is>
          <t>SRC-AWS-WAF</t>
        </is>
      </c>
      <c r="L44" s="4" t="inlineStr">
        <is>
          <t>RELIABILITY-HA</t>
        </is>
      </c>
      <c r="M44" s="4" t="n"/>
      <c r="N44" s="4" t="n"/>
      <c r="O44" s="4" t="n"/>
      <c r="P44" s="4" t="n"/>
      <c r="Q44" s="4" t="n"/>
      <c r="R44" s="4" t="n"/>
      <c r="S44" s="4" t="n"/>
      <c r="T44" s="4" t="n"/>
      <c r="U44" s="4" t="n"/>
      <c r="V44" s="4" t="n"/>
      <c r="W44" s="4" t="n"/>
    </row>
    <row r="45">
      <c r="A45" s="5" t="inlineStr">
        <is>
          <t>AWS-044</t>
        </is>
      </c>
      <c r="B45" s="5" t="inlineStr">
        <is>
          <t>WAF</t>
        </is>
      </c>
      <c r="C45" s="4" t="inlineStr">
        <is>
          <t>信頼性 / Reliability</t>
        </is>
      </c>
      <c r="D45" s="8" t="inlineStr">
        <is>
          <t>Critical</t>
        </is>
      </c>
      <c r="E45" s="4" t="inlineStr">
        <is>
          <t>AWS Backup等でバックアップが自動化され、対象データが漏れなく識別されている</t>
        </is>
      </c>
      <c r="F45" s="4" t="inlineStr">
        <is>
          <t>RPOに基づくバックアップ計画が全データストア(RDS/EBS/EFS/DynamoDB/S3等)をカバーし、自動実行と成功監視が行われている</t>
        </is>
      </c>
      <c r="G45" s="4" t="inlineStr">
        <is>
          <t>バックアップの取得漏れ・手動運用は、障害・誤操作・ランサムウェア時の恒久的データ損失につながる。</t>
        </is>
      </c>
      <c r="H45" s="4" t="inlineStr">
        <is>
          <t>AWS Well-Architected Framework &gt; 信頼性の柱 &gt; REL 9 &gt; REL09-BP01 Identify and back up all data that needs to be backed up / REL09-BP03 Perform data backup automatically</t>
        </is>
      </c>
      <c r="I45" s="4" t="inlineStr">
        <is>
          <t>AWS-DELTA</t>
        </is>
      </c>
      <c r="J45" s="4" t="inlineStr">
        <is>
          <t>AWS採用時に、CLOUD-COMMONで未評価のAWS固有差分へ適用。</t>
        </is>
      </c>
      <c r="K45" s="4" t="inlineStr">
        <is>
          <t>SRC-AWS-WAF</t>
        </is>
      </c>
      <c r="L45" s="4" t="inlineStr">
        <is>
          <t>CONTINUITY-BACKUP</t>
        </is>
      </c>
      <c r="M45" s="4" t="n"/>
      <c r="N45" s="4" t="n"/>
      <c r="O45" s="4" t="n"/>
      <c r="P45" s="4" t="n"/>
      <c r="Q45" s="4" t="n"/>
      <c r="R45" s="4" t="n"/>
      <c r="S45" s="4" t="n"/>
      <c r="T45" s="4" t="n"/>
      <c r="U45" s="4" t="n"/>
      <c r="V45" s="4" t="n"/>
      <c r="W45" s="4" t="n"/>
    </row>
    <row r="46">
      <c r="A46" s="5" t="inlineStr">
        <is>
          <t>AWS-045</t>
        </is>
      </c>
      <c r="B46" s="5" t="inlineStr">
        <is>
          <t>WAF</t>
        </is>
      </c>
      <c r="C46" s="4" t="inlineStr">
        <is>
          <t>信頼性 / Reliability</t>
        </is>
      </c>
      <c r="D46" s="9" t="inlineStr">
        <is>
          <t>High</t>
        </is>
      </c>
      <c r="E46" s="4" t="inlineStr">
        <is>
          <t>バックアップが暗号化され、削除・改ざんから保護されている(別アカウントへのコピー、Backup Vault Lock等)</t>
        </is>
      </c>
      <c r="F46" s="4" t="inlineStr">
        <is>
          <t>バックアップがKMS暗号化され、本番管理者権限では削除できない保護(別アカウント/Vault Lock/オブジェクトロック)が適用されている</t>
        </is>
      </c>
      <c r="G46" s="4" t="inlineStr">
        <is>
          <t>本番と同一権限で消せるバックアップは、ランサムウェアや悪意ある操作で本体もろとも失われる。</t>
        </is>
      </c>
      <c r="H46" s="4" t="inlineStr">
        <is>
          <t>AWS Well-Architected Framework &gt; 信頼性の柱 &gt; REL 9 &gt; REL09-BP02 Secure and encrypt backups</t>
        </is>
      </c>
      <c r="I46" s="4" t="inlineStr">
        <is>
          <t>AWS-DELTA</t>
        </is>
      </c>
      <c r="J46" s="4" t="inlineStr">
        <is>
          <t>AWS採用時に、CLOUD-COMMONで未評価のAWS固有差分へ適用。</t>
        </is>
      </c>
      <c r="K46" s="4" t="inlineStr">
        <is>
          <t>SRC-AWS-WAF</t>
        </is>
      </c>
      <c r="L46" s="4" t="inlineStr">
        <is>
          <t>CONTINUITY-BACKUP;SEC-CRYPTO</t>
        </is>
      </c>
      <c r="M46" s="4" t="n"/>
      <c r="N46" s="4" t="n"/>
      <c r="O46" s="4" t="n"/>
      <c r="P46" s="4" t="n"/>
      <c r="Q46" s="4" t="n"/>
      <c r="R46" s="4" t="n"/>
      <c r="S46" s="4" t="n"/>
      <c r="T46" s="4" t="n"/>
      <c r="U46" s="4" t="n"/>
      <c r="V46" s="4" t="n"/>
      <c r="W46" s="4" t="n"/>
    </row>
    <row r="47">
      <c r="A47" s="5" t="inlineStr">
        <is>
          <t>AWS-046</t>
        </is>
      </c>
      <c r="B47" s="5" t="inlineStr">
        <is>
          <t>WAF</t>
        </is>
      </c>
      <c r="C47" s="4" t="inlineStr">
        <is>
          <t>信頼性 / Reliability</t>
        </is>
      </c>
      <c r="D47" s="9" t="inlineStr">
        <is>
          <t>High</t>
        </is>
      </c>
      <c r="E47" s="4" t="inlineStr">
        <is>
          <t>バックアップからの復元を定期的に実施し、整合性と復旧手順を検証している</t>
        </is>
      </c>
      <c r="F47" s="4" t="inlineStr">
        <is>
          <t>定期的(少なくとも年1回以上)なリストア演習の記録があり、実測復旧時間がRTOを満たしている</t>
        </is>
      </c>
      <c r="G47" s="4" t="inlineStr">
        <is>
          <t>復元テストのないバックアップは、いざという時に復元不能・手順不明で役に立たないことが多い。</t>
        </is>
      </c>
      <c r="H47" s="4" t="inlineStr">
        <is>
          <t>AWS Well-Architected Framework &gt; 信頼性の柱 &gt; REL 9 &gt; REL09-BP04 Perform periodic recovery of the data to verify backup integrity and processes</t>
        </is>
      </c>
      <c r="I47" s="4" t="inlineStr">
        <is>
          <t>AWS-DELTA</t>
        </is>
      </c>
      <c r="J47" s="4" t="inlineStr">
        <is>
          <t>AWS採用時に、CLOUD-COMMONで未評価のAWS固有差分へ適用。</t>
        </is>
      </c>
      <c r="K47" s="4" t="inlineStr">
        <is>
          <t>SRC-AWS-WAF</t>
        </is>
      </c>
      <c r="L47" s="4" t="inlineStr">
        <is>
          <t>CONTINUITY-BACKUP</t>
        </is>
      </c>
      <c r="M47" s="4" t="n"/>
      <c r="N47" s="4" t="n"/>
      <c r="O47" s="4" t="n"/>
      <c r="P47" s="4" t="n"/>
      <c r="Q47" s="4" t="n"/>
      <c r="R47" s="4" t="n"/>
      <c r="S47" s="4" t="n"/>
      <c r="T47" s="4" t="n"/>
      <c r="U47" s="4" t="n"/>
      <c r="V47" s="4" t="n"/>
      <c r="W47" s="4" t="n"/>
    </row>
    <row r="48">
      <c r="A48" s="5" t="inlineStr">
        <is>
          <t>AWS-047</t>
        </is>
      </c>
      <c r="B48" s="5" t="inlineStr">
        <is>
          <t>WAF</t>
        </is>
      </c>
      <c r="C48" s="4" t="inlineStr">
        <is>
          <t>信頼性 / Reliability</t>
        </is>
      </c>
      <c r="D48" s="8" t="inlineStr">
        <is>
          <t>Critical</t>
        </is>
      </c>
      <c r="E48" s="4" t="inlineStr">
        <is>
          <t>ダウンタイム(RTO)とデータ損失(RPO)の復旧目標がビジネス要件に基づき定義されている</t>
        </is>
      </c>
      <c r="F48" s="4" t="inlineStr">
        <is>
          <t>ワークロードごとにRTO/RPOが数値で文書化され、ビジネスオーナーの承認を得ている</t>
        </is>
      </c>
      <c r="G48" s="4" t="inlineStr">
        <is>
          <t>復旧目標がないとDR投資の過不足を判断できず、災害時に許容範囲を超える停止・データ損失が発生する。</t>
        </is>
      </c>
      <c r="H48" s="4" t="inlineStr">
        <is>
          <t>AWS Well-Architected Framework &gt; 信頼性の柱 &gt; REL 13 &gt; REL13-BP01 Define recovery objectives for downtime and data loss</t>
        </is>
      </c>
      <c r="I48" s="4" t="inlineStr">
        <is>
          <t>AWS-DELTA</t>
        </is>
      </c>
      <c r="J48" s="4" t="inlineStr">
        <is>
          <t>AWS採用時に、CLOUD-COMMONで未評価のAWS固有差分へ適用。</t>
        </is>
      </c>
      <c r="K48" s="4" t="inlineStr">
        <is>
          <t>SRC-AWS-WAF</t>
        </is>
      </c>
      <c r="L48" s="4" t="inlineStr">
        <is>
          <t>CONTINUITY-DR</t>
        </is>
      </c>
      <c r="M48" s="4" t="n"/>
      <c r="N48" s="4" t="n"/>
      <c r="O48" s="4" t="n"/>
      <c r="P48" s="4" t="n"/>
      <c r="Q48" s="4" t="n"/>
      <c r="R48" s="4" t="n"/>
      <c r="S48" s="4" t="n"/>
      <c r="T48" s="4" t="n"/>
      <c r="U48" s="4" t="n"/>
      <c r="V48" s="4" t="n"/>
      <c r="W48" s="4" t="n"/>
    </row>
    <row r="49">
      <c r="A49" s="5" t="inlineStr">
        <is>
          <t>AWS-048</t>
        </is>
      </c>
      <c r="B49" s="5" t="inlineStr">
        <is>
          <t>WAF</t>
        </is>
      </c>
      <c r="C49" s="4" t="inlineStr">
        <is>
          <t>信頼性 / Reliability</t>
        </is>
      </c>
      <c r="D49" s="9" t="inlineStr">
        <is>
          <t>High</t>
        </is>
      </c>
      <c r="E49" s="4" t="inlineStr">
        <is>
          <t>RTO/RPOを満たすDR戦略(バックアップ&amp;リストア/パイロットライト/ウォームスタンバイ/マルチサイト)が選定・実装されている</t>
        </is>
      </c>
      <c r="F49" s="4" t="inlineStr">
        <is>
          <t>採用したDR戦略が文書化され、必要なリソース(別リージョンへのレプリケーション、AMI/データのコピー等)が実装済みである</t>
        </is>
      </c>
      <c r="G49" s="4" t="inlineStr">
        <is>
          <t>DR戦略が未定義だと、リージョン規模の障害時に復旧手段がなく長期停止に陥る。</t>
        </is>
      </c>
      <c r="H49" s="4" t="inlineStr">
        <is>
          <t>AWS Well-Architected Framework &gt; 信頼性の柱 &gt; REL 13 &gt; REL13-BP02 Use defined recovery strategies to meet the recovery objectives</t>
        </is>
      </c>
      <c r="I49" s="4" t="inlineStr">
        <is>
          <t>AWS-DELTA</t>
        </is>
      </c>
      <c r="J49" s="4" t="inlineStr">
        <is>
          <t>AWS採用時に、CLOUD-COMMONで未評価のAWS固有差分へ適用。</t>
        </is>
      </c>
      <c r="K49" s="4" t="inlineStr">
        <is>
          <t>SRC-AWS-WAF</t>
        </is>
      </c>
      <c r="L49" s="4" t="inlineStr">
        <is>
          <t>CONTINUITY-BACKUP;CONTINUITY-DR</t>
        </is>
      </c>
      <c r="M49" s="4" t="n"/>
      <c r="N49" s="4" t="n"/>
      <c r="O49" s="4" t="n"/>
      <c r="P49" s="4" t="n"/>
      <c r="Q49" s="4" t="n"/>
      <c r="R49" s="4" t="n"/>
      <c r="S49" s="4" t="n"/>
      <c r="T49" s="4" t="n"/>
      <c r="U49" s="4" t="n"/>
      <c r="V49" s="4" t="n"/>
      <c r="W49" s="4" t="n"/>
    </row>
    <row r="50">
      <c r="A50" s="5" t="inlineStr">
        <is>
          <t>AWS-049</t>
        </is>
      </c>
      <c r="B50" s="5" t="inlineStr">
        <is>
          <t>WAF</t>
        </is>
      </c>
      <c r="C50" s="4" t="inlineStr">
        <is>
          <t>信頼性 / Reliability</t>
        </is>
      </c>
      <c r="D50" s="9" t="inlineStr">
        <is>
          <t>High</t>
        </is>
      </c>
      <c r="E50" s="4" t="inlineStr">
        <is>
          <t>DR切替(フェイルオーバー)を定期的にテストし、実装がRTO/RPOを満たすことを検証している</t>
        </is>
      </c>
      <c r="F50" s="4" t="inlineStr">
        <is>
          <t>DRテストの実施記録があり、実測値がRTO/RPO目標内であること、発見された課題が是正されていることが確認できる</t>
        </is>
      </c>
      <c r="G50" s="4" t="inlineStr">
        <is>
          <t>テストされないDRは構成ドリフトや手順の陳腐化により本番災害時に機能しない。</t>
        </is>
      </c>
      <c r="H50" s="4" t="inlineStr">
        <is>
          <t>AWS Well-Architected Framework &gt; 信頼性の柱 &gt; REL 13 &gt; REL13-BP03 Test disaster recovery implementation to validate the implementation</t>
        </is>
      </c>
      <c r="I50" s="4" t="inlineStr">
        <is>
          <t>AWS-DELTA</t>
        </is>
      </c>
      <c r="J50" s="4" t="inlineStr">
        <is>
          <t>AWS採用時に、CLOUD-COMMONで未評価のAWS固有差分へ適用。</t>
        </is>
      </c>
      <c r="K50" s="4" t="inlineStr">
        <is>
          <t>SRC-AWS-WAF</t>
        </is>
      </c>
      <c r="L50" s="4" t="inlineStr">
        <is>
          <t>CONTINUITY-DR;RELIABILITY-HA</t>
        </is>
      </c>
      <c r="M50" s="4" t="n"/>
      <c r="N50" s="4" t="n"/>
      <c r="O50" s="4" t="n"/>
      <c r="P50" s="4" t="n"/>
      <c r="Q50" s="4" t="n"/>
      <c r="R50" s="4" t="n"/>
      <c r="S50" s="4" t="n"/>
      <c r="T50" s="4" t="n"/>
      <c r="U50" s="4" t="n"/>
      <c r="V50" s="4" t="n"/>
      <c r="W50" s="4" t="n"/>
    </row>
    <row r="51">
      <c r="A51" s="5" t="inlineStr">
        <is>
          <t>AWS-050</t>
        </is>
      </c>
      <c r="B51" s="5" t="inlineStr">
        <is>
          <t>WAF</t>
        </is>
      </c>
      <c r="C51" s="4" t="inlineStr">
        <is>
          <t>信頼性 / Reliability</t>
        </is>
      </c>
      <c r="D51" s="10" t="inlineStr">
        <is>
          <t>Medium</t>
        </is>
      </c>
      <c r="E51" s="4" t="inlineStr">
        <is>
          <t>AWS Fault Injection Service等を用いたカオスエンジニアリングで回復性を検証している</t>
        </is>
      </c>
      <c r="F51" s="4" t="inlineStr">
        <is>
          <t>AZ障害・インスタンス停止・遅延注入等の障害注入実験が非本番(成熟後は本番)で定期実施されている</t>
        </is>
      </c>
      <c r="G51" s="4" t="inlineStr">
        <is>
          <t>障害注入で検証しない回復性設計は、実障害時に想定外の挙動(フェイルオーバー失敗等)を露呈する。</t>
        </is>
      </c>
      <c r="H51" s="4" t="inlineStr">
        <is>
          <t>AWS Well-Architected Framework &gt; 信頼性の柱 &gt; REL 12 &gt; REL12-BP04 Test resiliency using chaos engineering</t>
        </is>
      </c>
      <c r="I51" s="4" t="inlineStr">
        <is>
          <t>AWS-DELTA</t>
        </is>
      </c>
      <c r="J51" s="4" t="inlineStr">
        <is>
          <t>AWS採用時に、CLOUD-COMMONで未評価のAWS固有差分へ適用。</t>
        </is>
      </c>
      <c r="K51" s="4" t="inlineStr">
        <is>
          <t>SRC-AWS-WAF</t>
        </is>
      </c>
      <c r="L51" s="4" t="inlineStr"/>
      <c r="M51" s="4" t="n"/>
      <c r="N51" s="4" t="n"/>
      <c r="O51" s="4" t="n"/>
      <c r="P51" s="4" t="n"/>
      <c r="Q51" s="4" t="n"/>
      <c r="R51" s="4" t="n"/>
      <c r="S51" s="4" t="n"/>
      <c r="T51" s="4" t="n"/>
      <c r="U51" s="4" t="n"/>
      <c r="V51" s="4" t="n"/>
      <c r="W51" s="4" t="n"/>
    </row>
    <row r="52">
      <c r="A52" s="5" t="inlineStr">
        <is>
          <t>AWS-051</t>
        </is>
      </c>
      <c r="B52" s="5" t="inlineStr">
        <is>
          <t>WAF</t>
        </is>
      </c>
      <c r="C52" s="4" t="inlineStr">
        <is>
          <t>パフォーマンス効率 / Performance Efficiency</t>
        </is>
      </c>
      <c r="D52" s="10" t="inlineStr">
        <is>
          <t>Medium</t>
        </is>
      </c>
      <c r="E52" s="4" t="inlineStr">
        <is>
          <t>ワークロード特性に基づき最適なコンピューティングオプション(EC2/ECS/EKS/Fargate/Lambda)を選定し、選定理由を記録している</t>
        </is>
      </c>
      <c r="F52" s="4" t="inlineStr">
        <is>
          <t>コンピューティング選定の根拠(実行パターン、スパイク特性、実行時間等)が設計文書に記載されている</t>
        </is>
      </c>
      <c r="G52" s="4" t="inlineStr">
        <is>
          <t>不適切なコンピューティング選択は性能不足またはリソース浪費を恒常化させる。</t>
        </is>
      </c>
      <c r="H52" s="4" t="inlineStr">
        <is>
          <t>AWS Well-Architected Framework &gt; パフォーマンス効率の柱 &gt; PERF 2 &gt; PERF02-BP01 Select the best compute options for your workload</t>
        </is>
      </c>
      <c r="I52" s="4" t="inlineStr">
        <is>
          <t>AWS-DELTA</t>
        </is>
      </c>
      <c r="J52" s="4" t="inlineStr">
        <is>
          <t>AWS採用時に、CLOUD-COMMONで未評価のAWS固有差分へ適用。</t>
        </is>
      </c>
      <c r="K52" s="4" t="inlineStr">
        <is>
          <t>SRC-AWS-WAF</t>
        </is>
      </c>
      <c r="L52" s="4" t="inlineStr"/>
      <c r="M52" s="4" t="n"/>
      <c r="N52" s="4" t="n"/>
      <c r="O52" s="4" t="n"/>
      <c r="P52" s="4" t="n"/>
      <c r="Q52" s="4" t="n"/>
      <c r="R52" s="4" t="n"/>
      <c r="S52" s="4" t="n"/>
      <c r="T52" s="4" t="n"/>
      <c r="U52" s="4" t="n"/>
      <c r="V52" s="4" t="n"/>
      <c r="W52" s="4" t="n"/>
    </row>
    <row r="53">
      <c r="A53" s="5" t="inlineStr">
        <is>
          <t>AWS-052</t>
        </is>
      </c>
      <c r="B53" s="5" t="inlineStr">
        <is>
          <t>WAF</t>
        </is>
      </c>
      <c r="C53" s="4" t="inlineStr">
        <is>
          <t>パフォーマンス効率 / Performance Efficiency</t>
        </is>
      </c>
      <c r="D53" s="10" t="inlineStr">
        <is>
          <t>Medium</t>
        </is>
      </c>
      <c r="E53" s="4" t="inlineStr">
        <is>
          <t>AWS Compute Optimizer/CloudWatchメトリクスに基づきインスタンスタイプ・サイズをライトサイジングしている</t>
        </is>
      </c>
      <c r="F53" s="4" t="inlineStr">
        <is>
          <t>使用率データに基づくサイズ見直しが定期的(四半期等)に実施され、過剰・過小プロビジョニングの指摘に対応している</t>
        </is>
      </c>
      <c r="G53" s="4" t="inlineStr">
        <is>
          <t>勘に頼ったサイジングは、性能劣化かコスト浪費のいずれかを常に発生させる。</t>
        </is>
      </c>
      <c r="H53" s="4" t="inlineStr">
        <is>
          <t>AWS Well-Architected Framework &gt; パフォーマンス効率の柱 &gt; PERF 2 &gt; PERF02-BP04 Configure and right-size compute resources</t>
        </is>
      </c>
      <c r="I53" s="4" t="inlineStr">
        <is>
          <t>AWS-DELTA</t>
        </is>
      </c>
      <c r="J53" s="4" t="inlineStr">
        <is>
          <t>AWS採用時に、CLOUD-COMMONで未評価のAWS固有差分へ適用。</t>
        </is>
      </c>
      <c r="K53" s="4" t="inlineStr">
        <is>
          <t>SRC-AWS-WAF</t>
        </is>
      </c>
      <c r="L53" s="4" t="inlineStr">
        <is>
          <t>OPS-OBSERVABILITY</t>
        </is>
      </c>
      <c r="M53" s="4" t="n"/>
      <c r="N53" s="4" t="n"/>
      <c r="O53" s="4" t="n"/>
      <c r="P53" s="4" t="n"/>
      <c r="Q53" s="4" t="n"/>
      <c r="R53" s="4" t="n"/>
      <c r="S53" s="4" t="n"/>
      <c r="T53" s="4" t="n"/>
      <c r="U53" s="4" t="n"/>
      <c r="V53" s="4" t="n"/>
      <c r="W53" s="4" t="n"/>
    </row>
    <row r="54">
      <c r="A54" s="5" t="inlineStr">
        <is>
          <t>AWS-053</t>
        </is>
      </c>
      <c r="B54" s="5" t="inlineStr">
        <is>
          <t>WAF</t>
        </is>
      </c>
      <c r="C54" s="4" t="inlineStr">
        <is>
          <t>パフォーマンス効率 / Performance Efficiency</t>
        </is>
      </c>
      <c r="D54" s="9" t="inlineStr">
        <is>
          <t>High</t>
        </is>
      </c>
      <c r="E54" s="4" t="inlineStr">
        <is>
          <t>EC2 Auto Scaling/Application Auto Scaling等でコンピューティングリソースが需要に応じて動的にスケールする</t>
        </is>
      </c>
      <c r="F54" s="4" t="inlineStr">
        <is>
          <t>スケーリングポリシー(ターゲット追跡等)が設定され、負荷テストでスケールアウト/インが機能することを確認済み</t>
        </is>
      </c>
      <c r="G54" s="4" t="inlineStr">
        <is>
          <t>固定台数構成はピーク時の性能劣化・障害とオフピーク時の浪費を同時に生む。</t>
        </is>
      </c>
      <c r="H54" s="4" t="inlineStr">
        <is>
          <t>AWS Well-Architected Framework &gt; パフォーマンス効率の柱 &gt; PERF 2 &gt; PERF02-BP05 Scale your compute resources dynamically</t>
        </is>
      </c>
      <c r="I54" s="4" t="inlineStr">
        <is>
          <t>AWS-DELTA</t>
        </is>
      </c>
      <c r="J54" s="4" t="inlineStr">
        <is>
          <t>AWS採用時に、CLOUD-COMMONで未評価のAWS固有差分へ適用。</t>
        </is>
      </c>
      <c r="K54" s="4" t="inlineStr">
        <is>
          <t>SRC-AWS-WAF</t>
        </is>
      </c>
      <c r="L54" s="4" t="inlineStr"/>
      <c r="M54" s="4" t="n"/>
      <c r="N54" s="4" t="n"/>
      <c r="O54" s="4" t="n"/>
      <c r="P54" s="4" t="n"/>
      <c r="Q54" s="4" t="n"/>
      <c r="R54" s="4" t="n"/>
      <c r="S54" s="4" t="n"/>
      <c r="T54" s="4" t="n"/>
      <c r="U54" s="4" t="n"/>
      <c r="V54" s="4" t="n"/>
      <c r="W54" s="4" t="n"/>
    </row>
    <row r="55">
      <c r="A55" s="5" t="inlineStr">
        <is>
          <t>AWS-054</t>
        </is>
      </c>
      <c r="B55" s="5" t="inlineStr">
        <is>
          <t>WAF</t>
        </is>
      </c>
      <c r="C55" s="4" t="inlineStr">
        <is>
          <t>パフォーマンス効率 / Performance Efficiency</t>
        </is>
      </c>
      <c r="D55" s="10" t="inlineStr">
        <is>
          <t>Medium</t>
        </is>
      </c>
      <c r="E55" s="4" t="inlineStr">
        <is>
          <t>データ特性・アクセスパターンに応じた目的別データストア(RDS/Aurora/DynamoDB/ElastiCache/S3/OpenSearch等)を選定している</t>
        </is>
      </c>
      <c r="F55" s="4" t="inlineStr">
        <is>
          <t>各データ種別に対しストア選定の根拠(アクセスパターン、整合性、スループット要件)が文書化されている</t>
        </is>
      </c>
      <c r="G55" s="4" t="inlineStr">
        <is>
          <t>単一DBへの全用途集約はスケール限界と性能ボトルネックの温床になる。</t>
        </is>
      </c>
      <c r="H55" s="4" t="inlineStr">
        <is>
          <t>AWS Well-Architected Framework &gt; パフォーマンス効率の柱 &gt; PERF 3 &gt; PERF03-BP01 Use a purpose-built data store that best supports your data access and storage requirements</t>
        </is>
      </c>
      <c r="I55" s="4" t="inlineStr">
        <is>
          <t>AWS-DELTA</t>
        </is>
      </c>
      <c r="J55" s="4" t="inlineStr">
        <is>
          <t>AWS採用時に、CLOUD-COMMONで未評価のAWS固有差分へ適用。</t>
        </is>
      </c>
      <c r="K55" s="4" t="inlineStr">
        <is>
          <t>SRC-AWS-WAF</t>
        </is>
      </c>
      <c r="L55" s="4" t="inlineStr"/>
      <c r="M55" s="4" t="n"/>
      <c r="N55" s="4" t="n"/>
      <c r="O55" s="4" t="n"/>
      <c r="P55" s="4" t="n"/>
      <c r="Q55" s="4" t="n"/>
      <c r="R55" s="4" t="n"/>
      <c r="S55" s="4" t="n"/>
      <c r="T55" s="4" t="n"/>
      <c r="U55" s="4" t="n"/>
      <c r="V55" s="4" t="n"/>
      <c r="W55" s="4" t="n"/>
    </row>
    <row r="56">
      <c r="A56" s="5" t="inlineStr">
        <is>
          <t>AWS-055</t>
        </is>
      </c>
      <c r="B56" s="5" t="inlineStr">
        <is>
          <t>WAF</t>
        </is>
      </c>
      <c r="C56" s="4" t="inlineStr">
        <is>
          <t>パフォーマンス効率 / Performance Efficiency</t>
        </is>
      </c>
      <c r="D56" s="10" t="inlineStr">
        <is>
          <t>Medium</t>
        </is>
      </c>
      <c r="E56" s="4" t="inlineStr">
        <is>
          <t>ElastiCache/DAX/CloudFront等によるキャッシュ戦略を実装している(対象データ、TTL、無効化方針が明確)</t>
        </is>
      </c>
      <c r="F56" s="4" t="inlineStr">
        <is>
          <t>読み取り頻度の高いデータにキャッシュが適用され、TTL・無効化・キャッシュ障害時の挙動が設計されている</t>
        </is>
      </c>
      <c r="G56" s="4" t="inlineStr">
        <is>
          <t>キャッシュ不在は読み取り負荷をDBに集中させ、コスト増とレイテンシ悪化を招く。</t>
        </is>
      </c>
      <c r="H56" s="4" t="inlineStr">
        <is>
          <t>AWS Well-Architected Framework &gt; パフォーマンス効率の柱 &gt; PERF 3 &gt; PERF03-BP05 Implement data access patterns that utilize caching</t>
        </is>
      </c>
      <c r="I56" s="4" t="inlineStr">
        <is>
          <t>AWS-DELTA</t>
        </is>
      </c>
      <c r="J56" s="4" t="inlineStr">
        <is>
          <t>AWS採用時に、CLOUD-COMMONで未評価のAWS固有差分へ適用。</t>
        </is>
      </c>
      <c r="K56" s="4" t="inlineStr">
        <is>
          <t>SRC-AWS-WAF</t>
        </is>
      </c>
      <c r="L56" s="4" t="inlineStr"/>
      <c r="M56" s="4" t="n"/>
      <c r="N56" s="4" t="n"/>
      <c r="O56" s="4" t="n"/>
      <c r="P56" s="4" t="n"/>
      <c r="Q56" s="4" t="n"/>
      <c r="R56" s="4" t="n"/>
      <c r="S56" s="4" t="n"/>
      <c r="T56" s="4" t="n"/>
      <c r="U56" s="4" t="n"/>
      <c r="V56" s="4" t="n"/>
      <c r="W56" s="4" t="n"/>
    </row>
    <row r="57">
      <c r="A57" s="5" t="inlineStr">
        <is>
          <t>AWS-056</t>
        </is>
      </c>
      <c r="B57" s="5" t="inlineStr">
        <is>
          <t>WAF</t>
        </is>
      </c>
      <c r="C57" s="4" t="inlineStr">
        <is>
          <t>パフォーマンス効率 / Performance Efficiency</t>
        </is>
      </c>
      <c r="D57" s="9" t="inlineStr">
        <is>
          <t>High</t>
        </is>
      </c>
      <c r="E57" s="4" t="inlineStr">
        <is>
          <t>ELB(ALB/NLB)により複数リソースへトラフィックが分散され、ヘルスチェックが適切に設定されている</t>
        </is>
      </c>
      <c r="F57" s="4" t="inlineStr">
        <is>
          <t>ロードバランサーのヘルスチェックがアプリの実際の健全性を反映するパスに設定され、異常ターゲットが切り離される</t>
        </is>
      </c>
      <c r="G57" s="4" t="inlineStr">
        <is>
          <t>負荷分散・ヘルスチェックの不備は一部ノードの過負荷や異常ノードへのルーティングを許す。</t>
        </is>
      </c>
      <c r="H57" s="4" t="inlineStr">
        <is>
          <t>AWS Well-Architected Framework &gt; パフォーマンス効率の柱 &gt; PERF 4 &gt; PERF04-BP04 Use load balancing to distribute traffic across multiple resources</t>
        </is>
      </c>
      <c r="I57" s="4" t="inlineStr">
        <is>
          <t>AWS-DELTA</t>
        </is>
      </c>
      <c r="J57" s="4" t="inlineStr">
        <is>
          <t>AWS採用時に、CLOUD-COMMONで未評価のAWS固有差分へ適用。</t>
        </is>
      </c>
      <c r="K57" s="4" t="inlineStr">
        <is>
          <t>SRC-AWS-WAF</t>
        </is>
      </c>
      <c r="L57" s="4" t="inlineStr"/>
      <c r="M57" s="4" t="n"/>
      <c r="N57" s="4" t="n"/>
      <c r="O57" s="4" t="n"/>
      <c r="P57" s="4" t="n"/>
      <c r="Q57" s="4" t="n"/>
      <c r="R57" s="4" t="n"/>
      <c r="S57" s="4" t="n"/>
      <c r="T57" s="4" t="n"/>
      <c r="U57" s="4" t="n"/>
      <c r="V57" s="4" t="n"/>
      <c r="W57" s="4" t="n"/>
    </row>
    <row r="58">
      <c r="A58" s="5" t="inlineStr">
        <is>
          <t>AWS-057</t>
        </is>
      </c>
      <c r="B58" s="5" t="inlineStr">
        <is>
          <t>WAF</t>
        </is>
      </c>
      <c r="C58" s="4" t="inlineStr">
        <is>
          <t>パフォーマンス効率 / Performance Efficiency</t>
        </is>
      </c>
      <c r="D58" s="10" t="inlineStr">
        <is>
          <t>Medium</t>
        </is>
      </c>
      <c r="E58" s="4" t="inlineStr">
        <is>
          <t>ユーザー分布・レイテンシ要件に基づき配置を最適化している(CloudFrontエッジ配信、リージョン選定、Global Accelerator等)</t>
        </is>
      </c>
      <c r="F58" s="4" t="inlineStr">
        <is>
          <t>静的コンテンツ・APIのレイテンシ要件が定義され、CDN・リージョン配置がそれを満たすことが計測で確認されている</t>
        </is>
      </c>
      <c r="G58" s="4" t="inlineStr">
        <is>
          <t>配置を考慮しないと遠隔ユーザーのレイテンシが悪化し、体感品質が低下する。</t>
        </is>
      </c>
      <c r="H58" s="4" t="inlineStr">
        <is>
          <t>AWS Well-Architected Framework &gt; パフォーマンス効率の柱 &gt; PERF 4 &gt; PERF04-BP06 Choose your workload's location based on network requirements</t>
        </is>
      </c>
      <c r="I58" s="4" t="inlineStr">
        <is>
          <t>AWS-DELTA</t>
        </is>
      </c>
      <c r="J58" s="4" t="inlineStr">
        <is>
          <t>AWS採用時に、CLOUD-COMMONで未評価のAWS固有差分へ適用。</t>
        </is>
      </c>
      <c r="K58" s="4" t="inlineStr">
        <is>
          <t>SRC-AWS-WAF</t>
        </is>
      </c>
      <c r="L58" s="4" t="inlineStr"/>
      <c r="M58" s="4" t="n"/>
      <c r="N58" s="4" t="n"/>
      <c r="O58" s="4" t="n"/>
      <c r="P58" s="4" t="n"/>
      <c r="Q58" s="4" t="n"/>
      <c r="R58" s="4" t="n"/>
      <c r="S58" s="4" t="n"/>
      <c r="T58" s="4" t="n"/>
      <c r="U58" s="4" t="n"/>
      <c r="V58" s="4" t="n"/>
      <c r="W58" s="4" t="n"/>
    </row>
    <row r="59">
      <c r="A59" s="5" t="inlineStr">
        <is>
          <t>AWS-058</t>
        </is>
      </c>
      <c r="B59" s="5" t="inlineStr">
        <is>
          <t>WAF</t>
        </is>
      </c>
      <c r="C59" s="4" t="inlineStr">
        <is>
          <t>パフォーマンス効率 / Performance Efficiency</t>
        </is>
      </c>
      <c r="D59" s="10" t="inlineStr">
        <is>
          <t>Medium</t>
        </is>
      </c>
      <c r="E59" s="4" t="inlineStr">
        <is>
          <t>性能KPI(レイテンシ、スループット等)が定義され、メトリクスを定期レビューしている</t>
        </is>
      </c>
      <c r="F59" s="4" t="inlineStr">
        <is>
          <t>性能KPIの目標値と計測方法が文書化され、定期レビュー(月次等)の記録がある</t>
        </is>
      </c>
      <c r="G59" s="4" t="inlineStr">
        <is>
          <t>KPIがないと性能劣化の兆候を検知できず、改善の優先順位も付けられない。</t>
        </is>
      </c>
      <c r="H59" s="4" t="inlineStr">
        <is>
          <t>AWS Well-Architected Framework &gt; パフォーマンス効率の柱 &gt; PERF 5 &gt; PERF05-BP01 Establish key performance indicators (KPIs) to measure workload health and performance / PERF05-BP07 Review metrics at regular intervals</t>
        </is>
      </c>
      <c r="I59" s="4" t="inlineStr">
        <is>
          <t>AWS-DELTA</t>
        </is>
      </c>
      <c r="J59" s="4" t="inlineStr">
        <is>
          <t>AWS採用時に、CLOUD-COMMONで未評価のAWS固有差分へ適用。</t>
        </is>
      </c>
      <c r="K59" s="4" t="inlineStr">
        <is>
          <t>SRC-AWS-WAF</t>
        </is>
      </c>
      <c r="L59" s="4" t="inlineStr">
        <is>
          <t>OPS-OBSERVABILITY</t>
        </is>
      </c>
      <c r="M59" s="4" t="n"/>
      <c r="N59" s="4" t="n"/>
      <c r="O59" s="4" t="n"/>
      <c r="P59" s="4" t="n"/>
      <c r="Q59" s="4" t="n"/>
      <c r="R59" s="4" t="n"/>
      <c r="S59" s="4" t="n"/>
      <c r="T59" s="4" t="n"/>
      <c r="U59" s="4" t="n"/>
      <c r="V59" s="4" t="n"/>
      <c r="W59" s="4" t="n"/>
    </row>
    <row r="60">
      <c r="A60" s="5" t="inlineStr">
        <is>
          <t>AWS-059</t>
        </is>
      </c>
      <c r="B60" s="5" t="inlineStr">
        <is>
          <t>WAF</t>
        </is>
      </c>
      <c r="C60" s="4" t="inlineStr">
        <is>
          <t>パフォーマンス効率 / Performance Efficiency</t>
        </is>
      </c>
      <c r="D60" s="9" t="inlineStr">
        <is>
          <t>High</t>
        </is>
      </c>
      <c r="E60" s="4" t="inlineStr">
        <is>
          <t>本番相当の条件で負荷テストを実施し、想定ピーク+余裕をもった性能を確認している</t>
        </is>
      </c>
      <c r="F60" s="4" t="inlineStr">
        <is>
          <t>想定ピークトラフィックでの負荷テスト結果があり、SLO内のレスポンスとスケーリング動作が確認されている</t>
        </is>
      </c>
      <c r="G60" s="4" t="inlineStr">
        <is>
          <t>負荷テストなしのリリースは、キャンペーンや繁忙期のピークで初めて限界を知ることになる。</t>
        </is>
      </c>
      <c r="H60" s="4" t="inlineStr">
        <is>
          <t>AWS Well-Architected Framework &gt; パフォーマンス効率の柱 &gt; PERF 5 &gt; PERF05-BP04 Load test your workload</t>
        </is>
      </c>
      <c r="I60" s="4" t="inlineStr">
        <is>
          <t>AWS-DELTA</t>
        </is>
      </c>
      <c r="J60" s="4" t="inlineStr">
        <is>
          <t>AWS採用時に、CLOUD-COMMONで未評価のAWS固有差分へ適用。</t>
        </is>
      </c>
      <c r="K60" s="4" t="inlineStr">
        <is>
          <t>SRC-AWS-WAF</t>
        </is>
      </c>
      <c r="L60" s="4" t="inlineStr"/>
      <c r="M60" s="4" t="n"/>
      <c r="N60" s="4" t="n"/>
      <c r="O60" s="4" t="n"/>
      <c r="P60" s="4" t="n"/>
      <c r="Q60" s="4" t="n"/>
      <c r="R60" s="4" t="n"/>
      <c r="S60" s="4" t="n"/>
      <c r="T60" s="4" t="n"/>
      <c r="U60" s="4" t="n"/>
      <c r="V60" s="4" t="n"/>
      <c r="W60" s="4" t="n"/>
    </row>
    <row r="61">
      <c r="A61" s="5" t="inlineStr">
        <is>
          <t>AWS-060</t>
        </is>
      </c>
      <c r="B61" s="5" t="inlineStr">
        <is>
          <t>WAF</t>
        </is>
      </c>
      <c r="C61" s="4" t="inlineStr">
        <is>
          <t>コスト最適化 / Cost Optimization</t>
        </is>
      </c>
      <c r="D61" s="9" t="inlineStr">
        <is>
          <t>High</t>
        </is>
      </c>
      <c r="E61" s="4" t="inlineStr">
        <is>
          <t>AWS Budgetsで予算と予測が設定され、超過見込み時に通知される</t>
        </is>
      </c>
      <c r="F61" s="4" t="inlineStr">
        <is>
          <t>アカウント/プロジェクト単位の予算が設定され、実績・予測ベースのアラートが責任者に通知される</t>
        </is>
      </c>
      <c r="G61" s="4" t="inlineStr">
        <is>
          <t>予算管理がないと、設定ミスや不正利用による想定外の高額請求に月末まで気づけない。</t>
        </is>
      </c>
      <c r="H61" s="4" t="inlineStr">
        <is>
          <t>AWS Well-Architected Framework &gt; コスト最適化の柱 &gt; COST 1 &gt; COST01-BP03 Establish cloud budgets and forecasts</t>
        </is>
      </c>
      <c r="I61" s="4" t="inlineStr">
        <is>
          <t>AWS-DELTA</t>
        </is>
      </c>
      <c r="J61" s="4" t="inlineStr">
        <is>
          <t>AWS採用時に、CLOUD-COMMONで未評価のAWS固有差分へ適用。</t>
        </is>
      </c>
      <c r="K61" s="4" t="inlineStr">
        <is>
          <t>SRC-AWS-WAF</t>
        </is>
      </c>
      <c r="L61" s="4" t="inlineStr">
        <is>
          <t>COST</t>
        </is>
      </c>
      <c r="M61" s="4" t="n"/>
      <c r="N61" s="4" t="n"/>
      <c r="O61" s="4" t="n"/>
      <c r="P61" s="4" t="n"/>
      <c r="Q61" s="4" t="n"/>
      <c r="R61" s="4" t="n"/>
      <c r="S61" s="4" t="n"/>
      <c r="T61" s="4" t="n"/>
      <c r="U61" s="4" t="n"/>
      <c r="V61" s="4" t="n"/>
      <c r="W61" s="4" t="n"/>
    </row>
    <row r="62">
      <c r="A62" s="5" t="inlineStr">
        <is>
          <t>AWS-061</t>
        </is>
      </c>
      <c r="B62" s="5" t="inlineStr">
        <is>
          <t>WAF</t>
        </is>
      </c>
      <c r="C62" s="4" t="inlineStr">
        <is>
          <t>コスト最適化 / Cost Optimization</t>
        </is>
      </c>
      <c r="D62" s="9" t="inlineStr">
        <is>
          <t>High</t>
        </is>
      </c>
      <c r="E62" s="4" t="inlineStr">
        <is>
          <t>AWS Cost Anomaly Detection等でコストをプロアクティブに監視し、異常増加を早期検知している</t>
        </is>
      </c>
      <c r="F62" s="4" t="inlineStr">
        <is>
          <t>コスト異常検知が有効化され、異常検知時の通知先と対応フローが定義されている</t>
        </is>
      </c>
      <c r="G62" s="4" t="inlineStr">
        <is>
          <t>コスト異常の放置は、リソースの暴走・クリプトマイニング被害・設定ミスによる浪費を長期化させる。</t>
        </is>
      </c>
      <c r="H62" s="4" t="inlineStr">
        <is>
          <t>AWS Well-Architected Framework &gt; コスト最適化の柱 &gt; COST 1 &gt; COST01-BP06 Monitor cost proactively</t>
        </is>
      </c>
      <c r="I62" s="4" t="inlineStr">
        <is>
          <t>AWS-DELTA</t>
        </is>
      </c>
      <c r="J62" s="4" t="inlineStr">
        <is>
          <t>AWS採用時に、CLOUD-COMMONで未評価のAWS固有差分へ適用。</t>
        </is>
      </c>
      <c r="K62" s="4" t="inlineStr">
        <is>
          <t>SRC-AWS-WAF</t>
        </is>
      </c>
      <c r="L62" s="4" t="inlineStr">
        <is>
          <t>OPS-OBSERVABILITY;COST</t>
        </is>
      </c>
      <c r="M62" s="4" t="n"/>
      <c r="N62" s="4" t="n"/>
      <c r="O62" s="4" t="n"/>
      <c r="P62" s="4" t="n"/>
      <c r="Q62" s="4" t="n"/>
      <c r="R62" s="4" t="n"/>
      <c r="S62" s="4" t="n"/>
      <c r="T62" s="4" t="n"/>
      <c r="U62" s="4" t="n"/>
      <c r="V62" s="4" t="n"/>
      <c r="W62" s="4" t="n"/>
    </row>
    <row r="63">
      <c r="A63" s="5" t="inlineStr">
        <is>
          <t>AWS-062</t>
        </is>
      </c>
      <c r="B63" s="5" t="inlineStr">
        <is>
          <t>WAF</t>
        </is>
      </c>
      <c r="C63" s="4" t="inlineStr">
        <is>
          <t>コスト最適化 / Cost Optimization</t>
        </is>
      </c>
      <c r="D63" s="10" t="inlineStr">
        <is>
          <t>Medium</t>
        </is>
      </c>
      <c r="E63" s="4" t="inlineStr">
        <is>
          <t>Cost and Usage Report(CUR)等の詳細なコスト情報源が設定され、分析可能な状態にある</t>
        </is>
      </c>
      <c r="F63" s="4" t="inlineStr">
        <is>
          <t>CUR(またはData Exports)が有効化され、リソースレベルの詳細でコストを分析できる</t>
        </is>
      </c>
      <c r="G63" s="4" t="inlineStr">
        <is>
          <t>詳細データがないとコスト増加の原因特定と最適化対象の選定ができない。</t>
        </is>
      </c>
      <c r="H63" s="4" t="inlineStr">
        <is>
          <t>AWS Well-Architected Framework &gt; コスト最適化の柱 &gt; COST 3 &gt; COST03-BP01 Configure detailed information sources</t>
        </is>
      </c>
      <c r="I63" s="4" t="inlineStr">
        <is>
          <t>AWS-DELTA</t>
        </is>
      </c>
      <c r="J63" s="4" t="inlineStr">
        <is>
          <t>AWS採用時に、CLOUD-COMMONで未評価のAWS固有差分へ適用。</t>
        </is>
      </c>
      <c r="K63" s="4" t="inlineStr">
        <is>
          <t>SRC-AWS-WAF</t>
        </is>
      </c>
      <c r="L63" s="4" t="inlineStr">
        <is>
          <t>COST</t>
        </is>
      </c>
      <c r="M63" s="4" t="n"/>
      <c r="N63" s="4" t="n"/>
      <c r="O63" s="4" t="n"/>
      <c r="P63" s="4" t="n"/>
      <c r="Q63" s="4" t="n"/>
      <c r="R63" s="4" t="n"/>
      <c r="S63" s="4" t="n"/>
      <c r="T63" s="4" t="n"/>
      <c r="U63" s="4" t="n"/>
      <c r="V63" s="4" t="n"/>
      <c r="W63" s="4" t="n"/>
    </row>
    <row r="64">
      <c r="A64" s="5" t="inlineStr">
        <is>
          <t>AWS-063</t>
        </is>
      </c>
      <c r="B64" s="5" t="inlineStr">
        <is>
          <t>WAF</t>
        </is>
      </c>
      <c r="C64" s="4" t="inlineStr">
        <is>
          <t>コスト最適化 / Cost Optimization</t>
        </is>
      </c>
      <c r="D64" s="9" t="inlineStr">
        <is>
          <t>High</t>
        </is>
      </c>
      <c r="E64" s="4" t="inlineStr">
        <is>
          <t>コスト配分タグ(プロジェクト、環境、オーナー等)の付与が標準化され、コストと使用状況に組織情報が紐づいている</t>
        </is>
      </c>
      <c r="F64" s="4" t="inlineStr">
        <is>
          <t>タグ付け規約が文書化され、コスト配分タグが有効化済みで、タグ付与率が計測されている(未タグリソースの検出プロセスあり)</t>
        </is>
      </c>
      <c r="G64" s="4" t="inlineStr">
        <is>
          <t>タグがないとコストの帰属先が不明になり、責任の所在と最適化の打ち手が定まらない。</t>
        </is>
      </c>
      <c r="H64" s="4" t="inlineStr">
        <is>
          <t>AWS Well-Architected Framework &gt; コスト最適化の柱 &gt; COST 3 &gt; COST03-BP02 Add organization information to cost and usage</t>
        </is>
      </c>
      <c r="I64" s="4" t="inlineStr">
        <is>
          <t>AWS-DELTA</t>
        </is>
      </c>
      <c r="J64" s="4" t="inlineStr">
        <is>
          <t>AWS採用時に、CLOUD-COMMONで未評価のAWS固有差分へ適用。</t>
        </is>
      </c>
      <c r="K64" s="4" t="inlineStr">
        <is>
          <t>SRC-AWS-WAF</t>
        </is>
      </c>
      <c r="L64" s="4" t="inlineStr">
        <is>
          <t>COST</t>
        </is>
      </c>
      <c r="M64" s="4" t="n"/>
      <c r="N64" s="4" t="n"/>
      <c r="O64" s="4" t="n"/>
      <c r="P64" s="4" t="n"/>
      <c r="Q64" s="4" t="n"/>
      <c r="R64" s="4" t="n"/>
      <c r="S64" s="4" t="n"/>
      <c r="T64" s="4" t="n"/>
      <c r="U64" s="4" t="n"/>
      <c r="V64" s="4" t="n"/>
      <c r="W64" s="4" t="n"/>
    </row>
    <row r="65">
      <c r="A65" s="5" t="inlineStr">
        <is>
          <t>AWS-064</t>
        </is>
      </c>
      <c r="B65" s="5" t="inlineStr">
        <is>
          <t>WAF</t>
        </is>
      </c>
      <c r="C65" s="4" t="inlineStr">
        <is>
          <t>コスト最適化 / Cost Optimization</t>
        </is>
      </c>
      <c r="D65" s="10" t="inlineStr">
        <is>
          <t>Medium</t>
        </is>
      </c>
      <c r="E65" s="4" t="inlineStr">
        <is>
          <t>Cost Explorer等の請求・コスト管理ツールが設定され、関係者がコストを可視化できる</t>
        </is>
      </c>
      <c r="F65" s="4" t="inlineStr">
        <is>
          <t>Cost Explorerが有効で、チームが定期的にコストを確認するプロセス(月次レビュー等)が存在する</t>
        </is>
      </c>
      <c r="G65" s="4" t="inlineStr">
        <is>
          <t>コストの可視化がないとコスト意識が根付かず、浪費が常態化する。</t>
        </is>
      </c>
      <c r="H65" s="4" t="inlineStr">
        <is>
          <t>AWS Well-Architected Framework &gt; コスト最適化の柱 &gt; COST 3 &gt; COST03-BP05 Configure billing and cost management tools</t>
        </is>
      </c>
      <c r="I65" s="4" t="inlineStr">
        <is>
          <t>AWS-DELTA</t>
        </is>
      </c>
      <c r="J65" s="4" t="inlineStr">
        <is>
          <t>AWS採用時に、CLOUD-COMMONで未評価のAWS固有差分へ適用。</t>
        </is>
      </c>
      <c r="K65" s="4" t="inlineStr">
        <is>
          <t>SRC-AWS-WAF</t>
        </is>
      </c>
      <c r="L65" s="4" t="inlineStr">
        <is>
          <t>COST</t>
        </is>
      </c>
      <c r="M65" s="4" t="n"/>
      <c r="N65" s="4" t="n"/>
      <c r="O65" s="4" t="n"/>
      <c r="P65" s="4" t="n"/>
      <c r="Q65" s="4" t="n"/>
      <c r="R65" s="4" t="n"/>
      <c r="S65" s="4" t="n"/>
      <c r="T65" s="4" t="n"/>
      <c r="U65" s="4" t="n"/>
      <c r="V65" s="4" t="n"/>
      <c r="W65" s="4" t="n"/>
    </row>
    <row r="66">
      <c r="A66" s="5" t="inlineStr">
        <is>
          <t>AWS-065</t>
        </is>
      </c>
      <c r="B66" s="5" t="inlineStr">
        <is>
          <t>WAF</t>
        </is>
      </c>
      <c r="C66" s="4" t="inlineStr">
        <is>
          <t>コスト最適化 / Cost Optimization</t>
        </is>
      </c>
      <c r="D66" s="10" t="inlineStr">
        <is>
          <t>Medium</t>
        </is>
      </c>
      <c r="E66" s="4" t="inlineStr">
        <is>
          <t>Organizationsのアカウント構造がコストの分離・集計を考慮して設計されている(一括請求、環境/事業単位のアカウント分離)</t>
        </is>
      </c>
      <c r="F66" s="4" t="inlineStr">
        <is>
          <t>アカウント構造がコスト帰属単位と一致しており、一括請求(Consolidated Billing)で組織全体を集計できる</t>
        </is>
      </c>
      <c r="G66" s="4" t="inlineStr">
        <is>
          <t>構造が無計画だとコストの按分に手作業が必要になり、集計誤りと管理コストが増える。</t>
        </is>
      </c>
      <c r="H66" s="4" t="inlineStr">
        <is>
          <t>AWS Well-Architected Framework &gt; コスト最適化の柱 &gt; COST 2 &gt; COST02-BP03 Implement an account structure</t>
        </is>
      </c>
      <c r="I66" s="4" t="inlineStr">
        <is>
          <t>AWS-DELTA</t>
        </is>
      </c>
      <c r="J66" s="4" t="inlineStr">
        <is>
          <t>AWS採用時に、CLOUD-COMMONで未評価のAWS固有差分へ適用。</t>
        </is>
      </c>
      <c r="K66" s="4" t="inlineStr">
        <is>
          <t>SRC-AWS-WAF</t>
        </is>
      </c>
      <c r="L66" s="4" t="inlineStr">
        <is>
          <t>COST</t>
        </is>
      </c>
      <c r="M66" s="4" t="n"/>
      <c r="N66" s="4" t="n"/>
      <c r="O66" s="4" t="n"/>
      <c r="P66" s="4" t="n"/>
      <c r="Q66" s="4" t="n"/>
      <c r="R66" s="4" t="n"/>
      <c r="S66" s="4" t="n"/>
      <c r="T66" s="4" t="n"/>
      <c r="U66" s="4" t="n"/>
      <c r="V66" s="4" t="n"/>
      <c r="W66" s="4" t="n"/>
    </row>
    <row r="67">
      <c r="A67" s="5" t="inlineStr">
        <is>
          <t>AWS-066</t>
        </is>
      </c>
      <c r="B67" s="5" t="inlineStr">
        <is>
          <t>WAF</t>
        </is>
      </c>
      <c r="C67" s="4" t="inlineStr">
        <is>
          <t>コスト最適化 / Cost Optimization</t>
        </is>
      </c>
      <c r="D67" s="10" t="inlineStr">
        <is>
          <t>Medium</t>
        </is>
      </c>
      <c r="E67" s="4" t="inlineStr">
        <is>
          <t>コストコントロール(Budgetsアクション、SCP/IAMによるインスタンスタイプ・リージョン制限等)が実装されている</t>
        </is>
      </c>
      <c r="F67" s="4" t="inlineStr">
        <is>
          <t>高額リソースの作成制限や予算超過時の是正アクションが定義され、ガードレールとして機能している</t>
        </is>
      </c>
      <c r="G67" s="4" t="inlineStr">
        <is>
          <t>統制がないと開発者の試行や誤操作で高額リソースが放置され、浪費が発生する。</t>
        </is>
      </c>
      <c r="H67" s="4" t="inlineStr">
        <is>
          <t>AWS Well-Architected Framework &gt; コスト最適化の柱 &gt; COST 2 &gt; COST02-BP05 Implement cost controls</t>
        </is>
      </c>
      <c r="I67" s="4" t="inlineStr">
        <is>
          <t>AWS-DELTA</t>
        </is>
      </c>
      <c r="J67" s="4" t="inlineStr">
        <is>
          <t>AWS採用時に、CLOUD-COMMONで未評価のAWS固有差分へ適用。</t>
        </is>
      </c>
      <c r="K67" s="4" t="inlineStr">
        <is>
          <t>SRC-AWS-WAF</t>
        </is>
      </c>
      <c r="L67" s="4" t="inlineStr">
        <is>
          <t>SEC-IAM;COST</t>
        </is>
      </c>
      <c r="M67" s="4" t="n"/>
      <c r="N67" s="4" t="n"/>
      <c r="O67" s="4" t="n"/>
      <c r="P67" s="4" t="n"/>
      <c r="Q67" s="4" t="n"/>
      <c r="R67" s="4" t="n"/>
      <c r="S67" s="4" t="n"/>
      <c r="T67" s="4" t="n"/>
      <c r="U67" s="4" t="n"/>
      <c r="V67" s="4" t="n"/>
      <c r="W67" s="4" t="n"/>
    </row>
    <row r="68">
      <c r="A68" s="5" t="inlineStr">
        <is>
          <t>AWS-067</t>
        </is>
      </c>
      <c r="B68" s="5" t="inlineStr">
        <is>
          <t>WAF</t>
        </is>
      </c>
      <c r="C68" s="4" t="inlineStr">
        <is>
          <t>コスト最適化 / Cost Optimization</t>
        </is>
      </c>
      <c r="D68" s="10" t="inlineStr">
        <is>
          <t>Medium</t>
        </is>
      </c>
      <c r="E68" s="4" t="inlineStr">
        <is>
          <t>未使用リソース(未接続EBS/EIP、停止忘れインスタンス、旧スナップショット等)を自動検出・廃止する仕組みがある</t>
        </is>
      </c>
      <c r="F68" s="4" t="inlineStr">
        <is>
          <t>未使用リソースの検出(Trusted Advisor/Config/カスタム)と廃止プロセスが定期実行され、廃止実績が記録されている</t>
        </is>
      </c>
      <c r="G68" s="4" t="inlineStr">
        <is>
          <t>使われないリソースへの支払いは純粋な浪費であり、放置すると累積的に増大する。</t>
        </is>
      </c>
      <c r="H68" s="4" t="inlineStr">
        <is>
          <t>AWS Well-Architected Framework &gt; コスト最適化の柱 &gt; COST 4 &gt; COST04-BP04 Decommission resources automatically</t>
        </is>
      </c>
      <c r="I68" s="4" t="inlineStr">
        <is>
          <t>AWS-DELTA</t>
        </is>
      </c>
      <c r="J68" s="4" t="inlineStr">
        <is>
          <t>AWS採用時に、CLOUD-COMMONで未評価のAWS固有差分へ適用。</t>
        </is>
      </c>
      <c r="K68" s="4" t="inlineStr">
        <is>
          <t>SRC-AWS-WAF</t>
        </is>
      </c>
      <c r="L68" s="4" t="inlineStr">
        <is>
          <t>COST</t>
        </is>
      </c>
      <c r="M68" s="4" t="n"/>
      <c r="N68" s="4" t="n"/>
      <c r="O68" s="4" t="n"/>
      <c r="P68" s="4" t="n"/>
      <c r="Q68" s="4" t="n"/>
      <c r="R68" s="4" t="n"/>
      <c r="S68" s="4" t="n"/>
      <c r="T68" s="4" t="n"/>
      <c r="U68" s="4" t="n"/>
      <c r="V68" s="4" t="n"/>
      <c r="W68" s="4" t="n"/>
    </row>
    <row r="69">
      <c r="A69" s="5" t="inlineStr">
        <is>
          <t>AWS-068</t>
        </is>
      </c>
      <c r="B69" s="5" t="inlineStr">
        <is>
          <t>WAF</t>
        </is>
      </c>
      <c r="C69" s="4" t="inlineStr">
        <is>
          <t>コスト最適化 / Cost Optimization</t>
        </is>
      </c>
      <c r="D69" s="10" t="inlineStr">
        <is>
          <t>Medium</t>
        </is>
      </c>
      <c r="E69" s="4" t="inlineStr">
        <is>
          <t>料金モデル分析を行い、ベースロードにはSavings Plans/リザーブドインスタンス、中断耐性のある処理にはスポットを活用している</t>
        </is>
      </c>
      <c r="F69" s="4" t="inlineStr">
        <is>
          <t>定常利用分のコミットメント(SP/RI)カバレッジと使用率が定期レビューされ、オンデマンド一辺倒になっていない</t>
        </is>
      </c>
      <c r="G69" s="4" t="inlineStr">
        <is>
          <t>オンデマンドのみの利用は、同じ使用量で数十%高いコストを払い続けることになる。</t>
        </is>
      </c>
      <c r="H69" s="4" t="inlineStr">
        <is>
          <t>AWS Well-Architected Framework &gt; コスト最適化の柱 &gt; COST 7 &gt; COST07-BP01 Perform pricing model analysis</t>
        </is>
      </c>
      <c r="I69" s="4" t="inlineStr">
        <is>
          <t>AWS-DELTA</t>
        </is>
      </c>
      <c r="J69" s="4" t="inlineStr">
        <is>
          <t>AWS採用時に、CLOUD-COMMONで未評価のAWS固有差分へ適用。</t>
        </is>
      </c>
      <c r="K69" s="4" t="inlineStr">
        <is>
          <t>SRC-AWS-WAF</t>
        </is>
      </c>
      <c r="L69" s="4" t="inlineStr">
        <is>
          <t>COST</t>
        </is>
      </c>
      <c r="M69" s="4" t="n"/>
      <c r="N69" s="4" t="n"/>
      <c r="O69" s="4" t="n"/>
      <c r="P69" s="4" t="n"/>
      <c r="Q69" s="4" t="n"/>
      <c r="R69" s="4" t="n"/>
      <c r="S69" s="4" t="n"/>
      <c r="T69" s="4" t="n"/>
      <c r="U69" s="4" t="n"/>
      <c r="V69" s="4" t="n"/>
      <c r="W69" s="4" t="n"/>
    </row>
    <row r="70">
      <c r="A70" s="5" t="inlineStr">
        <is>
          <t>AWS-069</t>
        </is>
      </c>
      <c r="B70" s="5" t="inlineStr">
        <is>
          <t>WAF</t>
        </is>
      </c>
      <c r="C70" s="4" t="inlineStr">
        <is>
          <t>コスト最適化 / Cost Optimization</t>
        </is>
      </c>
      <c r="D70" s="10" t="inlineStr">
        <is>
          <t>Medium</t>
        </is>
      </c>
      <c r="E70" s="4" t="inlineStr">
        <is>
          <t>データ転送コスト(リージョン間、AZ間、NAT Gateway、インターネット向け)をモデル化・監視している</t>
        </is>
      </c>
      <c r="F70" s="4" t="inlineStr">
        <is>
          <t>主要なデータ転送経路とその単価・月額が把握され、想定外の転送費の検知手段がある</t>
        </is>
      </c>
      <c r="G70" s="4" t="inlineStr">
        <is>
          <t>データ転送費は見落とされやすく、アーキテクチャ次第で請求の主要因になる。</t>
        </is>
      </c>
      <c r="H70" s="4" t="inlineStr">
        <is>
          <t>AWS Well-Architected Framework &gt; コスト最適化の柱 &gt; COST 8 &gt; COST08-BP01 Perform data transfer modeling</t>
        </is>
      </c>
      <c r="I70" s="4" t="inlineStr">
        <is>
          <t>AWS-DELTA</t>
        </is>
      </c>
      <c r="J70" s="4" t="inlineStr">
        <is>
          <t>AWS採用時に、CLOUD-COMMONで未評価のAWS固有差分へ適用。</t>
        </is>
      </c>
      <c r="K70" s="4" t="inlineStr">
        <is>
          <t>SRC-AWS-WAF</t>
        </is>
      </c>
      <c r="L70" s="4" t="inlineStr">
        <is>
          <t>OPS-OBSERVABILITY;COST</t>
        </is>
      </c>
      <c r="M70" s="4" t="n"/>
      <c r="N70" s="4" t="n"/>
      <c r="O70" s="4" t="n"/>
      <c r="P70" s="4" t="n"/>
      <c r="Q70" s="4" t="n"/>
      <c r="R70" s="4" t="n"/>
      <c r="S70" s="4" t="n"/>
      <c r="T70" s="4" t="n"/>
      <c r="U70" s="4" t="n"/>
      <c r="V70" s="4" t="n"/>
      <c r="W70" s="4" t="n"/>
    </row>
    <row r="71">
      <c r="A71" s="5" t="inlineStr">
        <is>
          <t>AWS-070</t>
        </is>
      </c>
      <c r="B71" s="5" t="inlineStr">
        <is>
          <t>WAF</t>
        </is>
      </c>
      <c r="C71" s="4" t="inlineStr">
        <is>
          <t>コスト最適化 / Cost Optimization</t>
        </is>
      </c>
      <c r="D71" s="10" t="inlineStr">
        <is>
          <t>Medium</t>
        </is>
      </c>
      <c r="E71" s="4" t="inlineStr">
        <is>
          <t>データ転送コストを削減するサービス(CloudFront、VPCエンドポイント/PrivateLink、同一AZ配置等)を実装している</t>
        </is>
      </c>
      <c r="F71" s="4" t="inlineStr">
        <is>
          <t>S3/DynamoDB等へのアクセスにゲートウェイエンドポイントが使用され、大量配信はCDN経由になっている(NAT Gateway経由の大量S3アクセス等がない)</t>
        </is>
      </c>
      <c r="G71" s="4" t="inlineStr">
        <is>
          <t>NAT Gateway経由のAWSサービスアクセスやCDNなしの配信は、恒常的な転送費の浪費を生む。</t>
        </is>
      </c>
      <c r="H71" s="4" t="inlineStr">
        <is>
          <t>AWS Well-Architected Framework &gt; コスト最適化の柱 &gt; COST 8 &gt; COST08-BP03 Implement services to reduce data transfer costs</t>
        </is>
      </c>
      <c r="I71" s="4" t="inlineStr">
        <is>
          <t>AWS-DELTA</t>
        </is>
      </c>
      <c r="J71" s="4" t="inlineStr">
        <is>
          <t>AWS採用時に、CLOUD-COMMONで未評価のAWS固有差分へ適用。</t>
        </is>
      </c>
      <c r="K71" s="4" t="inlineStr">
        <is>
          <t>SRC-AWS-WAF</t>
        </is>
      </c>
      <c r="L71" s="4" t="inlineStr">
        <is>
          <t>COST</t>
        </is>
      </c>
      <c r="M71" s="4" t="n"/>
      <c r="N71" s="4" t="n"/>
      <c r="O71" s="4" t="n"/>
      <c r="P71" s="4" t="n"/>
      <c r="Q71" s="4" t="n"/>
      <c r="R71" s="4" t="n"/>
      <c r="S71" s="4" t="n"/>
      <c r="T71" s="4" t="n"/>
      <c r="U71" s="4" t="n"/>
      <c r="V71" s="4" t="n"/>
      <c r="W71" s="4" t="n"/>
    </row>
    <row r="72">
      <c r="A72" s="5" t="inlineStr">
        <is>
          <t>AWS-071</t>
        </is>
      </c>
      <c r="B72" s="5" t="inlineStr">
        <is>
          <t>WAF</t>
        </is>
      </c>
      <c r="C72" s="4" t="inlineStr">
        <is>
          <t>コスト最適化 / Cost Optimization</t>
        </is>
      </c>
      <c r="D72" s="11" t="inlineStr">
        <is>
          <t>Low</t>
        </is>
      </c>
      <c r="E72" s="4" t="inlineStr">
        <is>
          <t>新サービス・新機能を踏まえてワークロードのコスト効率を定期的にレビューしている</t>
        </is>
      </c>
      <c r="F72" s="4" t="inlineStr">
        <is>
          <t>定期的(年1回以上)なアーキテクチャ/コストレビューの記録があり、新価格モデル・新サービスの採否が検討されている</t>
        </is>
      </c>
      <c r="G72" s="4" t="inlineStr">
        <is>
          <t>見直しを怠ると、より安価な選択肢が出ても旧構成のまま割高なコストを払い続ける。</t>
        </is>
      </c>
      <c r="H72" s="4" t="inlineStr">
        <is>
          <t>AWS Well-Architected Framework &gt; コスト最適化の柱 &gt; COST 10 &gt; COST10-BP02 Review and analyze this workload regularly</t>
        </is>
      </c>
      <c r="I72" s="4" t="inlineStr">
        <is>
          <t>AWS-DELTA</t>
        </is>
      </c>
      <c r="J72" s="4" t="inlineStr">
        <is>
          <t>AWS採用時に、CLOUD-COMMONで未評価のAWS固有差分へ適用。</t>
        </is>
      </c>
      <c r="K72" s="4" t="inlineStr">
        <is>
          <t>SRC-AWS-WAF</t>
        </is>
      </c>
      <c r="L72" s="4" t="inlineStr">
        <is>
          <t>COST</t>
        </is>
      </c>
      <c r="M72" s="4" t="n"/>
      <c r="N72" s="4" t="n"/>
      <c r="O72" s="4" t="n"/>
      <c r="P72" s="4" t="n"/>
      <c r="Q72" s="4" t="n"/>
      <c r="R72" s="4" t="n"/>
      <c r="S72" s="4" t="n"/>
      <c r="T72" s="4" t="n"/>
      <c r="U72" s="4" t="n"/>
      <c r="V72" s="4" t="n"/>
      <c r="W72" s="4" t="n"/>
    </row>
    <row r="73">
      <c r="A73" s="5" t="inlineStr">
        <is>
          <t>AWS-072</t>
        </is>
      </c>
      <c r="B73" s="5" t="inlineStr">
        <is>
          <t>WAF</t>
        </is>
      </c>
      <c r="C73" s="4" t="inlineStr">
        <is>
          <t>持続可能性 / Sustainability</t>
        </is>
      </c>
      <c r="D73" s="11" t="inlineStr">
        <is>
          <t>Low</t>
        </is>
      </c>
      <c r="E73" s="4" t="inlineStr">
        <is>
          <t>ビジネス要件と持続可能性目標の両方に基づいてリージョンを選択している</t>
        </is>
      </c>
      <c r="F73" s="4" t="inlineStr">
        <is>
          <t>リージョン選定の記録に、レイテンシ・コスト・コンプライアンスに加え再生可能エネルギー等の持続可能性観点が含まれている</t>
        </is>
      </c>
      <c r="G73" s="4" t="inlineStr">
        <is>
          <t>リージョン選択は性能・コスト・炭素フットプリントに大きく影響し、後からの変更は困難である。</t>
        </is>
      </c>
      <c r="H73" s="4" t="inlineStr">
        <is>
          <t>AWS Well-Architected Framework &gt; 持続可能性の柱 &gt; SUS 1 &gt; SUS01-BP01 Choose Region based on both business requirements and sustainability goals</t>
        </is>
      </c>
      <c r="I73" s="4" t="inlineStr">
        <is>
          <t>AWS-DELTA</t>
        </is>
      </c>
      <c r="J73" s="4" t="inlineStr">
        <is>
          <t>AWS採用時に、CLOUD-COMMONで未評価のAWS固有差分へ適用。</t>
        </is>
      </c>
      <c r="K73" s="4" t="inlineStr">
        <is>
          <t>SRC-AWS-WAF</t>
        </is>
      </c>
      <c r="L73" s="4" t="inlineStr"/>
      <c r="M73" s="4" t="n"/>
      <c r="N73" s="4" t="n"/>
      <c r="O73" s="4" t="n"/>
      <c r="P73" s="4" t="n"/>
      <c r="Q73" s="4" t="n"/>
      <c r="R73" s="4" t="n"/>
      <c r="S73" s="4" t="n"/>
      <c r="T73" s="4" t="n"/>
      <c r="U73" s="4" t="n"/>
      <c r="V73" s="4" t="n"/>
      <c r="W73" s="4" t="n"/>
    </row>
    <row r="74">
      <c r="A74" s="5" t="inlineStr">
        <is>
          <t>AWS-073</t>
        </is>
      </c>
      <c r="B74" s="5" t="inlineStr">
        <is>
          <t>WAF</t>
        </is>
      </c>
      <c r="C74" s="4" t="inlineStr">
        <is>
          <t>持続可能性 / Sustainability</t>
        </is>
      </c>
      <c r="D74" s="10" t="inlineStr">
        <is>
          <t>Medium</t>
        </is>
      </c>
      <c r="E74" s="4" t="inlineStr">
        <is>
          <t>未使用アセット(使われない環境、停止忘れリソース、不要な処理)の作成・維持を停止している</t>
        </is>
      </c>
      <c r="F74" s="4" t="inlineStr">
        <is>
          <t>開発/検証環境の夜間・休日停止や未使用アセットの棚卸しが仕組み化され、実施記録がある</t>
        </is>
      </c>
      <c r="G74" s="4" t="inlineStr">
        <is>
          <t>未使用アセットの稼働はコストとエネルギーの純粋な浪費である。</t>
        </is>
      </c>
      <c r="H74" s="4" t="inlineStr">
        <is>
          <t>AWS Well-Architected Framework &gt; 持続可能性の柱 &gt; SUS 2 &gt; SUS02-BP03 Stop the creation and maintenance of unused assets</t>
        </is>
      </c>
      <c r="I74" s="4" t="inlineStr">
        <is>
          <t>AWS-DELTA</t>
        </is>
      </c>
      <c r="J74" s="4" t="inlineStr">
        <is>
          <t>AWS採用時に、CLOUD-COMMONで未評価のAWS固有差分へ適用。</t>
        </is>
      </c>
      <c r="K74" s="4" t="inlineStr">
        <is>
          <t>SRC-AWS-WAF</t>
        </is>
      </c>
      <c r="L74" s="4" t="inlineStr"/>
      <c r="M74" s="4" t="n"/>
      <c r="N74" s="4" t="n"/>
      <c r="O74" s="4" t="n"/>
      <c r="P74" s="4" t="n"/>
      <c r="Q74" s="4" t="n"/>
      <c r="R74" s="4" t="n"/>
      <c r="S74" s="4" t="n"/>
      <c r="T74" s="4" t="n"/>
      <c r="U74" s="4" t="n"/>
      <c r="V74" s="4" t="n"/>
      <c r="W74" s="4" t="n"/>
    </row>
    <row r="75">
      <c r="A75" s="5" t="inlineStr">
        <is>
          <t>AWS-074</t>
        </is>
      </c>
      <c r="B75" s="5" t="inlineStr">
        <is>
          <t>WAF</t>
        </is>
      </c>
      <c r="C75" s="4" t="inlineStr">
        <is>
          <t>持続可能性 / Sustainability</t>
        </is>
      </c>
      <c r="D75" s="11" t="inlineStr">
        <is>
          <t>Low</t>
        </is>
      </c>
      <c r="E75" s="4" t="inlineStr">
        <is>
          <t>バッチ・非同期ジョブをキュー・スケジュール実行に最適化し、リソースの高利用率を維持している</t>
        </is>
      </c>
      <c r="F75" s="4" t="inlineStr">
        <is>
          <t>即時性不要な処理が非同期化・平準化(バッファリング/スロットリング)され、常時起動の遊休ワーカーがない</t>
        </is>
      </c>
      <c r="G75" s="4" t="inlineStr">
        <is>
          <t>低利用率の常時稼働リソースはエネルギーとコストの効率を悪化させる。</t>
        </is>
      </c>
      <c r="H75" s="4" t="inlineStr">
        <is>
          <t>AWS Well-Architected Framework &gt; 持続可能性の柱 &gt; SUS 3 &gt; SUS03-BP01 Optimize software and architecture for asynchronous and scheduled jobs</t>
        </is>
      </c>
      <c r="I75" s="4" t="inlineStr">
        <is>
          <t>AWS-DELTA</t>
        </is>
      </c>
      <c r="J75" s="4" t="inlineStr">
        <is>
          <t>AWS採用時に、CLOUD-COMMONで未評価のAWS固有差分へ適用。</t>
        </is>
      </c>
      <c r="K75" s="4" t="inlineStr">
        <is>
          <t>SRC-AWS-WAF</t>
        </is>
      </c>
      <c r="L75" s="4" t="inlineStr"/>
      <c r="M75" s="4" t="n"/>
      <c r="N75" s="4" t="n"/>
      <c r="O75" s="4" t="n"/>
      <c r="P75" s="4" t="n"/>
      <c r="Q75" s="4" t="n"/>
      <c r="R75" s="4" t="n"/>
      <c r="S75" s="4" t="n"/>
      <c r="T75" s="4" t="n"/>
      <c r="U75" s="4" t="n"/>
      <c r="V75" s="4" t="n"/>
      <c r="W75" s="4" t="n"/>
    </row>
    <row r="76">
      <c r="A76" s="5" t="inlineStr">
        <is>
          <t>AWS-075</t>
        </is>
      </c>
      <c r="B76" s="5" t="inlineStr">
        <is>
          <t>WAF</t>
        </is>
      </c>
      <c r="C76" s="4" t="inlineStr">
        <is>
          <t>持続可能性 / Sustainability</t>
        </is>
      </c>
      <c r="D76" s="10" t="inlineStr">
        <is>
          <t>Medium</t>
        </is>
      </c>
      <c r="E76" s="4" t="inlineStr">
        <is>
          <t>S3ライフサイクルポリシー/Intelligent-Tiering等でデータセットのライフサイクルを管理している</t>
        </is>
      </c>
      <c r="F76" s="4" t="inlineStr">
        <is>
          <t>主要バケット・ログにライフサイクルルール(低頻度アクセス層・アーカイブへの移行、期限削除)が設定されている</t>
        </is>
      </c>
      <c r="G76" s="4" t="inlineStr">
        <is>
          <t>全データを高性能ストレージに永久保存すると、ストレージコストとエネルギー消費が単調増加する。</t>
        </is>
      </c>
      <c r="H76" s="4" t="inlineStr">
        <is>
          <t>AWS Well-Architected Framework &gt; 持続可能性の柱 &gt; SUS 4 &gt; SUS04-BP03 Use policies to manage the lifecycle of your datasets</t>
        </is>
      </c>
      <c r="I76" s="4" t="inlineStr">
        <is>
          <t>AWS-DELTA</t>
        </is>
      </c>
      <c r="J76" s="4" t="inlineStr">
        <is>
          <t>AWS採用時に、CLOUD-COMMONで未評価のAWS固有差分へ適用。</t>
        </is>
      </c>
      <c r="K76" s="4" t="inlineStr">
        <is>
          <t>SRC-AWS-WAF</t>
        </is>
      </c>
      <c r="L76" s="4" t="inlineStr"/>
      <c r="M76" s="4" t="n"/>
      <c r="N76" s="4" t="n"/>
      <c r="O76" s="4" t="n"/>
      <c r="P76" s="4" t="n"/>
      <c r="Q76" s="4" t="n"/>
      <c r="R76" s="4" t="n"/>
      <c r="S76" s="4" t="n"/>
      <c r="T76" s="4" t="n"/>
      <c r="U76" s="4" t="n"/>
      <c r="V76" s="4" t="n"/>
      <c r="W76" s="4" t="n"/>
    </row>
    <row r="77">
      <c r="A77" s="5" t="inlineStr">
        <is>
          <t>AWS-076</t>
        </is>
      </c>
      <c r="B77" s="5" t="inlineStr">
        <is>
          <t>WAF</t>
        </is>
      </c>
      <c r="C77" s="4" t="inlineStr">
        <is>
          <t>持続可能性 / Sustainability</t>
        </is>
      </c>
      <c r="D77" s="11" t="inlineStr">
        <is>
          <t>Low</t>
        </is>
      </c>
      <c r="E77" s="4" t="inlineStr">
        <is>
          <t>不要・冗長なデータ(重複コピー、不要ログ、再作成可能な中間データ)を削除している</t>
        </is>
      </c>
      <c r="F77" s="4" t="inlineStr">
        <is>
          <t>データ棚卸しのプロセスがあり、不要データ・重複データの削除基準と実施記録がある</t>
        </is>
      </c>
      <c r="G77" s="4" t="inlineStr">
        <is>
          <t>不要データの蓄積はストレージ浪費に加え、バックアップ・スキャン等の周辺コストも増大させる。</t>
        </is>
      </c>
      <c r="H77" s="4" t="inlineStr">
        <is>
          <t>AWS Well-Architected Framework &gt; 持続可能性の柱 &gt; SUS 4 &gt; SUS04-BP05 Remove unneeded or redundant data</t>
        </is>
      </c>
      <c r="I77" s="4" t="inlineStr">
        <is>
          <t>AWS-DELTA</t>
        </is>
      </c>
      <c r="J77" s="4" t="inlineStr">
        <is>
          <t>AWS採用時に、CLOUD-COMMONで未評価のAWS固有差分へ適用。</t>
        </is>
      </c>
      <c r="K77" s="4" t="inlineStr">
        <is>
          <t>SRC-AWS-WAF</t>
        </is>
      </c>
      <c r="L77" s="4" t="inlineStr">
        <is>
          <t>RELIABILITY-HA;OPS-OBSERVABILITY</t>
        </is>
      </c>
      <c r="M77" s="4" t="n"/>
      <c r="N77" s="4" t="n"/>
      <c r="O77" s="4" t="n"/>
      <c r="P77" s="4" t="n"/>
      <c r="Q77" s="4" t="n"/>
      <c r="R77" s="4" t="n"/>
      <c r="S77" s="4" t="n"/>
      <c r="T77" s="4" t="n"/>
      <c r="U77" s="4" t="n"/>
      <c r="V77" s="4" t="n"/>
      <c r="W77" s="4" t="n"/>
    </row>
    <row r="78">
      <c r="A78" s="5" t="inlineStr">
        <is>
          <t>AWS-077</t>
        </is>
      </c>
      <c r="B78" s="5" t="inlineStr">
        <is>
          <t>WAF</t>
        </is>
      </c>
      <c r="C78" s="4" t="inlineStr">
        <is>
          <t>持続可能性 / Sustainability</t>
        </is>
      </c>
      <c r="D78" s="11" t="inlineStr">
        <is>
          <t>Low</t>
        </is>
      </c>
      <c r="E78" s="4" t="inlineStr">
        <is>
          <t>Graviton等のエネルギー効率・コスト効率の高いインスタンスタイプの採用を評価している</t>
        </is>
      </c>
      <c r="F78" s="4" t="inlineStr">
        <is>
          <t>新規・更改ワークロードでGraviton等の最新世代・高効率インスタンスの適用可否が検討され、記録されている</t>
        </is>
      </c>
      <c r="G78" s="4" t="inlineStr">
        <is>
          <t>旧世代インスタンスの継続利用は同じ処理により多くの電力とコストを費やす。</t>
        </is>
      </c>
      <c r="H78" s="4" t="inlineStr">
        <is>
          <t>AWS Well-Architected Framework &gt; 持続可能性の柱 &gt; SUS 5 &gt; SUS05-BP02 Use instance types with the least impact</t>
        </is>
      </c>
      <c r="I78" s="4" t="inlineStr">
        <is>
          <t>AWS-DELTA</t>
        </is>
      </c>
      <c r="J78" s="4" t="inlineStr">
        <is>
          <t>AWS採用時に、CLOUD-COMMONで未評価のAWS固有差分へ適用。</t>
        </is>
      </c>
      <c r="K78" s="4" t="inlineStr">
        <is>
          <t>SRC-AWS-WAF</t>
        </is>
      </c>
      <c r="L78" s="4" t="inlineStr">
        <is>
          <t>COST</t>
        </is>
      </c>
      <c r="M78" s="4" t="n"/>
      <c r="N78" s="4" t="n"/>
      <c r="O78" s="4" t="n"/>
      <c r="P78" s="4" t="n"/>
      <c r="Q78" s="4" t="n"/>
      <c r="R78" s="4" t="n"/>
      <c r="S78" s="4" t="n"/>
      <c r="T78" s="4" t="n"/>
      <c r="U78" s="4" t="n"/>
      <c r="V78" s="4" t="n"/>
      <c r="W78" s="4" t="n"/>
    </row>
    <row r="79">
      <c r="A79" s="5" t="inlineStr">
        <is>
          <t>AWS-078</t>
        </is>
      </c>
      <c r="B79" s="5" t="inlineStr">
        <is>
          <t>WAF</t>
        </is>
      </c>
      <c r="C79" s="4" t="inlineStr">
        <is>
          <t>持続可能性 / Sustainability</t>
        </is>
      </c>
      <c r="D79" s="11" t="inlineStr">
        <is>
          <t>Low</t>
        </is>
      </c>
      <c r="E79" s="4" t="inlineStr">
        <is>
          <t>マネージドサービス(Fargate、Lambda、Aurora Serverless等)を活用し、共有インフラによる効率化を図っている</t>
        </is>
      </c>
      <c r="F79" s="4" t="inlineStr">
        <is>
          <t>自前運用のミドルウェア・サーバーについて、マネージドサービスへの代替検討が行われ、選定理由が記録されている</t>
        </is>
      </c>
      <c r="G79" s="4" t="inlineStr">
        <is>
          <t>セルフマネージド構成は運用負荷に加え、専有リソースの低利用率という非効率を抱え込む。</t>
        </is>
      </c>
      <c r="H79" s="4" t="inlineStr">
        <is>
          <t>AWS Well-Architected Framework &gt; 持続可能性の柱 &gt; SUS 5 &gt; SUS05-BP03 Use managed services</t>
        </is>
      </c>
      <c r="I79" s="4" t="inlineStr">
        <is>
          <t>AWS-DELTA</t>
        </is>
      </c>
      <c r="J79" s="4" t="inlineStr">
        <is>
          <t>AWS採用時に、CLOUD-COMMONで未評価のAWS固有差分へ適用。</t>
        </is>
      </c>
      <c r="K79" s="4" t="inlineStr">
        <is>
          <t>SRC-AWS-WAF</t>
        </is>
      </c>
      <c r="L79" s="4" t="inlineStr"/>
      <c r="M79" s="4" t="n"/>
      <c r="N79" s="4" t="n"/>
      <c r="O79" s="4" t="n"/>
      <c r="P79" s="4" t="n"/>
      <c r="Q79" s="4" t="n"/>
      <c r="R79" s="4" t="n"/>
      <c r="S79" s="4" t="n"/>
      <c r="T79" s="4" t="n"/>
      <c r="U79" s="4" t="n"/>
      <c r="V79" s="4" t="n"/>
      <c r="W79" s="4" t="n"/>
    </row>
    <row r="80">
      <c r="A80" s="5" t="inlineStr">
        <is>
          <t>AWS-079</t>
        </is>
      </c>
      <c r="B80" s="5" t="inlineStr">
        <is>
          <t>WAF</t>
        </is>
      </c>
      <c r="C80" s="4" t="inlineStr">
        <is>
          <t>持続可能性 / Sustainability</t>
        </is>
      </c>
      <c r="D80" s="11" t="inlineStr">
        <is>
          <t>Low</t>
        </is>
      </c>
      <c r="E80" s="4" t="inlineStr">
        <is>
          <t>ワークロード(OS、ランタイム、依存ライブラリ、インスタンス世代)を最新に保つプロセスがある</t>
        </is>
      </c>
      <c r="F80" s="4" t="inlineStr">
        <is>
          <t>定期的な更新サイクル(パッチ、ランタイムEOL対応、世代更新)が定義され、実施されている</t>
        </is>
      </c>
      <c r="G80" s="4" t="inlineStr">
        <is>
          <t>陳腐化したソフトウェア・ハードウェアは効率・性能・セキュリティの全てで劣後していく。</t>
        </is>
      </c>
      <c r="H80" s="4" t="inlineStr">
        <is>
          <t>AWS Well-Architected Framework &gt; 持続可能性の柱 &gt; SUS 6 &gt; SUS06-BP03 Keep your workload up-to-date</t>
        </is>
      </c>
      <c r="I80" s="4" t="inlineStr">
        <is>
          <t>AWS-DELTA</t>
        </is>
      </c>
      <c r="J80" s="4" t="inlineStr">
        <is>
          <t>AWS採用時に、CLOUD-COMMONで未評価のAWS固有差分へ適用。</t>
        </is>
      </c>
      <c r="K80" s="4" t="inlineStr">
        <is>
          <t>SRC-AWS-WAF</t>
        </is>
      </c>
      <c r="L80" s="4" t="inlineStr">
        <is>
          <t>SEC-SUPPLY-CHAIN</t>
        </is>
      </c>
      <c r="M80" s="4" t="n"/>
      <c r="N80" s="4" t="n"/>
      <c r="O80" s="4" t="n"/>
      <c r="P80" s="4" t="n"/>
      <c r="Q80" s="4" t="n"/>
      <c r="R80" s="4" t="n"/>
      <c r="S80" s="4" t="n"/>
      <c r="T80" s="4" t="n"/>
      <c r="U80" s="4" t="n"/>
      <c r="V80" s="4" t="n"/>
      <c r="W80" s="4" t="n"/>
    </row>
    <row r="81">
      <c r="A81" s="5" t="inlineStr">
        <is>
          <t>AWS-201</t>
        </is>
      </c>
      <c r="B81" s="5" t="inlineStr">
        <is>
          <t>WAF</t>
        </is>
      </c>
      <c r="C81" s="4" t="inlineStr">
        <is>
          <t>生成AI: 運用上の優秀性</t>
        </is>
      </c>
      <c r="D81" s="9" t="inlineStr">
        <is>
          <t>High</t>
        </is>
      </c>
      <c r="E81" s="4" t="inlineStr">
        <is>
          <t>本番環境の基盤モデル(Amazon Bedrock / SageMaker AI 上のモデル)の機能的性能を、定期的に評価する仕組みがあるか</t>
        </is>
      </c>
      <c r="F81" s="4" t="inlineStr">
        <is>
          <t>評価用データセットと評価指標(正確性・関連性等)が定義され、定期実行(スケジュールまたはリリース単位)の評価ジョブとその結果記録が存在する</t>
        </is>
      </c>
      <c r="G81" s="4" t="inlineStr">
        <is>
          <t>モデルやデータの変化により出力品質が劣化しても検知できず、誤った回答が利用者に届き続けることを防ぐ。</t>
        </is>
      </c>
      <c r="H81" s="4" t="inlineStr">
        <is>
          <t>Generative AI Lens &gt; Operational excellence &gt; GENOPS01-BP01 Periodically evaluate functional performance</t>
        </is>
      </c>
      <c r="I81" s="4" t="inlineStr">
        <is>
          <t>AWS-DELTA</t>
        </is>
      </c>
      <c r="J81" s="4" t="inlineStr">
        <is>
          <t>AWS採用時に、CLOUD-COMMONで未評価のAWS固有差分へ適用。</t>
        </is>
      </c>
      <c r="K81" s="4" t="inlineStr">
        <is>
          <t>SRC-AWS-GENAI</t>
        </is>
      </c>
      <c r="L81" s="4" t="inlineStr">
        <is>
          <t>CONTINUITY-DR</t>
        </is>
      </c>
      <c r="M81" s="4" t="n"/>
      <c r="N81" s="4" t="n"/>
      <c r="O81" s="4" t="n"/>
      <c r="P81" s="4" t="n"/>
      <c r="Q81" s="4" t="n"/>
      <c r="R81" s="4" t="n"/>
      <c r="S81" s="4" t="n"/>
      <c r="T81" s="4" t="n"/>
      <c r="U81" s="4" t="n"/>
      <c r="V81" s="4" t="n"/>
      <c r="W81" s="4" t="n"/>
    </row>
    <row r="82">
      <c r="A82" s="5" t="inlineStr">
        <is>
          <t>AWS-202</t>
        </is>
      </c>
      <c r="B82" s="5" t="inlineStr">
        <is>
          <t>WAF</t>
        </is>
      </c>
      <c r="C82" s="4" t="inlineStr">
        <is>
          <t>生成AI: 運用上の優秀性</t>
        </is>
      </c>
      <c r="D82" s="10" t="inlineStr">
        <is>
          <t>Medium</t>
        </is>
      </c>
      <c r="E82" s="4" t="inlineStr">
        <is>
          <t>生成AIアプリケーションのユーザーフィードバック(高評価/低評価、コメント等)を収集・監視する仕組みがあるか</t>
        </is>
      </c>
      <c r="F82" s="4" t="inlineStr">
        <is>
          <t>フィードバック収集のUI/APIが実装され、収集データが集計・可視化されて品質改善プロセスに接続されている</t>
        </is>
      </c>
      <c r="G82" s="4" t="inlineStr">
        <is>
          <t>実利用者が体感する品質劣化や不満を把握できず、改善の優先順位を誤ることを防ぐ。</t>
        </is>
      </c>
      <c r="H82" s="4" t="inlineStr">
        <is>
          <t>Generative AI Lens &gt; Operational excellence &gt; GENOPS01-BP02 Collect and monitor user feedback</t>
        </is>
      </c>
      <c r="I82" s="4" t="inlineStr">
        <is>
          <t>AWS-DELTA</t>
        </is>
      </c>
      <c r="J82" s="4" t="inlineStr">
        <is>
          <t>AWS採用時に、CLOUD-COMMONで未評価のAWS固有差分へ適用。</t>
        </is>
      </c>
      <c r="K82" s="4" t="inlineStr">
        <is>
          <t>SRC-AWS-GENAI</t>
        </is>
      </c>
      <c r="L82" s="4" t="inlineStr">
        <is>
          <t>OPS-OBSERVABILITY</t>
        </is>
      </c>
      <c r="M82" s="4" t="n"/>
      <c r="N82" s="4" t="n"/>
      <c r="O82" s="4" t="n"/>
      <c r="P82" s="4" t="n"/>
      <c r="Q82" s="4" t="n"/>
      <c r="R82" s="4" t="n"/>
      <c r="S82" s="4" t="n"/>
      <c r="T82" s="4" t="n"/>
      <c r="U82" s="4" t="n"/>
      <c r="V82" s="4" t="n"/>
      <c r="W82" s="4" t="n"/>
    </row>
    <row r="83">
      <c r="A83" s="5" t="inlineStr">
        <is>
          <t>AWS-203</t>
        </is>
      </c>
      <c r="B83" s="5" t="inlineStr">
        <is>
          <t>WAF</t>
        </is>
      </c>
      <c r="C83" s="4" t="inlineStr">
        <is>
          <t>生成AI: 運用上の優秀性</t>
        </is>
      </c>
      <c r="D83" s="9" t="inlineStr">
        <is>
          <t>High</t>
        </is>
      </c>
      <c r="E83" s="4" t="inlineStr">
        <is>
          <t>生成AIアプリケーションの全レイヤー(フロントエンド、オーケストレーション、ベクトルストア、モデルエンドポイント)を Amazon CloudWatch 等で監視しているか</t>
        </is>
      </c>
      <c r="F83" s="4" t="inlineStr">
        <is>
          <t>各レイヤーのメトリクス・ログが CloudWatch 等に集約され、しきい値アラームと通知先が設定されている</t>
        </is>
      </c>
      <c r="G83" s="4" t="inlineStr">
        <is>
          <t>どのレイヤーで障害・遅延が発生したか特定できず、復旧が長期化することを防ぐ。</t>
        </is>
      </c>
      <c r="H83" s="4" t="inlineStr">
        <is>
          <t>Generative AI Lens &gt; Operational excellence &gt; GENOPS02-BP01 Monitor all application layers</t>
        </is>
      </c>
      <c r="I83" s="4" t="inlineStr">
        <is>
          <t>AWS-DELTA</t>
        </is>
      </c>
      <c r="J83" s="4" t="inlineStr">
        <is>
          <t>AWS採用時に、CLOUD-COMMONで未評価のAWS固有差分へ適用。</t>
        </is>
      </c>
      <c r="K83" s="4" t="inlineStr">
        <is>
          <t>SRC-AWS-GENAI</t>
        </is>
      </c>
      <c r="L83" s="4" t="inlineStr">
        <is>
          <t>OPS-OBSERVABILITY</t>
        </is>
      </c>
      <c r="M83" s="4" t="n"/>
      <c r="N83" s="4" t="n"/>
      <c r="O83" s="4" t="n"/>
      <c r="P83" s="4" t="n"/>
      <c r="Q83" s="4" t="n"/>
      <c r="R83" s="4" t="n"/>
      <c r="S83" s="4" t="n"/>
      <c r="T83" s="4" t="n"/>
      <c r="U83" s="4" t="n"/>
      <c r="V83" s="4" t="n"/>
      <c r="W83" s="4" t="n"/>
    </row>
    <row r="84">
      <c r="A84" s="5" t="inlineStr">
        <is>
          <t>AWS-204</t>
        </is>
      </c>
      <c r="B84" s="5" t="inlineStr">
        <is>
          <t>WAF</t>
        </is>
      </c>
      <c r="C84" s="4" t="inlineStr">
        <is>
          <t>生成AI: 運用上の優秀性</t>
        </is>
      </c>
      <c r="D84" s="10" t="inlineStr">
        <is>
          <t>Medium</t>
        </is>
      </c>
      <c r="E84" s="4" t="inlineStr">
        <is>
          <t>基盤モデル固有のメトリクス(呼び出し数、レイテンシ、入出力トークン数、スロットリング)を CloudWatch の Bedrock/SageMaker メトリクスで監視しているか</t>
        </is>
      </c>
      <c r="F84" s="4" t="inlineStr">
        <is>
          <t>InvocationLatency・入出力トークン数・スロットリング件数等のメトリクスがダッシュボード化され、異常時のアラームが設定されている</t>
        </is>
      </c>
      <c r="G84" s="4" t="inlineStr">
        <is>
          <t>モデル利用量やレイテンシの異常(急増・劣化)を見逃し、性能低下やコスト超過に気づけないことを防ぐ。</t>
        </is>
      </c>
      <c r="H84" s="4" t="inlineStr">
        <is>
          <t>Generative AI Lens &gt; Operational excellence &gt; GENOPS02-BP02 Monitor foundation model metrics</t>
        </is>
      </c>
      <c r="I84" s="4" t="inlineStr">
        <is>
          <t>AWS-DELTA</t>
        </is>
      </c>
      <c r="J84" s="4" t="inlineStr">
        <is>
          <t>AWS採用時に、CLOUD-COMMONで未評価のAWS固有差分へ適用。</t>
        </is>
      </c>
      <c r="K84" s="4" t="inlineStr">
        <is>
          <t>SRC-AWS-GENAI</t>
        </is>
      </c>
      <c r="L84" s="4" t="inlineStr">
        <is>
          <t>CONTINUITY-DR;OPS-OBSERVABILITY</t>
        </is>
      </c>
      <c r="M84" s="4" t="n"/>
      <c r="N84" s="4" t="n"/>
      <c r="O84" s="4" t="n"/>
      <c r="P84" s="4" t="n"/>
      <c r="Q84" s="4" t="n"/>
      <c r="R84" s="4" t="n"/>
      <c r="S84" s="4" t="n"/>
      <c r="T84" s="4" t="n"/>
      <c r="U84" s="4" t="n"/>
      <c r="V84" s="4" t="n"/>
      <c r="W84" s="4" t="n"/>
    </row>
    <row r="85">
      <c r="A85" s="5" t="inlineStr">
        <is>
          <t>AWS-205</t>
        </is>
      </c>
      <c r="B85" s="5" t="inlineStr">
        <is>
          <t>WAF</t>
        </is>
      </c>
      <c r="C85" s="4" t="inlineStr">
        <is>
          <t>生成AI: 運用上の優秀性</t>
        </is>
      </c>
      <c r="D85" s="9" t="inlineStr">
        <is>
          <t>High</t>
        </is>
      </c>
      <c r="E85" s="4" t="inlineStr">
        <is>
          <t>システム過負荷のリスクを軽減する対策(レート制限、Bedrock サービスクォータ管理、キューイング、バックプレッシャー)を実装しているか</t>
        </is>
      </c>
      <c r="F85" s="4" t="inlineStr">
        <is>
          <t>API レート制限またはスロットリング制御が実装され、Bedrock/SageMaker のクォータ使用率が監視され、超過時の挙動(拒否・待機)が定義されている</t>
        </is>
      </c>
      <c r="G85" s="4" t="inlineStr">
        <is>
          <t>リクエスト集中時にモデルエンドポイントが飽和し、全利用者への応答が停止することを防ぐ。</t>
        </is>
      </c>
      <c r="H85" s="4" t="inlineStr">
        <is>
          <t>Generative AI Lens &gt; Operational excellence &gt; GENOPS02-BP03 Implement solutions to mitigate the risk of system overload</t>
        </is>
      </c>
      <c r="I85" s="4" t="inlineStr">
        <is>
          <t>AWS-DELTA</t>
        </is>
      </c>
      <c r="J85" s="4" t="inlineStr">
        <is>
          <t>AWS採用時に、CLOUD-COMMONで未評価のAWS固有差分へ適用。</t>
        </is>
      </c>
      <c r="K85" s="4" t="inlineStr">
        <is>
          <t>SRC-AWS-GENAI</t>
        </is>
      </c>
      <c r="L85" s="4" t="inlineStr">
        <is>
          <t>CONTINUITY-DR</t>
        </is>
      </c>
      <c r="M85" s="4" t="n"/>
      <c r="N85" s="4" t="n"/>
      <c r="O85" s="4" t="n"/>
      <c r="P85" s="4" t="n"/>
      <c r="Q85" s="4" t="n"/>
      <c r="R85" s="4" t="n"/>
      <c r="S85" s="4" t="n"/>
      <c r="T85" s="4" t="n"/>
      <c r="U85" s="4" t="n"/>
      <c r="V85" s="4" t="n"/>
      <c r="W85" s="4" t="n"/>
    </row>
    <row r="86">
      <c r="A86" s="5" t="inlineStr">
        <is>
          <t>AWS-206</t>
        </is>
      </c>
      <c r="B86" s="5" t="inlineStr">
        <is>
          <t>WAF</t>
        </is>
      </c>
      <c r="C86" s="4" t="inlineStr">
        <is>
          <t>生成AI: 運用上の優秀性</t>
        </is>
      </c>
      <c r="D86" s="10" t="inlineStr">
        <is>
          <t>Medium</t>
        </is>
      </c>
      <c r="E86" s="4" t="inlineStr">
        <is>
          <t>プロンプトテンプレートを管理する仕組み(Amazon Bedrock Prompt Management 等)を導入し、テンプレートの変更を追跡できるか</t>
        </is>
      </c>
      <c r="F86" s="4" t="inlineStr">
        <is>
          <t>プロンプトテンプレートが一元管理され、バージョン・変更者・変更内容が追跡可能で、アプリはテンプレートを参照して利用している</t>
        </is>
      </c>
      <c r="G86" s="4" t="inlineStr">
        <is>
          <t>プロンプトの無秩序な変更で出力品質が変動し、原因追跡ができなくなることを防ぐ。</t>
        </is>
      </c>
      <c r="H86" s="4" t="inlineStr">
        <is>
          <t>Generative AI Lens &gt; Operational excellence &gt; GENOPS03-BP01 Implement prompt template management</t>
        </is>
      </c>
      <c r="I86" s="4" t="inlineStr">
        <is>
          <t>AWS-DELTA</t>
        </is>
      </c>
      <c r="J86" s="4" t="inlineStr">
        <is>
          <t>AWS採用時に、CLOUD-COMMONで未評価のAWS固有差分へ適用。</t>
        </is>
      </c>
      <c r="K86" s="4" t="inlineStr">
        <is>
          <t>SRC-AWS-GENAI</t>
        </is>
      </c>
      <c r="L86" s="4" t="inlineStr">
        <is>
          <t>CONTINUITY-DR</t>
        </is>
      </c>
      <c r="M86" s="4" t="n"/>
      <c r="N86" s="4" t="n"/>
      <c r="O86" s="4" t="n"/>
      <c r="P86" s="4" t="n"/>
      <c r="Q86" s="4" t="n"/>
      <c r="R86" s="4" t="n"/>
      <c r="S86" s="4" t="n"/>
      <c r="T86" s="4" t="n"/>
      <c r="U86" s="4" t="n"/>
      <c r="V86" s="4" t="n"/>
      <c r="W86" s="4" t="n"/>
    </row>
    <row r="87">
      <c r="A87" s="5" t="inlineStr">
        <is>
          <t>AWS-207</t>
        </is>
      </c>
      <c r="B87" s="5" t="inlineStr">
        <is>
          <t>WAF</t>
        </is>
      </c>
      <c r="C87" s="4" t="inlineStr">
        <is>
          <t>生成AI: 運用上の優秀性</t>
        </is>
      </c>
      <c r="D87" s="10" t="inlineStr">
        <is>
          <t>Medium</t>
        </is>
      </c>
      <c r="E87" s="4" t="inlineStr">
        <is>
          <t>エージェントと RAG ワークフローにトレーシング(Amazon Bedrock Agents のトレース機能等)を有効化しているか</t>
        </is>
      </c>
      <c r="F87" s="4" t="inlineStr">
        <is>
          <t>エージェントの推論ステップ・ツール呼び出し・検索結果がトレースとして記録され、個々のリクエストの実行経路を再現できる</t>
        </is>
      </c>
      <c r="G87" s="4" t="inlineStr">
        <is>
          <t>エージェントの誤動作や不適切な回答の原因ステップを特定できず、デバッグ不能になることを防ぐ。</t>
        </is>
      </c>
      <c r="H87" s="4" t="inlineStr">
        <is>
          <t>Generative AI Lens &gt; Operational excellence &gt; GENOPS03-BP02 Enable tracing for agents and RAG workflows</t>
        </is>
      </c>
      <c r="I87" s="4" t="inlineStr">
        <is>
          <t>AWS-DELTA</t>
        </is>
      </c>
      <c r="J87" s="4" t="inlineStr">
        <is>
          <t>AWS採用時に、CLOUD-COMMONで未評価のAWS固有差分へ適用。</t>
        </is>
      </c>
      <c r="K87" s="4" t="inlineStr">
        <is>
          <t>SRC-AWS-GENAI</t>
        </is>
      </c>
      <c r="L87" s="4" t="inlineStr">
        <is>
          <t>CONTINUITY-DR;OPS-OBSERVABILITY</t>
        </is>
      </c>
      <c r="M87" s="4" t="n"/>
      <c r="N87" s="4" t="n"/>
      <c r="O87" s="4" t="n"/>
      <c r="P87" s="4" t="n"/>
      <c r="Q87" s="4" t="n"/>
      <c r="R87" s="4" t="n"/>
      <c r="S87" s="4" t="n"/>
      <c r="T87" s="4" t="n"/>
      <c r="U87" s="4" t="n"/>
      <c r="V87" s="4" t="n"/>
      <c r="W87" s="4" t="n"/>
    </row>
    <row r="88">
      <c r="A88" s="5" t="inlineStr">
        <is>
          <t>AWS-208</t>
        </is>
      </c>
      <c r="B88" s="5" t="inlineStr">
        <is>
          <t>WAF</t>
        </is>
      </c>
      <c r="C88" s="4" t="inlineStr">
        <is>
          <t>生成AI: 運用上の優秀性</t>
        </is>
      </c>
      <c r="D88" s="10" t="inlineStr">
        <is>
          <t>Medium</t>
        </is>
      </c>
      <c r="E88" s="4" t="inlineStr">
        <is>
          <t>生成AIアプリケーションのライフサイクルを IaC(AWS CloudFormation / CDK / Terraform)で自動化しているか</t>
        </is>
      </c>
      <c r="F88" s="4" t="inlineStr">
        <is>
          <t>モデルエンドポイント・ナレッジベース・ガードレール等の構成がコード化され、デプロイパイプラインから再現可能に展開できる</t>
        </is>
      </c>
      <c r="G88" s="4" t="inlineStr">
        <is>
          <t>手作業構築による環境差異・設定ミスが発生し、再現性のない障害や復旧遅延を招くことを防ぐ。</t>
        </is>
      </c>
      <c r="H88" s="4" t="inlineStr">
        <is>
          <t>Generative AI Lens &gt; Operational excellence &gt; GENOPS04-BP01 Automate generative AI application lifecycle with infrastructure as code (IaC)</t>
        </is>
      </c>
      <c r="I88" s="4" t="inlineStr">
        <is>
          <t>AWS-DELTA</t>
        </is>
      </c>
      <c r="J88" s="4" t="inlineStr">
        <is>
          <t>AWS採用時に、CLOUD-COMMONで未評価のAWS固有差分へ適用。</t>
        </is>
      </c>
      <c r="K88" s="4" t="inlineStr">
        <is>
          <t>SRC-AWS-GENAI</t>
        </is>
      </c>
      <c r="L88" s="4" t="inlineStr">
        <is>
          <t>OPS-IAC</t>
        </is>
      </c>
      <c r="M88" s="4" t="n"/>
      <c r="N88" s="4" t="n"/>
      <c r="O88" s="4" t="n"/>
      <c r="P88" s="4" t="n"/>
      <c r="Q88" s="4" t="n"/>
      <c r="R88" s="4" t="n"/>
      <c r="S88" s="4" t="n"/>
      <c r="T88" s="4" t="n"/>
      <c r="U88" s="4" t="n"/>
      <c r="V88" s="4" t="n"/>
      <c r="W88" s="4" t="n"/>
    </row>
    <row r="89">
      <c r="A89" s="5" t="inlineStr">
        <is>
          <t>AWS-209</t>
        </is>
      </c>
      <c r="B89" s="5" t="inlineStr">
        <is>
          <t>WAF</t>
        </is>
      </c>
      <c r="C89" s="4" t="inlineStr">
        <is>
          <t>生成AI: 運用上の優秀性</t>
        </is>
      </c>
      <c r="D89" s="10" t="inlineStr">
        <is>
          <t>Medium</t>
        </is>
      </c>
      <c r="E89" s="4" t="inlineStr">
        <is>
          <t>GenAIOps(プロンプト・モデル・データの変更を含む CI/CD と評価の自動化)を導入してアプリケーションライフサイクルを最適化しているか</t>
        </is>
      </c>
      <c r="F89" s="4" t="inlineStr">
        <is>
          <t>プロンプト変更・モデル更新・アプリ変更がパイプラインで自動評価・自動デプロイされ、ロールバック手順が定義されている</t>
        </is>
      </c>
      <c r="G89" s="4" t="inlineStr">
        <is>
          <t>変更のたびに手動評価・手動リリースとなり、品質劣化の混入やリリース遅延が常態化することを防ぐ。</t>
        </is>
      </c>
      <c r="H89" s="4" t="inlineStr">
        <is>
          <t>Generative AI Lens &gt; Operational excellence &gt; GENOPS04-BP02 Implement GenAIOps to optimize the application lifecycle</t>
        </is>
      </c>
      <c r="I89" s="4" t="inlineStr">
        <is>
          <t>AWS-DELTA</t>
        </is>
      </c>
      <c r="J89" s="4" t="inlineStr">
        <is>
          <t>AWS採用時に、CLOUD-COMMONで未評価のAWS固有差分へ適用。</t>
        </is>
      </c>
      <c r="K89" s="4" t="inlineStr">
        <is>
          <t>SRC-AWS-GENAI</t>
        </is>
      </c>
      <c r="L89" s="4" t="inlineStr"/>
      <c r="M89" s="4" t="n"/>
      <c r="N89" s="4" t="n"/>
      <c r="O89" s="4" t="n"/>
      <c r="P89" s="4" t="n"/>
      <c r="Q89" s="4" t="n"/>
      <c r="R89" s="4" t="n"/>
      <c r="S89" s="4" t="n"/>
      <c r="T89" s="4" t="n"/>
      <c r="U89" s="4" t="n"/>
      <c r="V89" s="4" t="n"/>
      <c r="W89" s="4" t="n"/>
    </row>
    <row r="90">
      <c r="A90" s="5" t="inlineStr">
        <is>
          <t>AWS-210</t>
        </is>
      </c>
      <c r="B90" s="5" t="inlineStr">
        <is>
          <t>WAF</t>
        </is>
      </c>
      <c r="C90" s="4" t="inlineStr">
        <is>
          <t>生成AI: 運用上の優秀性</t>
        </is>
      </c>
      <c r="D90" s="10" t="inlineStr">
        <is>
          <t>Medium</t>
        </is>
      </c>
      <c r="E90" s="4" t="inlineStr">
        <is>
          <t>モデルカスタマイズ(ファインチューニング等)を実行すべき条件を、プロンプトエンジニアリング・RAG との比較で判断する基準を持っているか</t>
        </is>
      </c>
      <c r="F90" s="4" t="inlineStr">
        <is>
          <t>プロンプト改善→RAG→ファインチューニングの段階的検討基準が文書化され、カスタマイズ実施時は効果測定の結果が残されている</t>
        </is>
      </c>
      <c r="G90" s="4" t="inlineStr">
        <is>
          <t>不要な高コストのカスタマイズを実施したり、逆に必要な精度改善を放置したりすることを防ぐ。</t>
        </is>
      </c>
      <c r="H90" s="4" t="inlineStr">
        <is>
          <t>Generative AI Lens &gt; Operational excellence &gt; GENOPS05-BP01 Learn when to customize models</t>
        </is>
      </c>
      <c r="I90" s="4" t="inlineStr">
        <is>
          <t>AWS-DELTA</t>
        </is>
      </c>
      <c r="J90" s="4" t="inlineStr">
        <is>
          <t>AWS採用時に、CLOUD-COMMONで未評価のAWS固有差分へ適用。</t>
        </is>
      </c>
      <c r="K90" s="4" t="inlineStr">
        <is>
          <t>SRC-AWS-GENAI</t>
        </is>
      </c>
      <c r="L90" s="4" t="inlineStr"/>
      <c r="M90" s="4" t="n"/>
      <c r="N90" s="4" t="n"/>
      <c r="O90" s="4" t="n"/>
      <c r="P90" s="4" t="n"/>
      <c r="Q90" s="4" t="n"/>
      <c r="R90" s="4" t="n"/>
      <c r="S90" s="4" t="n"/>
      <c r="T90" s="4" t="n"/>
      <c r="U90" s="4" t="n"/>
      <c r="V90" s="4" t="n"/>
      <c r="W90" s="4" t="n"/>
    </row>
    <row r="91">
      <c r="A91" s="5" t="inlineStr">
        <is>
          <t>AWS-211</t>
        </is>
      </c>
      <c r="B91" s="5" t="inlineStr">
        <is>
          <t>WAF</t>
        </is>
      </c>
      <c r="C91" s="4" t="inlineStr">
        <is>
          <t>生成AI: セキュリティ</t>
        </is>
      </c>
      <c r="D91" s="8" t="inlineStr">
        <is>
          <t>Critical</t>
        </is>
      </c>
      <c r="E91" s="4" t="inlineStr">
        <is>
          <t>基盤モデルエンドポイント(bedrock:InvokeModel、SageMaker InvokeEndpoint 等)への IAM アクセス権限が最小権限になっているか</t>
        </is>
      </c>
      <c r="F91" s="4" t="inlineStr">
        <is>
          <t>IAM ポリシーが特定モデル ARN・特定アクションに限定され、ワイルドカード権限(bedrock:* 等)が本番ロールに存在しない</t>
        </is>
      </c>
      <c r="G91" s="4" t="inlineStr">
        <is>
          <t>過剰権限の悪用・誤用により、意図しないモデル呼び出しやデータ露出、コスト濫用が起きることを防ぐ。</t>
        </is>
      </c>
      <c r="H91" s="4" t="inlineStr">
        <is>
          <t>Generative AI Lens &gt; Security &gt; GENSEC01-BP01 Grant least privilege access to foundation model endpoints</t>
        </is>
      </c>
      <c r="I91" s="4" t="inlineStr">
        <is>
          <t>AWS-DELTA</t>
        </is>
      </c>
      <c r="J91" s="4" t="inlineStr">
        <is>
          <t>AWS採用時に、CLOUD-COMMONで未評価のAWS固有差分へ適用。</t>
        </is>
      </c>
      <c r="K91" s="4" t="inlineStr">
        <is>
          <t>SRC-AWS-GENAI</t>
        </is>
      </c>
      <c r="L91" s="4" t="inlineStr">
        <is>
          <t>CONTINUITY-DR;SEC-IAM</t>
        </is>
      </c>
      <c r="M91" s="4" t="n"/>
      <c r="N91" s="4" t="n"/>
      <c r="O91" s="4" t="n"/>
      <c r="P91" s="4" t="n"/>
      <c r="Q91" s="4" t="n"/>
      <c r="R91" s="4" t="n"/>
      <c r="S91" s="4" t="n"/>
      <c r="T91" s="4" t="n"/>
      <c r="U91" s="4" t="n"/>
      <c r="V91" s="4" t="n"/>
      <c r="W91" s="4" t="n"/>
    </row>
    <row r="92">
      <c r="A92" s="5" t="inlineStr">
        <is>
          <t>AWS-212</t>
        </is>
      </c>
      <c r="B92" s="5" t="inlineStr">
        <is>
          <t>WAF</t>
        </is>
      </c>
      <c r="C92" s="4" t="inlineStr">
        <is>
          <t>生成AI: セキュリティ</t>
        </is>
      </c>
      <c r="D92" s="9" t="inlineStr">
        <is>
          <t>High</t>
        </is>
      </c>
      <c r="E92" s="4" t="inlineStr">
        <is>
          <t>アプリケーションと基盤モデル間の通信を VPC エンドポイント(AWS PrivateLink)等のプライベートネットワークで行っているか</t>
        </is>
      </c>
      <c r="F92" s="4" t="inlineStr">
        <is>
          <t>Bedrock/SageMaker への呼び出しが VPC エンドポイント経由で行われ、エンドポイントポリシーで利用元・対象が制限されている</t>
        </is>
      </c>
      <c r="G92" s="4" t="inlineStr">
        <is>
          <t>推論トラフィック(プロンプト・応答に含まれる機密情報)がパブリックネットワークを経由し、傍受・漏えいするリスクを防ぐ。</t>
        </is>
      </c>
      <c r="H92" s="4" t="inlineStr">
        <is>
          <t>Generative AI Lens &gt; Security &gt; GENSEC01-BP02 Implement private network communication between foundation models and applications</t>
        </is>
      </c>
      <c r="I92" s="4" t="inlineStr">
        <is>
          <t>AWS-DELTA</t>
        </is>
      </c>
      <c r="J92" s="4" t="inlineStr">
        <is>
          <t>AWS採用時に、CLOUD-COMMONで未評価のAWS固有差分へ適用。</t>
        </is>
      </c>
      <c r="K92" s="4" t="inlineStr">
        <is>
          <t>SRC-AWS-GENAI</t>
        </is>
      </c>
      <c r="L92" s="4" t="inlineStr"/>
      <c r="M92" s="4" t="n"/>
      <c r="N92" s="4" t="n"/>
      <c r="O92" s="4" t="n"/>
      <c r="P92" s="4" t="n"/>
      <c r="Q92" s="4" t="n"/>
      <c r="R92" s="4" t="n"/>
      <c r="S92" s="4" t="n"/>
      <c r="T92" s="4" t="n"/>
      <c r="U92" s="4" t="n"/>
      <c r="V92" s="4" t="n"/>
      <c r="W92" s="4" t="n"/>
    </row>
    <row r="93">
      <c r="A93" s="5" t="inlineStr">
        <is>
          <t>AWS-213</t>
        </is>
      </c>
      <c r="B93" s="5" t="inlineStr">
        <is>
          <t>WAF</t>
        </is>
      </c>
      <c r="C93" s="4" t="inlineStr">
        <is>
          <t>生成AI: セキュリティ</t>
        </is>
      </c>
      <c r="D93" s="8" t="inlineStr">
        <is>
          <t>Critical</t>
        </is>
      </c>
      <c r="E93" s="4" t="inlineStr">
        <is>
          <t>基盤モデル(ナレッジベース・エージェント)がデータストアへアクセスする際の権限が最小権限になっているか</t>
        </is>
      </c>
      <c r="F93" s="4" t="inlineStr">
        <is>
          <t>Bedrock Knowledge Bases / エージェントのサービスロールが必要な S3 バケット・ベクトルストア・テーブルのみに限定され、書き込み不要な場合は読み取り専用である</t>
        </is>
      </c>
      <c r="G93" s="4" t="inlineStr">
        <is>
          <t>モデル経由で権限外のデータが検索・出力され、機密データが利用者に漏えいすることを防ぐ。</t>
        </is>
      </c>
      <c r="H93" s="4" t="inlineStr">
        <is>
          <t>Generative AI Lens &gt; Security &gt; GENSEC01-BP03 Implement least privilege access permissions for foundation models accessing data stores</t>
        </is>
      </c>
      <c r="I93" s="4" t="inlineStr">
        <is>
          <t>AWS-DELTA</t>
        </is>
      </c>
      <c r="J93" s="4" t="inlineStr">
        <is>
          <t>AWS採用時に、CLOUD-COMMONで未評価のAWS固有差分へ適用。</t>
        </is>
      </c>
      <c r="K93" s="4" t="inlineStr">
        <is>
          <t>SRC-AWS-GENAI</t>
        </is>
      </c>
      <c r="L93" s="4" t="inlineStr">
        <is>
          <t>SEC-IAM</t>
        </is>
      </c>
      <c r="M93" s="4" t="n"/>
      <c r="N93" s="4" t="n"/>
      <c r="O93" s="4" t="n"/>
      <c r="P93" s="4" t="n"/>
      <c r="Q93" s="4" t="n"/>
      <c r="R93" s="4" t="n"/>
      <c r="S93" s="4" t="n"/>
      <c r="T93" s="4" t="n"/>
      <c r="U93" s="4" t="n"/>
      <c r="V93" s="4" t="n"/>
      <c r="W93" s="4" t="n"/>
    </row>
    <row r="94">
      <c r="A94" s="5" t="inlineStr">
        <is>
          <t>AWS-214</t>
        </is>
      </c>
      <c r="B94" s="5" t="inlineStr">
        <is>
          <t>WAF</t>
        </is>
      </c>
      <c r="C94" s="4" t="inlineStr">
        <is>
          <t>生成AI: セキュリティ</t>
        </is>
      </c>
      <c r="D94" s="9" t="inlineStr">
        <is>
          <t>High</t>
        </is>
      </c>
      <c r="E94" s="4" t="inlineStr">
        <is>
          <t>生成AIサービスと基盤モデルへのアクセスを監視する仕組み(AWS CloudTrail、CloudWatch)を実装しているか</t>
        </is>
      </c>
      <c r="F94" s="4" t="inlineStr">
        <is>
          <t>誰がいつどのモデル/エンドポイントへアクセスしたかが CloudTrail に記録され、異常なアクセスパターンの検知アラートが設定されている</t>
        </is>
      </c>
      <c r="G94" s="4" t="inlineStr">
        <is>
          <t>不正アクセスや権限悪用が発生しても検知できず、侵害の発見が遅れることを防ぐ。</t>
        </is>
      </c>
      <c r="H94" s="4" t="inlineStr">
        <is>
          <t>Generative AI Lens &gt; Security &gt; GENSEC01-BP04 Implement access monitoring to generative AI services and foundation models</t>
        </is>
      </c>
      <c r="I94" s="4" t="inlineStr">
        <is>
          <t>AWS-DELTA</t>
        </is>
      </c>
      <c r="J94" s="4" t="inlineStr">
        <is>
          <t>AWS採用時に、CLOUD-COMMONで未評価のAWS固有差分へ適用。</t>
        </is>
      </c>
      <c r="K94" s="4" t="inlineStr">
        <is>
          <t>SRC-AWS-GENAI</t>
        </is>
      </c>
      <c r="L94" s="4" t="inlineStr">
        <is>
          <t>OPS-OBSERVABILITY</t>
        </is>
      </c>
      <c r="M94" s="4" t="n"/>
      <c r="N94" s="4" t="n"/>
      <c r="O94" s="4" t="n"/>
      <c r="P94" s="4" t="n"/>
      <c r="Q94" s="4" t="n"/>
      <c r="R94" s="4" t="n"/>
      <c r="S94" s="4" t="n"/>
      <c r="T94" s="4" t="n"/>
      <c r="U94" s="4" t="n"/>
      <c r="V94" s="4" t="n"/>
      <c r="W94" s="4" t="n"/>
    </row>
    <row r="95">
      <c r="A95" s="5" t="inlineStr">
        <is>
          <t>AWS-215</t>
        </is>
      </c>
      <c r="B95" s="5" t="inlineStr">
        <is>
          <t>WAF</t>
        </is>
      </c>
      <c r="C95" s="4" t="inlineStr">
        <is>
          <t>生成AI: セキュリティ</t>
        </is>
      </c>
      <c r="D95" s="8" t="inlineStr">
        <is>
          <t>Critical</t>
        </is>
      </c>
      <c r="E95" s="4" t="inlineStr">
        <is>
          <t>有害・偏向・事実誤認の応答を軽減するガードレール(Amazon Bedrock Guardrails 等)を入力・出力の両方に適用しているか</t>
        </is>
      </c>
      <c r="F95" s="4" t="inlineStr">
        <is>
          <t>コンテンツフィルタ・拒否トピック・機密情報(PII)フィルタ等が定義されたガードレールが本番の全推論経路に適用され、ブロックイベントが記録されている</t>
        </is>
      </c>
      <c r="G95" s="4" t="inlineStr">
        <is>
          <t>有害コンテンツや誤情報が未制御のまま利用者に提示され、利用者被害・法的リスク・信頼失墜を招くことを防ぐ。</t>
        </is>
      </c>
      <c r="H95" s="4" t="inlineStr">
        <is>
          <t>Generative AI Lens &gt; Security &gt; GENSEC02-BP01 Implement guardrails to mitigate harmful or incorrect model responses</t>
        </is>
      </c>
      <c r="I95" s="4" t="inlineStr">
        <is>
          <t>AWS-DELTA</t>
        </is>
      </c>
      <c r="J95" s="4" t="inlineStr">
        <is>
          <t>AWS採用時に、CLOUD-COMMONで未評価のAWS固有差分へ適用。</t>
        </is>
      </c>
      <c r="K95" s="4" t="inlineStr">
        <is>
          <t>SRC-AWS-GENAI</t>
        </is>
      </c>
      <c r="L95" s="4" t="inlineStr">
        <is>
          <t>CONTINUITY-DR</t>
        </is>
      </c>
      <c r="M95" s="4" t="n"/>
      <c r="N95" s="4" t="n"/>
      <c r="O95" s="4" t="n"/>
      <c r="P95" s="4" t="n"/>
      <c r="Q95" s="4" t="n"/>
      <c r="R95" s="4" t="n"/>
      <c r="S95" s="4" t="n"/>
      <c r="T95" s="4" t="n"/>
      <c r="U95" s="4" t="n"/>
      <c r="V95" s="4" t="n"/>
      <c r="W95" s="4" t="n"/>
    </row>
    <row r="96">
      <c r="A96" s="5" t="inlineStr">
        <is>
          <t>AWS-216</t>
        </is>
      </c>
      <c r="B96" s="5" t="inlineStr">
        <is>
          <t>WAF</t>
        </is>
      </c>
      <c r="C96" s="4" t="inlineStr">
        <is>
          <t>生成AI: セキュリティ</t>
        </is>
      </c>
      <c r="D96" s="9" t="inlineStr">
        <is>
          <t>High</t>
        </is>
      </c>
      <c r="E96" s="4" t="inlineStr">
        <is>
          <t>生成AIワークロードのコントロールプレーン操作とデータアクセス(モデル呼び出しログ含む)を監査できるよう記録しているか</t>
        </is>
      </c>
      <c r="F96" s="4" t="inlineStr">
        <is>
          <t>CloudTrail の管理イベントに加え、Bedrock のモデル呼び出しログ(invocation logging)等のデータイベントが有効化され、保管期間と参照手順が定義されている</t>
        </is>
      </c>
      <c r="G96" s="4" t="inlineStr">
        <is>
          <t>インシデント発生時に「誰が何をモデルに送り、何が返されたか」を追跡できず、原因究明と説明責任が果たせなくなることを防ぐ。</t>
        </is>
      </c>
      <c r="H96" s="4" t="inlineStr">
        <is>
          <t>Generative AI Lens &gt; Security &gt; GENSEC03-BP01 Implement control plane and data access monitoring to generative AI services and foundation models</t>
        </is>
      </c>
      <c r="I96" s="4" t="inlineStr">
        <is>
          <t>AWS-DELTA</t>
        </is>
      </c>
      <c r="J96" s="4" t="inlineStr">
        <is>
          <t>AWS採用時に、CLOUD-COMMONで未評価のAWS固有差分へ適用。</t>
        </is>
      </c>
      <c r="K96" s="4" t="inlineStr">
        <is>
          <t>SRC-AWS-GENAI</t>
        </is>
      </c>
      <c r="L96" s="4" t="inlineStr">
        <is>
          <t>OPS-OBSERVABILITY</t>
        </is>
      </c>
      <c r="M96" s="4" t="n"/>
      <c r="N96" s="4" t="n"/>
      <c r="O96" s="4" t="n"/>
      <c r="P96" s="4" t="n"/>
      <c r="Q96" s="4" t="n"/>
      <c r="R96" s="4" t="n"/>
      <c r="S96" s="4" t="n"/>
      <c r="T96" s="4" t="n"/>
      <c r="U96" s="4" t="n"/>
      <c r="V96" s="4" t="n"/>
      <c r="W96" s="4" t="n"/>
    </row>
    <row r="97">
      <c r="A97" s="5" t="inlineStr">
        <is>
          <t>AWS-217</t>
        </is>
      </c>
      <c r="B97" s="5" t="inlineStr">
        <is>
          <t>WAF</t>
        </is>
      </c>
      <c r="C97" s="4" t="inlineStr">
        <is>
          <t>生成AI: セキュリティ</t>
        </is>
      </c>
      <c r="D97" s="10" t="inlineStr">
        <is>
          <t>Medium</t>
        </is>
      </c>
      <c r="E97" s="4" t="inlineStr">
        <is>
          <t>システムプロンプトを機密情報として扱い、セキュアなプロンプトカタログ(アクセス制御・暗号化付き)で管理しているか</t>
        </is>
      </c>
      <c r="F97" s="4" t="inlineStr">
        <is>
          <t>システムプロンプトがアクセス制御された保管場所で管理され、閲覧・変更権限が限定され、ソースコードへの平文埋め込みが排除されている</t>
        </is>
      </c>
      <c r="G97" s="4" t="inlineStr">
        <is>
          <t>システムプロンプトの漏えいにより、ガードレール回避の手掛かりを与えたり、模倣・悪用されたりすることを防ぐ。</t>
        </is>
      </c>
      <c r="H97" s="4" t="inlineStr">
        <is>
          <t>Generative AI Lens &gt; Security &gt; GENSEC04-BP01 Implement a secure prompt catalog</t>
        </is>
      </c>
      <c r="I97" s="4" t="inlineStr">
        <is>
          <t>AWS-DELTA</t>
        </is>
      </c>
      <c r="J97" s="4" t="inlineStr">
        <is>
          <t>AWS採用時に、CLOUD-COMMONで未評価のAWS固有差分へ適用。</t>
        </is>
      </c>
      <c r="K97" s="4" t="inlineStr">
        <is>
          <t>SRC-AWS-GENAI</t>
        </is>
      </c>
      <c r="L97" s="4" t="inlineStr">
        <is>
          <t>SEC-CRYPTO;OPS-OBSERVABILITY</t>
        </is>
      </c>
      <c r="M97" s="4" t="n"/>
      <c r="N97" s="4" t="n"/>
      <c r="O97" s="4" t="n"/>
      <c r="P97" s="4" t="n"/>
      <c r="Q97" s="4" t="n"/>
      <c r="R97" s="4" t="n"/>
      <c r="S97" s="4" t="n"/>
      <c r="T97" s="4" t="n"/>
      <c r="U97" s="4" t="n"/>
      <c r="V97" s="4" t="n"/>
      <c r="W97" s="4" t="n"/>
    </row>
    <row r="98">
      <c r="A98" s="5" t="inlineStr">
        <is>
          <t>AWS-218</t>
        </is>
      </c>
      <c r="B98" s="5" t="inlineStr">
        <is>
          <t>WAF</t>
        </is>
      </c>
      <c r="C98" s="4" t="inlineStr">
        <is>
          <t>生成AI: セキュリティ</t>
        </is>
      </c>
      <c r="D98" s="8" t="inlineStr">
        <is>
          <t>Critical</t>
        </is>
      </c>
      <c r="E98" s="4" t="inlineStr">
        <is>
          <t>基盤モデルへ渡すユーザー入力をサニタイズ・検証し、プロンプトインジェクションのリスクを軽減しているか</t>
        </is>
      </c>
      <c r="F98" s="4" t="inlineStr">
        <is>
          <t>入力の長さ・形式・文字種の検証、システム指示とユーザー入力の分離、インジェクション検知フィルタ(Bedrock Guardrails のプロンプト攻撃フィルタ等)が実装されている</t>
        </is>
      </c>
      <c r="G98" s="4" t="inlineStr">
        <is>
          <t>悪意ある入力によりシステム指示が上書きされ、機密情報の引き出しや意図しない操作が実行されることを防ぐ。</t>
        </is>
      </c>
      <c r="H98" s="4" t="inlineStr">
        <is>
          <t>Generative AI Lens &gt; Security &gt; GENSEC04-BP02 Sanitize and validate user inputs to foundation models</t>
        </is>
      </c>
      <c r="I98" s="4" t="inlineStr">
        <is>
          <t>AWS-DELTA</t>
        </is>
      </c>
      <c r="J98" s="4" t="inlineStr">
        <is>
          <t>AWS採用時に、CLOUD-COMMONで未評価のAWS固有差分へ適用。</t>
        </is>
      </c>
      <c r="K98" s="4" t="inlineStr">
        <is>
          <t>SRC-AWS-GENAI</t>
        </is>
      </c>
      <c r="L98" s="4" t="inlineStr">
        <is>
          <t>AI-PROMPT-SEC</t>
        </is>
      </c>
      <c r="M98" s="4" t="n"/>
      <c r="N98" s="4" t="n"/>
      <c r="O98" s="4" t="n"/>
      <c r="P98" s="4" t="n"/>
      <c r="Q98" s="4" t="n"/>
      <c r="R98" s="4" t="n"/>
      <c r="S98" s="4" t="n"/>
      <c r="T98" s="4" t="n"/>
      <c r="U98" s="4" t="n"/>
      <c r="V98" s="4" t="n"/>
      <c r="W98" s="4" t="n"/>
    </row>
    <row r="99">
      <c r="A99" s="5" t="inlineStr">
        <is>
          <t>AWS-219</t>
        </is>
      </c>
      <c r="B99" s="5" t="inlineStr">
        <is>
          <t>WAF</t>
        </is>
      </c>
      <c r="C99" s="4" t="inlineStr">
        <is>
          <t>生成AI: セキュリティ</t>
        </is>
      </c>
      <c r="D99" s="8" t="inlineStr">
        <is>
          <t>Critical</t>
        </is>
      </c>
      <c r="E99" s="4" t="inlineStr">
        <is>
          <t>エージェントワークフロー(Bedrock Agents 等)に最小権限アクセスと IAM 権限境界(permissions boundary)を適用し、過剰な自律性(excessive agency)を防いでいるか</t>
        </is>
      </c>
      <c r="F99" s="4" t="inlineStr">
        <is>
          <t>エージェントが呼び出せるツール/API が必要最小限に列挙され、実行ロールに権限境界が設定され、破壊的操作には人間の承認が必要である</t>
        </is>
      </c>
      <c r="G99" s="4" t="inlineStr">
        <is>
          <t>エージェントが想定外の API を自律実行し、データ削除・改ざん・意図しない外部操作などの実害を生むことを防ぐ。</t>
        </is>
      </c>
      <c r="H99" s="4" t="inlineStr">
        <is>
          <t>Generative AI Lens &gt; Security &gt; GENSEC05-BP01 Implement least privilege access and permissions boundaries for agentic workflows</t>
        </is>
      </c>
      <c r="I99" s="4" t="inlineStr">
        <is>
          <t>AWS-DELTA</t>
        </is>
      </c>
      <c r="J99" s="4" t="inlineStr">
        <is>
          <t>AWS採用時に、CLOUD-COMMONで未評価のAWS固有差分へ適用。</t>
        </is>
      </c>
      <c r="K99" s="4" t="inlineStr">
        <is>
          <t>SRC-AWS-GENAI</t>
        </is>
      </c>
      <c r="L99" s="4" t="inlineStr">
        <is>
          <t>CONTINUITY-DR;SEC-IAM</t>
        </is>
      </c>
      <c r="M99" s="4" t="n"/>
      <c r="N99" s="4" t="n"/>
      <c r="O99" s="4" t="n"/>
      <c r="P99" s="4" t="n"/>
      <c r="Q99" s="4" t="n"/>
      <c r="R99" s="4" t="n"/>
      <c r="S99" s="4" t="n"/>
      <c r="T99" s="4" t="n"/>
      <c r="U99" s="4" t="n"/>
      <c r="V99" s="4" t="n"/>
      <c r="W99" s="4" t="n"/>
    </row>
    <row r="100">
      <c r="A100" s="5" t="inlineStr">
        <is>
          <t>AWS-220</t>
        </is>
      </c>
      <c r="B100" s="5" t="inlineStr">
        <is>
          <t>WAF</t>
        </is>
      </c>
      <c r="C100" s="4" t="inlineStr">
        <is>
          <t>生成AI: セキュリティ</t>
        </is>
      </c>
      <c r="D100" s="9" t="inlineStr">
        <is>
          <t>High</t>
        </is>
      </c>
      <c r="E100" s="4" t="inlineStr">
        <is>
          <t>モデルの学習・カスタマイズに使うデータに対して、データポイズニングを検知・除去する浄化フィルタを実装しているか</t>
        </is>
      </c>
      <c r="F100" s="4" t="inlineStr">
        <is>
          <t>学習/ファインチューニング用データの出所検証・異常データ検知・不適切コンテンツ除去のプロセスが定義され、実行記録が残っている</t>
        </is>
      </c>
      <c r="G100" s="4" t="inlineStr">
        <is>
          <t>汚染データによりモデルに偏向・バックドア的挙動が仕込まれ、本番で有害な出力を生成することを防ぐ。</t>
        </is>
      </c>
      <c r="H100" s="4" t="inlineStr">
        <is>
          <t>Generative AI Lens &gt; Security &gt; GENSEC06-BP01 Implement data purification filters for model training workflows</t>
        </is>
      </c>
      <c r="I100" s="4" t="inlineStr">
        <is>
          <t>AWS-DELTA</t>
        </is>
      </c>
      <c r="J100" s="4" t="inlineStr">
        <is>
          <t>AWS採用時に、CLOUD-COMMONで未評価のAWS固有差分へ適用。</t>
        </is>
      </c>
      <c r="K100" s="4" t="inlineStr">
        <is>
          <t>SRC-AWS-GENAI</t>
        </is>
      </c>
      <c r="L100" s="4" t="inlineStr"/>
      <c r="M100" s="4" t="n"/>
      <c r="N100" s="4" t="n"/>
      <c r="O100" s="4" t="n"/>
      <c r="P100" s="4" t="n"/>
      <c r="Q100" s="4" t="n"/>
      <c r="R100" s="4" t="n"/>
      <c r="S100" s="4" t="n"/>
      <c r="T100" s="4" t="n"/>
      <c r="U100" s="4" t="n"/>
      <c r="V100" s="4" t="n"/>
      <c r="W100" s="4" t="n"/>
    </row>
    <row r="101">
      <c r="A101" s="5" t="inlineStr">
        <is>
          <t>AWS-221</t>
        </is>
      </c>
      <c r="B101" s="5" t="inlineStr">
        <is>
          <t>WAF</t>
        </is>
      </c>
      <c r="C101" s="4" t="inlineStr">
        <is>
          <t>生成AI: 信頼性</t>
        </is>
      </c>
      <c r="D101" s="9" t="inlineStr">
        <is>
          <t>High</t>
        </is>
      </c>
      <c r="E101" s="4" t="inlineStr">
        <is>
          <t>基盤モデルのスループット(Bedrock のオンデマンド上限やプロビジョンドスループット、SageMaker エンドポイントのキャパシティ)を利用率に応じてスケール・調整しているか</t>
        </is>
      </c>
      <c r="F101" s="4" t="inlineStr">
        <is>
          <t>想定ピークのトークン/リクエストスループットが見積もられ、クォータまたはプロビジョンドキャパシティがそれを満たし、利用率に基づく増減の運用が定義されている</t>
        </is>
      </c>
      <c r="G101" s="4" t="inlineStr">
        <is>
          <t>需要増でスロットリングが多発し、アプリケーションが実質的に利用不能になることを防ぐ。</t>
        </is>
      </c>
      <c r="H101" s="4" t="inlineStr">
        <is>
          <t>Generative AI Lens &gt; Reliability &gt; GENREL01-BP01 Scale and balance foundation model throughput as a function of utilization</t>
        </is>
      </c>
      <c r="I101" s="4" t="inlineStr">
        <is>
          <t>AWS-DELTA</t>
        </is>
      </c>
      <c r="J101" s="4" t="inlineStr">
        <is>
          <t>AWS採用時に、CLOUD-COMMONで未評価のAWS固有差分へ適用。</t>
        </is>
      </c>
      <c r="K101" s="4" t="inlineStr">
        <is>
          <t>SRC-AWS-GENAI</t>
        </is>
      </c>
      <c r="L101" s="4" t="inlineStr">
        <is>
          <t>CONTINUITY-DR</t>
        </is>
      </c>
      <c r="M101" s="4" t="n"/>
      <c r="N101" s="4" t="n"/>
      <c r="O101" s="4" t="n"/>
      <c r="P101" s="4" t="n"/>
      <c r="Q101" s="4" t="n"/>
      <c r="R101" s="4" t="n"/>
      <c r="S101" s="4" t="n"/>
      <c r="T101" s="4" t="n"/>
      <c r="U101" s="4" t="n"/>
      <c r="V101" s="4" t="n"/>
      <c r="W101" s="4" t="n"/>
    </row>
    <row r="102">
      <c r="A102" s="5" t="inlineStr">
        <is>
          <t>AWS-222</t>
        </is>
      </c>
      <c r="B102" s="5" t="inlineStr">
        <is>
          <t>WAF</t>
        </is>
      </c>
      <c r="C102" s="4" t="inlineStr">
        <is>
          <t>生成AI: 信頼性</t>
        </is>
      </c>
      <c r="D102" s="10" t="inlineStr">
        <is>
          <t>Medium</t>
        </is>
      </c>
      <c r="E102" s="4" t="inlineStr">
        <is>
          <t>モデルエンドポイントと周辺インフラ(ベクトルストア、データソース)間のネットワーク接続に冗長性を確保しているか</t>
        </is>
      </c>
      <c r="F102" s="4" t="inlineStr">
        <is>
          <t>マルチAZ 構成の VPC エンドポイント/サブネット配置となっており、単一 AZ・単一経路の障害で推論経路が断絶しない</t>
        </is>
      </c>
      <c r="G102" s="4" t="inlineStr">
        <is>
          <t>単一ネットワーク経路の障害で生成AI機能全体が停止することを防ぐ。</t>
        </is>
      </c>
      <c r="H102" s="4" t="inlineStr">
        <is>
          <t>Generative AI Lens &gt; Reliability &gt; GENREL02-BP01 Implement redundant network connections among model endpoints and supporting infrastructure</t>
        </is>
      </c>
      <c r="I102" s="4" t="inlineStr">
        <is>
          <t>AWS-DELTA</t>
        </is>
      </c>
      <c r="J102" s="4" t="inlineStr">
        <is>
          <t>AWS採用時に、CLOUD-COMMONで未評価のAWS固有差分へ適用。</t>
        </is>
      </c>
      <c r="K102" s="4" t="inlineStr">
        <is>
          <t>SRC-AWS-GENAI</t>
        </is>
      </c>
      <c r="L102" s="4" t="inlineStr">
        <is>
          <t>RELIABILITY-HA</t>
        </is>
      </c>
      <c r="M102" s="4" t="n"/>
      <c r="N102" s="4" t="n"/>
      <c r="O102" s="4" t="n"/>
      <c r="P102" s="4" t="n"/>
      <c r="Q102" s="4" t="n"/>
      <c r="R102" s="4" t="n"/>
      <c r="S102" s="4" t="n"/>
      <c r="T102" s="4" t="n"/>
      <c r="U102" s="4" t="n"/>
      <c r="V102" s="4" t="n"/>
      <c r="W102" s="4" t="n"/>
    </row>
    <row r="103">
      <c r="A103" s="5" t="inlineStr">
        <is>
          <t>AWS-223</t>
        </is>
      </c>
      <c r="B103" s="5" t="inlineStr">
        <is>
          <t>WAF</t>
        </is>
      </c>
      <c r="C103" s="4" t="inlineStr">
        <is>
          <t>生成AI: 信頼性</t>
        </is>
      </c>
      <c r="D103" s="9" t="inlineStr">
        <is>
          <t>High</t>
        </is>
      </c>
      <c r="E103" s="4" t="inlineStr">
        <is>
          <t>プロンプトフローの失敗(モデルエラー、スロットリング、不正応答)から適切に回復するロジック(リトライ、フォールバック、エラーハンドリング)を実装しているか</t>
        </is>
      </c>
      <c r="F103" s="4" t="inlineStr">
        <is>
          <t>指数バックオフ付きリトライ、代替モデル/定型応答へのフォールバック、無限ループ防止の制御が実装され、失敗がログに記録される</t>
        </is>
      </c>
      <c r="G103" s="4" t="inlineStr">
        <is>
          <t>一時的エラーがそのまま利用者へのエラーや無限リトライになり、可用性低下やコスト浪費を招くことを防ぐ。</t>
        </is>
      </c>
      <c r="H103" s="4" t="inlineStr">
        <is>
          <t>Generative AI Lens &gt; Reliability &gt; GENREL03-BP01 Use logic to manage prompt flows and gracefully recover from failure</t>
        </is>
      </c>
      <c r="I103" s="4" t="inlineStr">
        <is>
          <t>AWS-DELTA</t>
        </is>
      </c>
      <c r="J103" s="4" t="inlineStr">
        <is>
          <t>AWS採用時に、CLOUD-COMMONで未評価のAWS固有差分へ適用。</t>
        </is>
      </c>
      <c r="K103" s="4" t="inlineStr">
        <is>
          <t>SRC-AWS-GENAI</t>
        </is>
      </c>
      <c r="L103" s="4" t="inlineStr"/>
      <c r="M103" s="4" t="n"/>
      <c r="N103" s="4" t="n"/>
      <c r="O103" s="4" t="n"/>
      <c r="P103" s="4" t="n"/>
      <c r="Q103" s="4" t="n"/>
      <c r="R103" s="4" t="n"/>
      <c r="S103" s="4" t="n"/>
      <c r="T103" s="4" t="n"/>
      <c r="U103" s="4" t="n"/>
      <c r="V103" s="4" t="n"/>
      <c r="W103" s="4" t="n"/>
    </row>
    <row r="104">
      <c r="A104" s="5" t="inlineStr">
        <is>
          <t>AWS-224</t>
        </is>
      </c>
      <c r="B104" s="5" t="inlineStr">
        <is>
          <t>WAF</t>
        </is>
      </c>
      <c r="C104" s="4" t="inlineStr">
        <is>
          <t>生成AI: 信頼性</t>
        </is>
      </c>
      <c r="D104" s="9" t="inlineStr">
        <is>
          <t>High</t>
        </is>
      </c>
      <c r="E104" s="4" t="inlineStr">
        <is>
          <t>エージェントワークフローにタイムアウト機構を実装しているか</t>
        </is>
      </c>
      <c r="F104" s="4" t="inlineStr">
        <is>
          <t>エージェント全体および各ステップ(ツール呼び出し・モデル呼び出し)にタイムアウトが設定され、超過時の中断・通知の挙動が定義されている</t>
        </is>
      </c>
      <c r="G104" s="4" t="inlineStr">
        <is>
          <t>エージェントの長時間ハング・無限実行によりリソース占有と応答不能が発生することを防ぐ。</t>
        </is>
      </c>
      <c r="H104" s="4" t="inlineStr">
        <is>
          <t>Generative AI Lens &gt; Reliability &gt; GENREL03-BP02 Implement timeout mechanisms on agentic workflows</t>
        </is>
      </c>
      <c r="I104" s="4" t="inlineStr">
        <is>
          <t>AWS-DELTA</t>
        </is>
      </c>
      <c r="J104" s="4" t="inlineStr">
        <is>
          <t>AWS採用時に、CLOUD-COMMONで未評価のAWS固有差分へ適用。</t>
        </is>
      </c>
      <c r="K104" s="4" t="inlineStr">
        <is>
          <t>SRC-AWS-GENAI</t>
        </is>
      </c>
      <c r="L104" s="4" t="inlineStr"/>
      <c r="M104" s="4" t="n"/>
      <c r="N104" s="4" t="n"/>
      <c r="O104" s="4" t="n"/>
      <c r="P104" s="4" t="n"/>
      <c r="Q104" s="4" t="n"/>
      <c r="R104" s="4" t="n"/>
      <c r="S104" s="4" t="n"/>
      <c r="T104" s="4" t="n"/>
      <c r="U104" s="4" t="n"/>
      <c r="V104" s="4" t="n"/>
      <c r="W104" s="4" t="n"/>
    </row>
    <row r="105">
      <c r="A105" s="5" t="inlineStr">
        <is>
          <t>AWS-225</t>
        </is>
      </c>
      <c r="B105" s="5" t="inlineStr">
        <is>
          <t>WAF</t>
        </is>
      </c>
      <c r="C105" s="4" t="inlineStr">
        <is>
          <t>生成AI: 信頼性</t>
        </is>
      </c>
      <c r="D105" s="10" t="inlineStr">
        <is>
          <t>Medium</t>
        </is>
      </c>
      <c r="E105" s="4" t="inlineStr">
        <is>
          <t>プロンプトカタログを整備し、プロンプトと推論パラメータのバージョンを管理しているか</t>
        </is>
      </c>
      <c r="F105" s="4" t="inlineStr">
        <is>
          <t>本番で使用する全プロンプトがバージョン付きでカタログ管理され、任意時点の本番構成(プロンプト+パラメータ)を再現できる</t>
        </is>
      </c>
      <c r="G105" s="4" t="inlineStr">
        <is>
          <t>障害・品質劣化時に過去の正常な構成へロールバックできず、復旧が長期化することを防ぐ。</t>
        </is>
      </c>
      <c r="H105" s="4" t="inlineStr">
        <is>
          <t>Generative AI Lens &gt; Reliability &gt; GENREL04-BP01 Implement a prompt catalog</t>
        </is>
      </c>
      <c r="I105" s="4" t="inlineStr">
        <is>
          <t>AWS-DELTA</t>
        </is>
      </c>
      <c r="J105" s="4" t="inlineStr">
        <is>
          <t>AWS採用時に、CLOUD-COMMONで未評価のAWS固有差分へ適用。</t>
        </is>
      </c>
      <c r="K105" s="4" t="inlineStr">
        <is>
          <t>SRC-AWS-GENAI</t>
        </is>
      </c>
      <c r="L105" s="4" t="inlineStr">
        <is>
          <t>OPS-OBSERVABILITY</t>
        </is>
      </c>
      <c r="M105" s="4" t="n"/>
      <c r="N105" s="4" t="n"/>
      <c r="O105" s="4" t="n"/>
      <c r="P105" s="4" t="n"/>
      <c r="Q105" s="4" t="n"/>
      <c r="R105" s="4" t="n"/>
      <c r="S105" s="4" t="n"/>
      <c r="T105" s="4" t="n"/>
      <c r="U105" s="4" t="n"/>
      <c r="V105" s="4" t="n"/>
      <c r="W105" s="4" t="n"/>
    </row>
    <row r="106">
      <c r="A106" s="5" t="inlineStr">
        <is>
          <t>AWS-226</t>
        </is>
      </c>
      <c r="B106" s="5" t="inlineStr">
        <is>
          <t>WAF</t>
        </is>
      </c>
      <c r="C106" s="4" t="inlineStr">
        <is>
          <t>生成AI: 信頼性</t>
        </is>
      </c>
      <c r="D106" s="10" t="inlineStr">
        <is>
          <t>Medium</t>
        </is>
      </c>
      <c r="E106" s="4" t="inlineStr">
        <is>
          <t>モデルカタログを整備し、使用する基盤モデル(モデルID・バージョン・カスタムモデル)を管理しているか</t>
        </is>
      </c>
      <c r="F106" s="4" t="inlineStr">
        <is>
          <t>利用中モデルの ID/バージョン・用途・評価結果がカタログに記録され、モデル更新(プロバイダによる新バージョン提供含む)時の切替・検証手順が定義されている</t>
        </is>
      </c>
      <c r="G106" s="4" t="inlineStr">
        <is>
          <t>モデルバージョンの暗黙的な変更で挙動が変わっても気づけず、品質退行の原因特定ができなくなることを防ぐ。</t>
        </is>
      </c>
      <c r="H106" s="4" t="inlineStr">
        <is>
          <t>Generative AI Lens &gt; Reliability &gt; GENREL04-BP02 Implement a model catalog</t>
        </is>
      </c>
      <c r="I106" s="4" t="inlineStr">
        <is>
          <t>AWS-DELTA</t>
        </is>
      </c>
      <c r="J106" s="4" t="inlineStr">
        <is>
          <t>AWS採用時に、CLOUD-COMMONで未評価のAWS固有差分へ適用。</t>
        </is>
      </c>
      <c r="K106" s="4" t="inlineStr">
        <is>
          <t>SRC-AWS-GENAI</t>
        </is>
      </c>
      <c r="L106" s="4" t="inlineStr">
        <is>
          <t>OPS-OBSERVABILITY</t>
        </is>
      </c>
      <c r="M106" s="4" t="n"/>
      <c r="N106" s="4" t="n"/>
      <c r="O106" s="4" t="n"/>
      <c r="P106" s="4" t="n"/>
      <c r="Q106" s="4" t="n"/>
      <c r="R106" s="4" t="n"/>
      <c r="S106" s="4" t="n"/>
      <c r="T106" s="4" t="n"/>
      <c r="U106" s="4" t="n"/>
      <c r="V106" s="4" t="n"/>
      <c r="W106" s="4" t="n"/>
    </row>
    <row r="107">
      <c r="A107" s="5" t="inlineStr">
        <is>
          <t>AWS-227</t>
        </is>
      </c>
      <c r="B107" s="5" t="inlineStr">
        <is>
          <t>WAF</t>
        </is>
      </c>
      <c r="C107" s="4" t="inlineStr">
        <is>
          <t>生成AI: 信頼性</t>
        </is>
      </c>
      <c r="D107" s="9" t="inlineStr">
        <is>
          <t>High</t>
        </is>
      </c>
      <c r="E107" s="4" t="inlineStr">
        <is>
          <t>推論リクエストを複数リージョンに分散(Bedrock クロスリージョン推論プロファイルやマルチリージョン構成)して可用性を高めているか</t>
        </is>
      </c>
      <c r="F107" s="4" t="inlineStr">
        <is>
          <t>モデルが利用可能な複数リージョンへの負荷分散またはフェイルオーバーが構成され、リージョン障害時の切替がテストされている</t>
        </is>
      </c>
      <c r="G107" s="4" t="inlineStr">
        <is>
          <t>単一リージョンの障害・キャパシティ不足で推論サービス全体が停止することを防ぐ。</t>
        </is>
      </c>
      <c r="H107" s="4" t="inlineStr">
        <is>
          <t>Generative AI Lens &gt; Reliability &gt; GENREL05-BP01 Load-balance inference requests across all regions of availability</t>
        </is>
      </c>
      <c r="I107" s="4" t="inlineStr">
        <is>
          <t>AWS-DELTA</t>
        </is>
      </c>
      <c r="J107" s="4" t="inlineStr">
        <is>
          <t>AWS採用時に、CLOUD-COMMONで未評価のAWS固有差分へ適用。</t>
        </is>
      </c>
      <c r="K107" s="4" t="inlineStr">
        <is>
          <t>SRC-AWS-GENAI</t>
        </is>
      </c>
      <c r="L107" s="4" t="inlineStr">
        <is>
          <t>CONTINUITY-DR;RELIABILITY-HA</t>
        </is>
      </c>
      <c r="M107" s="4" t="n"/>
      <c r="N107" s="4" t="n"/>
      <c r="O107" s="4" t="n"/>
      <c r="P107" s="4" t="n"/>
      <c r="Q107" s="4" t="n"/>
      <c r="R107" s="4" t="n"/>
      <c r="S107" s="4" t="n"/>
      <c r="T107" s="4" t="n"/>
      <c r="U107" s="4" t="n"/>
      <c r="V107" s="4" t="n"/>
      <c r="W107" s="4" t="n"/>
    </row>
    <row r="108">
      <c r="A108" s="5" t="inlineStr">
        <is>
          <t>AWS-228</t>
        </is>
      </c>
      <c r="B108" s="5" t="inlineStr">
        <is>
          <t>WAF</t>
        </is>
      </c>
      <c r="C108" s="4" t="inlineStr">
        <is>
          <t>生成AI: 信頼性</t>
        </is>
      </c>
      <c r="D108" s="10" t="inlineStr">
        <is>
          <t>Medium</t>
        </is>
      </c>
      <c r="E108" s="4" t="inlineStr">
        <is>
          <t>マルチリージョン展開時に、埋め込みデータ(ベクトルストア)とエージェント機能(アクショングループ、ナレッジベース)を全展開リージョンで利用可能にしているか</t>
        </is>
      </c>
      <c r="F108" s="4" t="inlineStr">
        <is>
          <t>ベクトルデータのリージョン間レプリケーションが構成され、エージェントの依存リソースが各リージョンにデプロイされ、フェイルオーバー時も同等機能が動作することが確認されている</t>
        </is>
      </c>
      <c r="G108" s="4" t="inlineStr">
        <is>
          <t>フェイルオーバー先で検索やエージェント機能が欠落し、切替後にアプリケーションが縮退・故障することを防ぐ。</t>
        </is>
      </c>
      <c r="H108" s="4" t="inlineStr">
        <is>
          <t>Generative AI Lens &gt; Reliability &gt; GENREL05-BP02 Replicate embedding data across all regions of availability / GENREL05-BP03 Verify that agent capabilities are available across all regions of availability</t>
        </is>
      </c>
      <c r="I108" s="4" t="inlineStr">
        <is>
          <t>AWS-DELTA</t>
        </is>
      </c>
      <c r="J108" s="4" t="inlineStr">
        <is>
          <t>AWS採用時に、CLOUD-COMMONで未評価のAWS固有差分へ適用。</t>
        </is>
      </c>
      <c r="K108" s="4" t="inlineStr">
        <is>
          <t>SRC-AWS-GENAI</t>
        </is>
      </c>
      <c r="L108" s="4" t="inlineStr"/>
      <c r="M108" s="4" t="n"/>
      <c r="N108" s="4" t="n"/>
      <c r="O108" s="4" t="n"/>
      <c r="P108" s="4" t="n"/>
      <c r="Q108" s="4" t="n"/>
      <c r="R108" s="4" t="n"/>
      <c r="S108" s="4" t="n"/>
      <c r="T108" s="4" t="n"/>
      <c r="U108" s="4" t="n"/>
      <c r="V108" s="4" t="n"/>
      <c r="W108" s="4" t="n"/>
    </row>
    <row r="109">
      <c r="A109" s="5" t="inlineStr">
        <is>
          <t>AWS-229</t>
        </is>
      </c>
      <c r="B109" s="5" t="inlineStr">
        <is>
          <t>WAF</t>
        </is>
      </c>
      <c r="C109" s="4" t="inlineStr">
        <is>
          <t>生成AI: 信頼性</t>
        </is>
      </c>
      <c r="D109" s="10" t="inlineStr">
        <is>
          <t>Medium</t>
        </is>
      </c>
      <c r="E109" s="4" t="inlineStr">
        <is>
          <t>学習・カスタマイズ等の高性能分散計算タスクをフォールトトレラントに設計(チェックポイント、SageMaker HyperPod 等の自動復旧)しているか</t>
        </is>
      </c>
      <c r="F109" s="4" t="inlineStr">
        <is>
          <t>定期チェックポイント保存と障害ノードからの再開が構成され、ジョブ失敗時に先頭からやり直さずに復旧できる</t>
        </is>
      </c>
      <c r="G109" s="4" t="inlineStr">
        <is>
          <t>長時間の学習ジョブがノード障害で全損し、時間とコストを大きく浪費することを防ぐ。</t>
        </is>
      </c>
      <c r="H109" s="4" t="inlineStr">
        <is>
          <t>Generative AI Lens &gt; Reliability &gt; GENREL06-BP01 Design for fault-tolerance for high-performance distributed computation tasks</t>
        </is>
      </c>
      <c r="I109" s="4" t="inlineStr">
        <is>
          <t>AWS-DELTA</t>
        </is>
      </c>
      <c r="J109" s="4" t="inlineStr">
        <is>
          <t>AWS採用時に、CLOUD-COMMONで未評価のAWS固有差分へ適用。</t>
        </is>
      </c>
      <c r="K109" s="4" t="inlineStr">
        <is>
          <t>SRC-AWS-GENAI</t>
        </is>
      </c>
      <c r="L109" s="4" t="inlineStr">
        <is>
          <t>CONTINUITY-DR</t>
        </is>
      </c>
      <c r="M109" s="4" t="n"/>
      <c r="N109" s="4" t="n"/>
      <c r="O109" s="4" t="n"/>
      <c r="P109" s="4" t="n"/>
      <c r="Q109" s="4" t="n"/>
      <c r="R109" s="4" t="n"/>
      <c r="S109" s="4" t="n"/>
      <c r="T109" s="4" t="n"/>
      <c r="U109" s="4" t="n"/>
      <c r="V109" s="4" t="n"/>
      <c r="W109" s="4" t="n"/>
    </row>
    <row r="110">
      <c r="A110" s="5" t="inlineStr">
        <is>
          <t>AWS-230</t>
        </is>
      </c>
      <c r="B110" s="5" t="inlineStr">
        <is>
          <t>WAF</t>
        </is>
      </c>
      <c r="C110" s="4" t="inlineStr">
        <is>
          <t>生成AI: パフォーマンス効率</t>
        </is>
      </c>
      <c r="D110" s="9" t="inlineStr">
        <is>
          <t>High</t>
        </is>
      </c>
      <c r="E110" s="4" t="inlineStr">
        <is>
          <t>プロンプトと期待応答からなるグラウンドトゥルースデータセットを定義し、モデル性能評価の基準として維持しているか</t>
        </is>
      </c>
      <c r="F110" s="4" t="inlineStr">
        <is>
          <t>代表的ユースケースを網羅したプロンプト/期待応答のデータセットが存在し、バージョン管理され、評価(Amazon Bedrock のモデル評価等)に使用されている</t>
        </is>
      </c>
      <c r="G110" s="4" t="inlineStr">
        <is>
          <t>客観的な基準がないままモデルや設定を変更し、性能改善・劣化を判定できなくなることを防ぐ。</t>
        </is>
      </c>
      <c r="H110" s="4" t="inlineStr">
        <is>
          <t>Generative AI Lens &gt; Performance efficiency &gt; GENPERF01-BP01 Define a ground truth data set of prompts and responses</t>
        </is>
      </c>
      <c r="I110" s="4" t="inlineStr">
        <is>
          <t>AWS-DELTA</t>
        </is>
      </c>
      <c r="J110" s="4" t="inlineStr">
        <is>
          <t>AWS採用時に、CLOUD-COMMONで未評価のAWS固有差分へ適用。</t>
        </is>
      </c>
      <c r="K110" s="4" t="inlineStr">
        <is>
          <t>SRC-AWS-GENAI</t>
        </is>
      </c>
      <c r="L110" s="4" t="inlineStr"/>
      <c r="M110" s="4" t="n"/>
      <c r="N110" s="4" t="n"/>
      <c r="O110" s="4" t="n"/>
      <c r="P110" s="4" t="n"/>
      <c r="Q110" s="4" t="n"/>
      <c r="R110" s="4" t="n"/>
      <c r="S110" s="4" t="n"/>
      <c r="T110" s="4" t="n"/>
      <c r="U110" s="4" t="n"/>
      <c r="V110" s="4" t="n"/>
      <c r="W110" s="4" t="n"/>
    </row>
    <row r="111">
      <c r="A111" s="5" t="inlineStr">
        <is>
          <t>AWS-231</t>
        </is>
      </c>
      <c r="B111" s="5" t="inlineStr">
        <is>
          <t>WAF</t>
        </is>
      </c>
      <c r="C111" s="4" t="inlineStr">
        <is>
          <t>生成AI: パフォーマンス効率</t>
        </is>
      </c>
      <c r="D111" s="10" t="inlineStr">
        <is>
          <t>Medium</t>
        </is>
      </c>
      <c r="E111" s="4" t="inlineStr">
        <is>
          <t>生成AIワークロードから性能メトリクス(レイテンシ、トークンスループット、応答品質スコア)を継続的に収集しているか</t>
        </is>
      </c>
      <c r="F111" s="4" t="inlineStr">
        <is>
          <t>本番トラフィックの性能メトリクスが CloudWatch 等に収集・可視化され、ベースラインからの劣化を検知できる</t>
        </is>
      </c>
      <c r="G111" s="4" t="inlineStr">
        <is>
          <t>性能劣化の傾向を把握できず、利用者体験の悪化に後手で対応することになるのを防ぐ。</t>
        </is>
      </c>
      <c r="H111" s="4" t="inlineStr">
        <is>
          <t>Generative AI Lens &gt; Performance efficiency &gt; GENPERF01-BP02 Collect performance metrics from generative AI workloads</t>
        </is>
      </c>
      <c r="I111" s="4" t="inlineStr">
        <is>
          <t>AWS-DELTA</t>
        </is>
      </c>
      <c r="J111" s="4" t="inlineStr">
        <is>
          <t>AWS採用時に、CLOUD-COMMONで未評価のAWS固有差分へ適用。</t>
        </is>
      </c>
      <c r="K111" s="4" t="inlineStr">
        <is>
          <t>SRC-AWS-GENAI</t>
        </is>
      </c>
      <c r="L111" s="4" t="inlineStr">
        <is>
          <t>OPS-OBSERVABILITY</t>
        </is>
      </c>
      <c r="M111" s="4" t="n"/>
      <c r="N111" s="4" t="n"/>
      <c r="O111" s="4" t="n"/>
      <c r="P111" s="4" t="n"/>
      <c r="Q111" s="4" t="n"/>
      <c r="R111" s="4" t="n"/>
      <c r="S111" s="4" t="n"/>
      <c r="T111" s="4" t="n"/>
      <c r="U111" s="4" t="n"/>
      <c r="V111" s="4" t="n"/>
      <c r="W111" s="4" t="n"/>
    </row>
    <row r="112">
      <c r="A112" s="5" t="inlineStr">
        <is>
          <t>AWS-232</t>
        </is>
      </c>
      <c r="B112" s="5" t="inlineStr">
        <is>
          <t>WAF</t>
        </is>
      </c>
      <c r="C112" s="4" t="inlineStr">
        <is>
          <t>生成AI: パフォーマンス効率</t>
        </is>
      </c>
      <c r="D112" s="10" t="inlineStr">
        <is>
          <t>Medium</t>
        </is>
      </c>
      <c r="E112" s="4" t="inlineStr">
        <is>
          <t>モデルエンドポイントに対して想定ピーク負荷での負荷テストを実施しているか</t>
        </is>
      </c>
      <c r="F112" s="4" t="inlineStr">
        <is>
          <t>想定同時接続・トークンスループットでの負荷テスト結果が存在し、レイテンシ・スロットリング発生状況が要件内であることが確認されている</t>
        </is>
      </c>
      <c r="G112" s="4" t="inlineStr">
        <is>
          <t>本番ピーク時に初めて性能限界が露呈し、応答遅延・タイムアウトが発生することを防ぐ。</t>
        </is>
      </c>
      <c r="H112" s="4" t="inlineStr">
        <is>
          <t>Generative AI Lens &gt; Performance efficiency &gt; GENPERF02-BP01 Load test model endpoints</t>
        </is>
      </c>
      <c r="I112" s="4" t="inlineStr">
        <is>
          <t>AWS-DELTA</t>
        </is>
      </c>
      <c r="J112" s="4" t="inlineStr">
        <is>
          <t>AWS採用時に、CLOUD-COMMONで未評価のAWS固有差分へ適用。</t>
        </is>
      </c>
      <c r="K112" s="4" t="inlineStr">
        <is>
          <t>SRC-AWS-GENAI</t>
        </is>
      </c>
      <c r="L112" s="4" t="inlineStr"/>
      <c r="M112" s="4" t="n"/>
      <c r="N112" s="4" t="n"/>
      <c r="O112" s="4" t="n"/>
      <c r="P112" s="4" t="n"/>
      <c r="Q112" s="4" t="n"/>
      <c r="R112" s="4" t="n"/>
      <c r="S112" s="4" t="n"/>
      <c r="T112" s="4" t="n"/>
      <c r="U112" s="4" t="n"/>
      <c r="V112" s="4" t="n"/>
      <c r="W112" s="4" t="n"/>
    </row>
    <row r="113">
      <c r="A113" s="5" t="inlineStr">
        <is>
          <t>AWS-233</t>
        </is>
      </c>
      <c r="B113" s="5" t="inlineStr">
        <is>
          <t>WAF</t>
        </is>
      </c>
      <c r="C113" s="4" t="inlineStr">
        <is>
          <t>生成AI: パフォーマンス効率</t>
        </is>
      </c>
      <c r="D113" s="10" t="inlineStr">
        <is>
          <t>Medium</t>
        </is>
      </c>
      <c r="E113" s="4" t="inlineStr">
        <is>
          <t>推論パラメータ(temperature、top_p、max_tokens 等)をユースケースに合わせて最適化し、その設定根拠を記録しているか</t>
        </is>
      </c>
      <c r="F113" s="4" t="inlineStr">
        <is>
          <t>推論パラメータがユースケース別に検証・文書化され、デフォルト値のまま無検証で本番運用されていない</t>
        </is>
      </c>
      <c r="G113" s="4" t="inlineStr">
        <is>
          <t>不適切なパラメータにより応答品質のばらつきや冗長な出力が生じ、品質・コスト両面で損失が出ることを防ぐ。</t>
        </is>
      </c>
      <c r="H113" s="4" t="inlineStr">
        <is>
          <t>Generative AI Lens &gt; Performance efficiency &gt; GENPERF02-BP02 Optimize inference parameters to improve response quality</t>
        </is>
      </c>
      <c r="I113" s="4" t="inlineStr">
        <is>
          <t>AWS-DELTA</t>
        </is>
      </c>
      <c r="J113" s="4" t="inlineStr">
        <is>
          <t>AWS採用時に、CLOUD-COMMONで未評価のAWS固有差分へ適用。</t>
        </is>
      </c>
      <c r="K113" s="4" t="inlineStr">
        <is>
          <t>SRC-AWS-GENAI</t>
        </is>
      </c>
      <c r="L113" s="4" t="inlineStr"/>
      <c r="M113" s="4" t="n"/>
      <c r="N113" s="4" t="n"/>
      <c r="O113" s="4" t="n"/>
      <c r="P113" s="4" t="n"/>
      <c r="Q113" s="4" t="n"/>
      <c r="R113" s="4" t="n"/>
      <c r="S113" s="4" t="n"/>
      <c r="T113" s="4" t="n"/>
      <c r="U113" s="4" t="n"/>
      <c r="V113" s="4" t="n"/>
      <c r="W113" s="4" t="n"/>
    </row>
    <row r="114">
      <c r="A114" s="5" t="inlineStr">
        <is>
          <t>AWS-234</t>
        </is>
      </c>
      <c r="B114" s="5" t="inlineStr">
        <is>
          <t>WAF</t>
        </is>
      </c>
      <c r="C114" s="4" t="inlineStr">
        <is>
          <t>生成AI: パフォーマンス効率</t>
        </is>
      </c>
      <c r="D114" s="9" t="inlineStr">
        <is>
          <t>High</t>
        </is>
      </c>
      <c r="E114" s="4" t="inlineStr">
        <is>
          <t>ユースケースに適したモデルを比較評価(Amazon Bedrock のモデル評価機能等)のうえで選定し、必要に応じてカスタマイズしているか</t>
        </is>
      </c>
      <c r="F114" s="4" t="inlineStr">
        <is>
          <t>複数候補モデルの品質・レイテンシ・コスト比較結果が存在し、選定理由が記録され、定期的な再評価の計画がある</t>
        </is>
      </c>
      <c r="G114" s="4" t="inlineStr">
        <is>
          <t>要件に合わないモデルの採用により、品質不足または過剰スペックによる浪費が発生することを防ぐ。</t>
        </is>
      </c>
      <c r="H114" s="4" t="inlineStr">
        <is>
          <t>Generative AI Lens &gt; Performance efficiency &gt; GENPERF02-BP03 Select and customize the appropriate model for your use case</t>
        </is>
      </c>
      <c r="I114" s="4" t="inlineStr">
        <is>
          <t>AWS-DELTA</t>
        </is>
      </c>
      <c r="J114" s="4" t="inlineStr">
        <is>
          <t>AWS採用時に、CLOUD-COMMONで未評価のAWS固有差分へ適用。</t>
        </is>
      </c>
      <c r="K114" s="4" t="inlineStr">
        <is>
          <t>SRC-AWS-GENAI</t>
        </is>
      </c>
      <c r="L114" s="4" t="inlineStr">
        <is>
          <t>CONTINUITY-DR</t>
        </is>
      </c>
      <c r="M114" s="4" t="n"/>
      <c r="N114" s="4" t="n"/>
      <c r="O114" s="4" t="n"/>
      <c r="P114" s="4" t="n"/>
      <c r="Q114" s="4" t="n"/>
      <c r="R114" s="4" t="n"/>
      <c r="S114" s="4" t="n"/>
      <c r="T114" s="4" t="n"/>
      <c r="U114" s="4" t="n"/>
      <c r="V114" s="4" t="n"/>
      <c r="W114" s="4" t="n"/>
    </row>
    <row r="115">
      <c r="A115" s="5" t="inlineStr">
        <is>
          <t>AWS-235</t>
        </is>
      </c>
      <c r="B115" s="5" t="inlineStr">
        <is>
          <t>WAF</t>
        </is>
      </c>
      <c r="C115" s="4" t="inlineStr">
        <is>
          <t>生成AI: パフォーマンス効率</t>
        </is>
      </c>
      <c r="D115" s="10" t="inlineStr">
        <is>
          <t>Medium</t>
        </is>
      </c>
      <c r="E115" s="4" t="inlineStr">
        <is>
          <t>モデルホスティング・カスタマイズ・データアクセスに、適切な場面ではマネージドサービス(Amazon Bedrock、SageMaker AI、Bedrock Knowledge Bases)を使用しているか</t>
        </is>
      </c>
      <c r="F115" s="4" t="inlineStr">
        <is>
          <t>自前構築(セルフホスト推論基盤等)を採用している箇所について、マネージドサービスとの比較検討の記録があり、採用理由が妥当である</t>
        </is>
      </c>
      <c r="G115" s="4" t="inlineStr">
        <is>
          <t>不要な自前運用によりスケーリング・パッチ適用・最適化の負担を抱え、性能と運用品質が劣化することを防ぐ。</t>
        </is>
      </c>
      <c r="H115" s="4" t="inlineStr">
        <is>
          <t>Generative AI Lens &gt; Performance efficiency &gt; GENPERF03-BP01 Use managed solutions for model hosting, customization, and data access where appropriate</t>
        </is>
      </c>
      <c r="I115" s="4" t="inlineStr">
        <is>
          <t>AWS-DELTA</t>
        </is>
      </c>
      <c r="J115" s="4" t="inlineStr">
        <is>
          <t>AWS採用時に、CLOUD-COMMONで未評価のAWS固有差分へ適用。</t>
        </is>
      </c>
      <c r="K115" s="4" t="inlineStr">
        <is>
          <t>SRC-AWS-GENAI</t>
        </is>
      </c>
      <c r="L115" s="4" t="inlineStr">
        <is>
          <t>CONTINUITY-DR</t>
        </is>
      </c>
      <c r="M115" s="4" t="n"/>
      <c r="N115" s="4" t="n"/>
      <c r="O115" s="4" t="n"/>
      <c r="P115" s="4" t="n"/>
      <c r="Q115" s="4" t="n"/>
      <c r="R115" s="4" t="n"/>
      <c r="S115" s="4" t="n"/>
      <c r="T115" s="4" t="n"/>
      <c r="U115" s="4" t="n"/>
      <c r="V115" s="4" t="n"/>
      <c r="W115" s="4" t="n"/>
    </row>
    <row r="116">
      <c r="A116" s="5" t="inlineStr">
        <is>
          <t>AWS-236</t>
        </is>
      </c>
      <c r="B116" s="5" t="inlineStr">
        <is>
          <t>WAF</t>
        </is>
      </c>
      <c r="C116" s="4" t="inlineStr">
        <is>
          <t>生成AI: パフォーマンス効率</t>
        </is>
      </c>
      <c r="D116" s="10" t="inlineStr">
        <is>
          <t>Medium</t>
        </is>
      </c>
      <c r="E116" s="4" t="inlineStr">
        <is>
          <t>ベクトル検索(埋め込み)のレイテンシと検索関連性(recall/精度)をテストしているか</t>
        </is>
      </c>
      <c r="F116" s="4" t="inlineStr">
        <is>
          <t>代表クエリでの検索レイテンシと関連性の測定結果が存在し、埋め込みモデル・インデックス設定の選定根拠になっている</t>
        </is>
      </c>
      <c r="G116" s="4" t="inlineStr">
        <is>
          <t>検索品質が低いまま RAG を運用し、無関係なコンテキストによる誤回答や応答遅延が発生することを防ぐ。</t>
        </is>
      </c>
      <c r="H116" s="4" t="inlineStr">
        <is>
          <t>Generative AI Lens &gt; Performance efficiency &gt; GENPERF04-BP01 Test vector embeddings for latency and relevant performance</t>
        </is>
      </c>
      <c r="I116" s="4" t="inlineStr">
        <is>
          <t>AWS-DELTA</t>
        </is>
      </c>
      <c r="J116" s="4" t="inlineStr">
        <is>
          <t>AWS採用時に、CLOUD-COMMONで未評価のAWS固有差分へ適用。</t>
        </is>
      </c>
      <c r="K116" s="4" t="inlineStr">
        <is>
          <t>SRC-AWS-GENAI</t>
        </is>
      </c>
      <c r="L116" s="4" t="inlineStr"/>
      <c r="M116" s="4" t="n"/>
      <c r="N116" s="4" t="n"/>
      <c r="O116" s="4" t="n"/>
      <c r="P116" s="4" t="n"/>
      <c r="Q116" s="4" t="n"/>
      <c r="R116" s="4" t="n"/>
      <c r="S116" s="4" t="n"/>
      <c r="T116" s="4" t="n"/>
      <c r="U116" s="4" t="n"/>
      <c r="V116" s="4" t="n"/>
      <c r="W116" s="4" t="n"/>
    </row>
    <row r="117">
      <c r="A117" s="5" t="inlineStr">
        <is>
          <t>AWS-237</t>
        </is>
      </c>
      <c r="B117" s="5" t="inlineStr">
        <is>
          <t>WAF</t>
        </is>
      </c>
      <c r="C117" s="4" t="inlineStr">
        <is>
          <t>生成AI: パフォーマンス効率</t>
        </is>
      </c>
      <c r="D117" s="11" t="inlineStr">
        <is>
          <t>Low</t>
        </is>
      </c>
      <c r="E117" s="4" t="inlineStr">
        <is>
          <t>ベクトルの次元数・サイズをユースケースに合わせて最適化しているか</t>
        </is>
      </c>
      <c r="F117" s="4" t="inlineStr">
        <is>
          <t>埋め込み次元数と検索精度・レイテンシのトレードオフが検証され、過剰な次元数を使っていないことが確認されている</t>
        </is>
      </c>
      <c r="G117" s="4" t="inlineStr">
        <is>
          <t>過大なベクトルサイズによりストレージ・検索コストとレイテンシが不必要に増大することを防ぐ。</t>
        </is>
      </c>
      <c r="H117" s="4" t="inlineStr">
        <is>
          <t>Generative AI Lens &gt; Performance efficiency &gt; GENPERF04-BP02 Optimize vector sizes for your use case</t>
        </is>
      </c>
      <c r="I117" s="4" t="inlineStr">
        <is>
          <t>AWS-DELTA</t>
        </is>
      </c>
      <c r="J117" s="4" t="inlineStr">
        <is>
          <t>AWS採用時に、CLOUD-COMMONで未評価のAWS固有差分へ適用。</t>
        </is>
      </c>
      <c r="K117" s="4" t="inlineStr">
        <is>
          <t>SRC-AWS-GENAI</t>
        </is>
      </c>
      <c r="L117" s="4" t="inlineStr"/>
      <c r="M117" s="4" t="n"/>
      <c r="N117" s="4" t="n"/>
      <c r="O117" s="4" t="n"/>
      <c r="P117" s="4" t="n"/>
      <c r="Q117" s="4" t="n"/>
      <c r="R117" s="4" t="n"/>
      <c r="S117" s="4" t="n"/>
      <c r="T117" s="4" t="n"/>
      <c r="U117" s="4" t="n"/>
      <c r="V117" s="4" t="n"/>
      <c r="W117" s="4" t="n"/>
    </row>
    <row r="118">
      <c r="A118" s="5" t="inlineStr">
        <is>
          <t>AWS-238</t>
        </is>
      </c>
      <c r="B118" s="5" t="inlineStr">
        <is>
          <t>WAF</t>
        </is>
      </c>
      <c r="C118" s="4" t="inlineStr">
        <is>
          <t>生成AI: コスト最適化</t>
        </is>
      </c>
      <c r="D118" s="9" t="inlineStr">
        <is>
          <t>High</t>
        </is>
      </c>
      <c r="E118" s="4" t="inlineStr">
        <is>
          <t>推論コストを最適化するため、要件を満たす範囲で適切なサイズ・価格のモデルを選定(ライトサイジング)しているか</t>
        </is>
      </c>
      <c r="F118" s="4" t="inlineStr">
        <is>
          <t>候補モデル間の品質とトークン単価の比較結果があり、タスクごとに必要十分な最小コストのモデルが割り当てられている</t>
        </is>
      </c>
      <c r="G118" s="4" t="inlineStr">
        <is>
          <t>全タスクに高価な大型モデルを使い続け、推論コストが不必要に膨張することを防ぐ。</t>
        </is>
      </c>
      <c r="H118" s="4" t="inlineStr">
        <is>
          <t>Generative AI Lens &gt; Cost optimization &gt; GENCOST01-BP01 Right-size model selection to optimize inference costs</t>
        </is>
      </c>
      <c r="I118" s="4" t="inlineStr">
        <is>
          <t>AWS-DELTA</t>
        </is>
      </c>
      <c r="J118" s="4" t="inlineStr">
        <is>
          <t>AWS採用時に、CLOUD-COMMONで未評価のAWS固有差分へ適用。</t>
        </is>
      </c>
      <c r="K118" s="4" t="inlineStr">
        <is>
          <t>SRC-AWS-GENAI</t>
        </is>
      </c>
      <c r="L118" s="4" t="inlineStr">
        <is>
          <t>COST</t>
        </is>
      </c>
      <c r="M118" s="4" t="n"/>
      <c r="N118" s="4" t="n"/>
      <c r="O118" s="4" t="n"/>
      <c r="P118" s="4" t="n"/>
      <c r="Q118" s="4" t="n"/>
      <c r="R118" s="4" t="n"/>
      <c r="S118" s="4" t="n"/>
      <c r="T118" s="4" t="n"/>
      <c r="U118" s="4" t="n"/>
      <c r="V118" s="4" t="n"/>
      <c r="W118" s="4" t="n"/>
    </row>
    <row r="119">
      <c r="A119" s="5" t="inlineStr">
        <is>
          <t>AWS-239</t>
        </is>
      </c>
      <c r="B119" s="5" t="inlineStr">
        <is>
          <t>WAF</t>
        </is>
      </c>
      <c r="C119" s="4" t="inlineStr">
        <is>
          <t>生成AI: コスト最適化</t>
        </is>
      </c>
      <c r="D119" s="10" t="inlineStr">
        <is>
          <t>Medium</t>
        </is>
      </c>
      <c r="E119" s="4" t="inlineStr">
        <is>
          <t>推論の利用パターンに応じて、オンデマンド・プロビジョンドスループット・バッチ推論などの価格モデルをコストと性能のバランスで選択しているか</t>
        </is>
      </c>
      <c r="F119" s="4" t="inlineStr">
        <is>
          <t>トラフィックパターン(定常/スパイク/一括)の分析に基づき価格モデルが選定され、選定理由と見積り比較が記録されている</t>
        </is>
      </c>
      <c r="G119" s="4" t="inlineStr">
        <is>
          <t>利用実態に合わない価格モデルにより、未使用キャパシティへの支払いまたはスロットリングが発生することを防ぐ。</t>
        </is>
      </c>
      <c r="H119" s="4" t="inlineStr">
        <is>
          <t>Generative AI Lens &gt; Cost optimization &gt; GENCOST02-BP01 Balance cost and performance when selecting inference paradigms</t>
        </is>
      </c>
      <c r="I119" s="4" t="inlineStr">
        <is>
          <t>AWS-DELTA</t>
        </is>
      </c>
      <c r="J119" s="4" t="inlineStr">
        <is>
          <t>AWS採用時に、CLOUD-COMMONで未評価のAWS固有差分へ適用。</t>
        </is>
      </c>
      <c r="K119" s="4" t="inlineStr">
        <is>
          <t>SRC-AWS-GENAI</t>
        </is>
      </c>
      <c r="L119" s="4" t="inlineStr">
        <is>
          <t>COST</t>
        </is>
      </c>
      <c r="M119" s="4" t="n"/>
      <c r="N119" s="4" t="n"/>
      <c r="O119" s="4" t="n"/>
      <c r="P119" s="4" t="n"/>
      <c r="Q119" s="4" t="n"/>
      <c r="R119" s="4" t="n"/>
      <c r="S119" s="4" t="n"/>
      <c r="T119" s="4" t="n"/>
      <c r="U119" s="4" t="n"/>
      <c r="V119" s="4" t="n"/>
      <c r="W119" s="4" t="n"/>
    </row>
    <row r="120">
      <c r="A120" s="5" t="inlineStr">
        <is>
          <t>AWS-240</t>
        </is>
      </c>
      <c r="B120" s="5" t="inlineStr">
        <is>
          <t>WAF</t>
        </is>
      </c>
      <c r="C120" s="4" t="inlineStr">
        <is>
          <t>生成AI: コスト最適化</t>
        </is>
      </c>
      <c r="D120" s="10" t="inlineStr">
        <is>
          <t>Medium</t>
        </is>
      </c>
      <c r="E120" s="4" t="inlineStr">
        <is>
          <t>セルフホストモデルのホスティングコストを最小化するため、リソース消費(インスタンスタイプ、オートスケーリング、量子化等)を最適化しているか</t>
        </is>
      </c>
      <c r="F120" s="4" t="inlineStr">
        <is>
          <t>SageMaker エンドポイント等のインスタンス使用率が監視され、オートスケーリングや適切なインスタンス選定によって遊休リソースが削減されている</t>
        </is>
      </c>
      <c r="G120" s="4" t="inlineStr">
        <is>
          <t>過剰プロビジョニングされた GPU リソースが遊休のまま高額な費用を発生させ続けることを防ぐ。</t>
        </is>
      </c>
      <c r="H120" s="4" t="inlineStr">
        <is>
          <t>Generative AI Lens &gt; Cost optimization &gt; GENCOST02-BP02 Optimize resource consumption to minimize hosting costs</t>
        </is>
      </c>
      <c r="I120" s="4" t="inlineStr">
        <is>
          <t>AWS-DELTA</t>
        </is>
      </c>
      <c r="J120" s="4" t="inlineStr">
        <is>
          <t>AWS採用時に、CLOUD-COMMONで未評価のAWS固有差分へ適用。</t>
        </is>
      </c>
      <c r="K120" s="4" t="inlineStr">
        <is>
          <t>SRC-AWS-GENAI</t>
        </is>
      </c>
      <c r="L120" s="4" t="inlineStr">
        <is>
          <t>COST</t>
        </is>
      </c>
      <c r="M120" s="4" t="n"/>
      <c r="N120" s="4" t="n"/>
      <c r="O120" s="4" t="n"/>
      <c r="P120" s="4" t="n"/>
      <c r="Q120" s="4" t="n"/>
      <c r="R120" s="4" t="n"/>
      <c r="S120" s="4" t="n"/>
      <c r="T120" s="4" t="n"/>
      <c r="U120" s="4" t="n"/>
      <c r="V120" s="4" t="n"/>
      <c r="W120" s="4" t="n"/>
    </row>
    <row r="121">
      <c r="A121" s="5" t="inlineStr">
        <is>
          <t>AWS-241</t>
        </is>
      </c>
      <c r="B121" s="5" t="inlineStr">
        <is>
          <t>WAF</t>
        </is>
      </c>
      <c r="C121" s="4" t="inlineStr">
        <is>
          <t>生成AI: コスト最適化</t>
        </is>
      </c>
      <c r="D121" s="10" t="inlineStr">
        <is>
          <t>Medium</t>
        </is>
      </c>
      <c r="E121" s="4" t="inlineStr">
        <is>
          <t>プロンプトのトークン長を最適化(冗長な指示・コンテキストの削減)しているか</t>
        </is>
      </c>
      <c r="F121" s="4" t="inlineStr">
        <is>
          <t>プロンプトテンプレートのトークン数が計測され、品質を維持したまま削減する見直しが行われた記録がある</t>
        </is>
      </c>
      <c r="G121" s="4" t="inlineStr">
        <is>
          <t>冗長なプロンプトが全リクエストで課金され、トークンコストが恒常的に無駄になることを防ぐ。</t>
        </is>
      </c>
      <c r="H121" s="4" t="inlineStr">
        <is>
          <t>Generative AI Lens &gt; Cost optimization &gt; GENCOST03-BP01 Optimize prompt token length</t>
        </is>
      </c>
      <c r="I121" s="4" t="inlineStr">
        <is>
          <t>AWS-DELTA</t>
        </is>
      </c>
      <c r="J121" s="4" t="inlineStr">
        <is>
          <t>AWS採用時に、CLOUD-COMMONで未評価のAWS固有差分へ適用。</t>
        </is>
      </c>
      <c r="K121" s="4" t="inlineStr">
        <is>
          <t>SRC-AWS-GENAI</t>
        </is>
      </c>
      <c r="L121" s="4" t="inlineStr">
        <is>
          <t>RELIABILITY-HA;COST</t>
        </is>
      </c>
      <c r="M121" s="4" t="n"/>
      <c r="N121" s="4" t="n"/>
      <c r="O121" s="4" t="n"/>
      <c r="P121" s="4" t="n"/>
      <c r="Q121" s="4" t="n"/>
      <c r="R121" s="4" t="n"/>
      <c r="S121" s="4" t="n"/>
      <c r="T121" s="4" t="n"/>
      <c r="U121" s="4" t="n"/>
      <c r="V121" s="4" t="n"/>
      <c r="W121" s="4" t="n"/>
    </row>
    <row r="122">
      <c r="A122" s="5" t="inlineStr">
        <is>
          <t>AWS-242</t>
        </is>
      </c>
      <c r="B122" s="5" t="inlineStr">
        <is>
          <t>WAF</t>
        </is>
      </c>
      <c r="C122" s="4" t="inlineStr">
        <is>
          <t>生成AI: コスト最適化</t>
        </is>
      </c>
      <c r="D122" s="10" t="inlineStr">
        <is>
          <t>Medium</t>
        </is>
      </c>
      <c r="E122" s="4" t="inlineStr">
        <is>
          <t>モデル応答の長さを制御(max_tokens 設定、簡潔な応答の指示)しているか</t>
        </is>
      </c>
      <c r="F122" s="4" t="inlineStr">
        <is>
          <t>全推論呼び出しに出力トークン上限が設定され、ユースケースに応じた応答長のガイドがプロンプトに含まれている</t>
        </is>
      </c>
      <c r="G122" s="4" t="inlineStr">
        <is>
          <t>無制限の長文応答により出力トークンコストとレイテンシが増大することを防ぐ。</t>
        </is>
      </c>
      <c r="H122" s="4" t="inlineStr">
        <is>
          <t>Generative AI Lens &gt; Cost optimization &gt; GENCOST03-BP02 Control model response length</t>
        </is>
      </c>
      <c r="I122" s="4" t="inlineStr">
        <is>
          <t>AWS-DELTA</t>
        </is>
      </c>
      <c r="J122" s="4" t="inlineStr">
        <is>
          <t>AWS採用時に、CLOUD-COMMONで未評価のAWS固有差分へ適用。</t>
        </is>
      </c>
      <c r="K122" s="4" t="inlineStr">
        <is>
          <t>SRC-AWS-GENAI</t>
        </is>
      </c>
      <c r="L122" s="4" t="inlineStr">
        <is>
          <t>COST</t>
        </is>
      </c>
      <c r="M122" s="4" t="n"/>
      <c r="N122" s="4" t="n"/>
      <c r="O122" s="4" t="n"/>
      <c r="P122" s="4" t="n"/>
      <c r="Q122" s="4" t="n"/>
      <c r="R122" s="4" t="n"/>
      <c r="S122" s="4" t="n"/>
      <c r="T122" s="4" t="n"/>
      <c r="U122" s="4" t="n"/>
      <c r="V122" s="4" t="n"/>
      <c r="W122" s="4" t="n"/>
    </row>
    <row r="123">
      <c r="A123" s="5" t="inlineStr">
        <is>
          <t>AWS-243</t>
        </is>
      </c>
      <c r="B123" s="5" t="inlineStr">
        <is>
          <t>WAF</t>
        </is>
      </c>
      <c r="C123" s="4" t="inlineStr">
        <is>
          <t>生成AI: コスト最適化</t>
        </is>
      </c>
      <c r="D123" s="10" t="inlineStr">
        <is>
          <t>Medium</t>
        </is>
      </c>
      <c r="E123" s="4" t="inlineStr">
        <is>
          <t>繰り返し使用されるプロンプト部分にプロンプトキャッシュ(Amazon Bedrock のプロンプトキャッシング等)を適用してトークンコストを削減しているか</t>
        </is>
      </c>
      <c r="F123" s="4" t="inlineStr">
        <is>
          <t>共通のシステムプロンプト・長いコンテキストにキャッシュが構成され、キャッシュヒット率とコスト削減効果が確認されている</t>
        </is>
      </c>
      <c r="G123" s="4" t="inlineStr">
        <is>
          <t>同一コンテキストの再処理に毎回フル課金され、コストとレイテンシを無駄にすることを防ぐ。</t>
        </is>
      </c>
      <c r="H123" s="4" t="inlineStr">
        <is>
          <t>Generative AI Lens &gt; Cost optimization &gt; GENCOST03-BP03 Implement prompt caching to reduce token costs</t>
        </is>
      </c>
      <c r="I123" s="4" t="inlineStr">
        <is>
          <t>AWS-DELTA</t>
        </is>
      </c>
      <c r="J123" s="4" t="inlineStr">
        <is>
          <t>AWS採用時に、CLOUD-COMMONで未評価のAWS固有差分へ適用。</t>
        </is>
      </c>
      <c r="K123" s="4" t="inlineStr">
        <is>
          <t>SRC-AWS-GENAI</t>
        </is>
      </c>
      <c r="L123" s="4" t="inlineStr">
        <is>
          <t>CONTINUITY-DR;COST</t>
        </is>
      </c>
      <c r="M123" s="4" t="n"/>
      <c r="N123" s="4" t="n"/>
      <c r="O123" s="4" t="n"/>
      <c r="P123" s="4" t="n"/>
      <c r="Q123" s="4" t="n"/>
      <c r="R123" s="4" t="n"/>
      <c r="S123" s="4" t="n"/>
      <c r="T123" s="4" t="n"/>
      <c r="U123" s="4" t="n"/>
      <c r="V123" s="4" t="n"/>
      <c r="W123" s="4" t="n"/>
    </row>
    <row r="124">
      <c r="A124" s="5" t="inlineStr">
        <is>
          <t>AWS-244</t>
        </is>
      </c>
      <c r="B124" s="5" t="inlineStr">
        <is>
          <t>WAF</t>
        </is>
      </c>
      <c r="C124" s="4" t="inlineStr">
        <is>
          <t>生成AI: コスト最適化</t>
        </is>
      </c>
      <c r="D124" s="11" t="inlineStr">
        <is>
          <t>Low</t>
        </is>
      </c>
      <c r="E124" s="4" t="inlineStr">
        <is>
          <t>ユーザー入力を注釈・分類し、コストを意識したコンテンツフィルタリング(不要なモデル呼び出しの事前排除)を実装しているか</t>
        </is>
      </c>
      <c r="F124" s="4" t="inlineStr">
        <is>
          <t>スコープ外・重複・不正な入力を安価な前段処理で振り分け、基盤モデルへの不要な呼び出しを削減する仕組みがある</t>
        </is>
      </c>
      <c r="G124" s="4" t="inlineStr">
        <is>
          <t>対象外リクエストまで高価なモデルで処理し、無駄な推論コストが発生することを防ぐ。</t>
        </is>
      </c>
      <c r="H124" s="4" t="inlineStr">
        <is>
          <t>Generative AI Lens &gt; Cost optimization &gt; GENCOST03-BP04 Annotate user input to enable cost-aware content filtering</t>
        </is>
      </c>
      <c r="I124" s="4" t="inlineStr">
        <is>
          <t>AWS-DELTA</t>
        </is>
      </c>
      <c r="J124" s="4" t="inlineStr">
        <is>
          <t>AWS採用時に、CLOUD-COMMONで未評価のAWS固有差分へ適用。</t>
        </is>
      </c>
      <c r="K124" s="4" t="inlineStr">
        <is>
          <t>SRC-AWS-GENAI</t>
        </is>
      </c>
      <c r="L124" s="4" t="inlineStr">
        <is>
          <t>COST</t>
        </is>
      </c>
      <c r="M124" s="4" t="n"/>
      <c r="N124" s="4" t="n"/>
      <c r="O124" s="4" t="n"/>
      <c r="P124" s="4" t="n"/>
      <c r="Q124" s="4" t="n"/>
      <c r="R124" s="4" t="n"/>
      <c r="S124" s="4" t="n"/>
      <c r="T124" s="4" t="n"/>
      <c r="U124" s="4" t="n"/>
      <c r="V124" s="4" t="n"/>
      <c r="W124" s="4" t="n"/>
    </row>
    <row r="125">
      <c r="A125" s="5" t="inlineStr">
        <is>
          <t>AWS-245</t>
        </is>
      </c>
      <c r="B125" s="5" t="inlineStr">
        <is>
          <t>WAF</t>
        </is>
      </c>
      <c r="C125" s="4" t="inlineStr">
        <is>
          <t>生成AI: コスト最適化</t>
        </is>
      </c>
      <c r="D125" s="11" t="inlineStr">
        <is>
          <t>Low</t>
        </is>
      </c>
      <c r="E125" s="4" t="inlineStr">
        <is>
          <t>ベクトルストアのコスト削減のため、埋め込みトークンのベクトル長削減(次元削減・圧縮)を検討・適用しているか</t>
        </is>
      </c>
      <c r="F125" s="4" t="inlineStr">
        <is>
          <t>ベクトルストアのストレージ・クエリコストが把握され、精度要件を満たす範囲での次元削減の検討結果が記録されている</t>
        </is>
      </c>
      <c r="G125" s="4" t="inlineStr">
        <is>
          <t>不必要に大きいベクトルの保存・検索によりベクトルストアの費用が膨らむことを防ぐ。</t>
        </is>
      </c>
      <c r="H125" s="4" t="inlineStr">
        <is>
          <t>Generative AI Lens &gt; Cost optimization &gt; GENCOST04-BP01 Reduce vector length on embedded tokens</t>
        </is>
      </c>
      <c r="I125" s="4" t="inlineStr">
        <is>
          <t>AWS-DELTA</t>
        </is>
      </c>
      <c r="J125" s="4" t="inlineStr">
        <is>
          <t>AWS採用時に、CLOUD-COMMONで未評価のAWS固有差分へ適用。</t>
        </is>
      </c>
      <c r="K125" s="4" t="inlineStr">
        <is>
          <t>SRC-AWS-GENAI</t>
        </is>
      </c>
      <c r="L125" s="4" t="inlineStr">
        <is>
          <t>COST</t>
        </is>
      </c>
      <c r="M125" s="4" t="n"/>
      <c r="N125" s="4" t="n"/>
      <c r="O125" s="4" t="n"/>
      <c r="P125" s="4" t="n"/>
      <c r="Q125" s="4" t="n"/>
      <c r="R125" s="4" t="n"/>
      <c r="S125" s="4" t="n"/>
      <c r="T125" s="4" t="n"/>
      <c r="U125" s="4" t="n"/>
      <c r="V125" s="4" t="n"/>
      <c r="W125" s="4" t="n"/>
    </row>
    <row r="126">
      <c r="A126" s="5" t="inlineStr">
        <is>
          <t>AWS-246</t>
        </is>
      </c>
      <c r="B126" s="5" t="inlineStr">
        <is>
          <t>WAF</t>
        </is>
      </c>
      <c r="C126" s="4" t="inlineStr">
        <is>
          <t>生成AI: コスト最適化</t>
        </is>
      </c>
      <c r="D126" s="9" t="inlineStr">
        <is>
          <t>High</t>
        </is>
      </c>
      <c r="E126" s="4" t="inlineStr">
        <is>
          <t>長時間実行されるエージェントワークフローに停止条件(最大反復回数、コスト/トークン上限)を設定しているか</t>
        </is>
      </c>
      <c r="F126" s="4" t="inlineStr">
        <is>
          <t>エージェントの最大ステップ数・最大トークン消費・実行時間上限が設定され、超過時に安全に停止して通知される</t>
        </is>
      </c>
      <c r="G126" s="4" t="inlineStr">
        <is>
          <t>エージェントのループ・暴走により推論コストが際限なく発生することを防ぐ。</t>
        </is>
      </c>
      <c r="H126" s="4" t="inlineStr">
        <is>
          <t>Generative AI Lens &gt; Cost optimization &gt; GENCOST05-BP01 Create stopping conditions to control long-running workflows</t>
        </is>
      </c>
      <c r="I126" s="4" t="inlineStr">
        <is>
          <t>AWS-DELTA</t>
        </is>
      </c>
      <c r="J126" s="4" t="inlineStr">
        <is>
          <t>AWS採用時に、CLOUD-COMMONで未評価のAWS固有差分へ適用。</t>
        </is>
      </c>
      <c r="K126" s="4" t="inlineStr">
        <is>
          <t>SRC-AWS-GENAI</t>
        </is>
      </c>
      <c r="L126" s="4" t="inlineStr">
        <is>
          <t>COST</t>
        </is>
      </c>
      <c r="M126" s="4" t="n"/>
      <c r="N126" s="4" t="n"/>
      <c r="O126" s="4" t="n"/>
      <c r="P126" s="4" t="n"/>
      <c r="Q126" s="4" t="n"/>
      <c r="R126" s="4" t="n"/>
      <c r="S126" s="4" t="n"/>
      <c r="T126" s="4" t="n"/>
      <c r="U126" s="4" t="n"/>
      <c r="V126" s="4" t="n"/>
      <c r="W126" s="4" t="n"/>
    </row>
    <row r="127">
      <c r="A127" s="5" t="inlineStr">
        <is>
          <t>AWS-247</t>
        </is>
      </c>
      <c r="B127" s="5" t="inlineStr">
        <is>
          <t>WAF</t>
        </is>
      </c>
      <c r="C127" s="4" t="inlineStr">
        <is>
          <t>生成AI: 持続可能性</t>
        </is>
      </c>
      <c r="D127" s="10" t="inlineStr">
        <is>
          <t>Medium</t>
        </is>
      </c>
      <c r="E127" s="4" t="inlineStr">
        <is>
          <t>学習・カスタマイズ・ホスティングの計算リソースを最小化するため、オートスケーリングとサーバーレスアーキテクチャ(Bedrock のサーバーレス推論等)を活用しているか</t>
        </is>
      </c>
      <c r="F127" s="4" t="inlineStr">
        <is>
          <t>常時稼働の専有リソースが必要な箇所に限定され、変動負荷にはサーバーレス/オートスケーリング構成が採用されている</t>
        </is>
      </c>
      <c r="G127" s="4" t="inlineStr">
        <is>
          <t>遊休計算リソースの常時稼働によりエネルギーとコストを浪費することを防ぐ。</t>
        </is>
      </c>
      <c r="H127" s="4" t="inlineStr">
        <is>
          <t>Generative AI Lens &gt; Sustainability &gt; GENSUS01-BP01 Implement auto scaling and serverless architectures to optimize resource utilization</t>
        </is>
      </c>
      <c r="I127" s="4" t="inlineStr">
        <is>
          <t>AWS-DELTA</t>
        </is>
      </c>
      <c r="J127" s="4" t="inlineStr">
        <is>
          <t>AWS採用時に、CLOUD-COMMONで未評価のAWS固有差分へ適用。</t>
        </is>
      </c>
      <c r="K127" s="4" t="inlineStr">
        <is>
          <t>SRC-AWS-GENAI</t>
        </is>
      </c>
      <c r="L127" s="4" t="inlineStr">
        <is>
          <t>CONTINUITY-DR</t>
        </is>
      </c>
      <c r="M127" s="4" t="n"/>
      <c r="N127" s="4" t="n"/>
      <c r="O127" s="4" t="n"/>
      <c r="P127" s="4" t="n"/>
      <c r="Q127" s="4" t="n"/>
      <c r="R127" s="4" t="n"/>
      <c r="S127" s="4" t="n"/>
      <c r="T127" s="4" t="n"/>
      <c r="U127" s="4" t="n"/>
      <c r="V127" s="4" t="n"/>
      <c r="W127" s="4" t="n"/>
    </row>
    <row r="128">
      <c r="A128" s="5" t="inlineStr">
        <is>
          <t>AWS-248</t>
        </is>
      </c>
      <c r="B128" s="5" t="inlineStr">
        <is>
          <t>WAF</t>
        </is>
      </c>
      <c r="C128" s="4" t="inlineStr">
        <is>
          <t>生成AI: 持続可能性</t>
        </is>
      </c>
      <c r="D128" s="11" t="inlineStr">
        <is>
          <t>Low</t>
        </is>
      </c>
      <c r="E128" s="4" t="inlineStr">
        <is>
          <t>モデルカスタマイズに効率的な手法・サービス(Bedrock のマネージドカスタマイズ、PEFT/LoRA 等の効率的ファインチューニング)を使用しているか</t>
        </is>
      </c>
      <c r="F128" s="4" t="inlineStr">
        <is>
          <t>フルファインチューニングではなく効率的なカスタマイズ手法が第一候補として検討され、選定理由が記録されている</t>
        </is>
      </c>
      <c r="G128" s="4" t="inlineStr">
        <is>
          <t>不要なフル再学習により計算資源・エネルギー・コストを過大に消費することを防ぐ。</t>
        </is>
      </c>
      <c r="H128" s="4" t="inlineStr">
        <is>
          <t>Generative AI Lens &gt; Sustainability &gt; GENSUS01-BP02 Use efficient model customization services</t>
        </is>
      </c>
      <c r="I128" s="4" t="inlineStr">
        <is>
          <t>AWS-DELTA</t>
        </is>
      </c>
      <c r="J128" s="4" t="inlineStr">
        <is>
          <t>AWS採用時に、CLOUD-COMMONで未評価のAWS固有差分へ適用。</t>
        </is>
      </c>
      <c r="K128" s="4" t="inlineStr">
        <is>
          <t>SRC-AWS-GENAI</t>
        </is>
      </c>
      <c r="L128" s="4" t="inlineStr">
        <is>
          <t>CONTINUITY-DR</t>
        </is>
      </c>
      <c r="M128" s="4" t="n"/>
      <c r="N128" s="4" t="n"/>
      <c r="O128" s="4" t="n"/>
      <c r="P128" s="4" t="n"/>
      <c r="Q128" s="4" t="n"/>
      <c r="R128" s="4" t="n"/>
      <c r="S128" s="4" t="n"/>
      <c r="T128" s="4" t="n"/>
      <c r="U128" s="4" t="n"/>
      <c r="V128" s="4" t="n"/>
      <c r="W128" s="4" t="n"/>
    </row>
    <row r="129">
      <c r="A129" s="5" t="inlineStr">
        <is>
          <t>AWS-249</t>
        </is>
      </c>
      <c r="B129" s="5" t="inlineStr">
        <is>
          <t>WAF</t>
        </is>
      </c>
      <c r="C129" s="4" t="inlineStr">
        <is>
          <t>生成AI: 持続可能性</t>
        </is>
      </c>
      <c r="D129" s="11" t="inlineStr">
        <is>
          <t>Low</t>
        </is>
      </c>
      <c r="E129" s="4" t="inlineStr">
        <is>
          <t>データ処理・ストレージ(学習データ、埋め込み、ログ)を最適化してエネルギー消費を最小化しているか</t>
        </is>
      </c>
      <c r="F129" s="4" t="inlineStr">
        <is>
          <t>不要データの削除・S3 ライフサイクルポリシーによる階層化・重複排除が構成され、データ処理パイプラインの再処理が最小化されている</t>
        </is>
      </c>
      <c r="G129" s="4" t="inlineStr">
        <is>
          <t>肥大化したデータの保管・再処理が続き、エネルギーとストレージコストを浪費することを防ぐ。</t>
        </is>
      </c>
      <c r="H129" s="4" t="inlineStr">
        <is>
          <t>Generative AI Lens &gt; Sustainability &gt; GENSUS02-BP01 Optimize data processing and storage to minimize energy consumption</t>
        </is>
      </c>
      <c r="I129" s="4" t="inlineStr">
        <is>
          <t>AWS-DELTA</t>
        </is>
      </c>
      <c r="J129" s="4" t="inlineStr">
        <is>
          <t>AWS採用時に、CLOUD-COMMONで未評価のAWS固有差分へ適用。</t>
        </is>
      </c>
      <c r="K129" s="4" t="inlineStr">
        <is>
          <t>SRC-AWS-GENAI</t>
        </is>
      </c>
      <c r="L129" s="4" t="inlineStr">
        <is>
          <t>OPS-OBSERVABILITY</t>
        </is>
      </c>
      <c r="M129" s="4" t="n"/>
      <c r="N129" s="4" t="n"/>
      <c r="O129" s="4" t="n"/>
      <c r="P129" s="4" t="n"/>
      <c r="Q129" s="4" t="n"/>
      <c r="R129" s="4" t="n"/>
      <c r="S129" s="4" t="n"/>
      <c r="T129" s="4" t="n"/>
      <c r="U129" s="4" t="n"/>
      <c r="V129" s="4" t="n"/>
      <c r="W129" s="4" t="n"/>
    </row>
    <row r="130">
      <c r="A130" s="5" t="inlineStr">
        <is>
          <t>AWS-250</t>
        </is>
      </c>
      <c r="B130" s="5" t="inlineStr">
        <is>
          <t>WAF</t>
        </is>
      </c>
      <c r="C130" s="4" t="inlineStr">
        <is>
          <t>生成AI: 持続可能性</t>
        </is>
      </c>
      <c r="D130" s="10" t="inlineStr">
        <is>
          <t>Medium</t>
        </is>
      </c>
      <c r="E130" s="4" t="inlineStr">
        <is>
          <t>より小型のモデルや最適化された推論技術(蒸留、量子化)を活用してカーボンフットプリントを削減しているか</t>
        </is>
      </c>
      <c r="F130" s="4" t="inlineStr">
        <is>
          <t>要件を満たす小型モデル・最適化推論の採用可否が評価され、大型モデルの利用は必要性が説明できる箇所に限定されている</t>
        </is>
      </c>
      <c r="G130" s="4" t="inlineStr">
        <is>
          <t>習慣的な大型モデル利用により環境負荷と推論コストが不必要に高止まりすることを防ぐ。</t>
        </is>
      </c>
      <c r="H130" s="4" t="inlineStr">
        <is>
          <t>Generative AI Lens &gt; Sustainability &gt; GENSUS03-BP01 Leverage smaller models and optimized inference techniques to reduce carbon footprint</t>
        </is>
      </c>
      <c r="I130" s="4" t="inlineStr">
        <is>
          <t>AWS-DELTA</t>
        </is>
      </c>
      <c r="J130" s="4" t="inlineStr">
        <is>
          <t>AWS採用時に、CLOUD-COMMONで未評価のAWS固有差分へ適用。</t>
        </is>
      </c>
      <c r="K130" s="4" t="inlineStr">
        <is>
          <t>SRC-AWS-GENAI</t>
        </is>
      </c>
      <c r="L130" s="4" t="inlineStr"/>
      <c r="M130" s="4" t="n"/>
      <c r="N130" s="4" t="n"/>
      <c r="O130" s="4" t="n"/>
      <c r="P130" s="4" t="n"/>
      <c r="Q130" s="4" t="n"/>
      <c r="R130" s="4" t="n"/>
      <c r="S130" s="4" t="n"/>
      <c r="T130" s="4" t="n"/>
      <c r="U130" s="4" t="n"/>
      <c r="V130" s="4" t="n"/>
      <c r="W130" s="4" t="n"/>
    </row>
  </sheetData>
  <autoFilter ref="A1:W130"/>
  <conditionalFormatting sqref="O2:O2000">
    <cfRule type="cellIs" priority="1" operator="equal" dxfId="0">
      <formula>"Fail"</formula>
    </cfRule>
    <cfRule type="cellIs" priority="2" operator="equal" dxfId="1">
      <formula>"Pass"</formula>
    </cfRule>
    <cfRule type="cellIs" priority="4" operator="equal" dxfId="0">
      <formula>"Fail"</formula>
    </cfRule>
    <cfRule type="cellIs" priority="5" operator="equal" dxfId="1">
      <formula>"Pass"</formula>
    </cfRule>
    <cfRule type="cellIs" priority="7" operator="equal" dxfId="0">
      <formula>"Fail"</formula>
    </cfRule>
    <cfRule type="cellIs" priority="8" operator="equal" dxfId="1">
      <formula>"Pass"</formula>
    </cfRule>
    <cfRule type="cellIs" priority="10" operator="equal" dxfId="0">
      <formula>"Fail"</formula>
    </cfRule>
    <cfRule type="cellIs" priority="11" operator="equal" dxfId="1">
      <formula>"Pass"</formula>
    </cfRule>
    <cfRule type="cellIs" priority="13" operator="equal" dxfId="0">
      <formula>"Fail"</formula>
    </cfRule>
    <cfRule type="cellIs" priority="14" operator="equal" dxfId="1">
      <formula>"Pass"</formula>
    </cfRule>
  </conditionalFormatting>
  <conditionalFormatting sqref="N2:N2000">
    <cfRule type="cellIs" priority="3" operator="equal" dxfId="2">
      <formula>"N/A"</formula>
    </cfRule>
    <cfRule type="cellIs" priority="6" operator="equal" dxfId="2">
      <formula>"N/A"</formula>
    </cfRule>
    <cfRule type="cellIs" priority="9" operator="equal" dxfId="2">
      <formula>"N/A"</formula>
    </cfRule>
    <cfRule type="cellIs" priority="12" operator="equal" dxfId="2">
      <formula>"N/A"</formula>
    </cfRule>
    <cfRule type="cellIs" priority="15" operator="equal" dxfId="2">
      <formula>"N/A"</formula>
    </cfRule>
  </conditionalFormatting>
  <dataValidations count="20">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s>
  <pageMargins left="0.75" right="0.75" top="1" bottom="1" header="0.5" footer="0.5"/>
  <pageSetup orientation="landscape" fitToWidth="1"/>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W123"/>
  <sheetViews>
    <sheetView workbookViewId="0">
      <pane xSplit="4" ySplit="1" topLeftCell="E2"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4" customWidth="1" min="1" max="1"/>
    <col width="14" customWidth="1" min="2" max="2"/>
    <col width="28" customWidth="1" min="3" max="3"/>
    <col width="12" customWidth="1" min="4" max="4"/>
    <col width="46" customWidth="1" min="5" max="5"/>
    <col width="52" customWidth="1" min="6" max="6"/>
    <col width="48" customWidth="1" min="7" max="7"/>
    <col width="46" customWidth="1" min="8" max="8"/>
    <col width="18" customWidth="1" min="9" max="9"/>
    <col width="38" customWidth="1" min="10" max="10"/>
    <col width="28" customWidth="1" min="11" max="11"/>
    <col width="25" customWidth="1" min="12" max="12"/>
    <col width="13" customWidth="1" min="13" max="13"/>
    <col width="12" customWidth="1" min="14" max="14"/>
    <col width="12" customWidth="1" min="15" max="15"/>
    <col width="38" customWidth="1" min="16" max="16"/>
    <col width="24" customWidth="1" min="17" max="17"/>
    <col width="30" customWidth="1" min="18" max="18"/>
    <col width="23" customWidth="1" min="19" max="19"/>
    <col width="15" customWidth="1" min="20" max="20"/>
    <col width="18" customWidth="1" min="21" max="21"/>
    <col width="15" customWidth="1" min="22" max="22"/>
    <col width="15" customWidth="1" min="23" max="23"/>
  </cols>
  <sheetData>
    <row r="1">
      <c r="A1" s="3" t="inlineStr">
        <is>
          <t>ID</t>
        </is>
      </c>
      <c r="B1" s="3" t="inlineStr">
        <is>
          <t>区分</t>
        </is>
      </c>
      <c r="C1" s="3" t="inlineStr">
        <is>
          <t>カテゴリ</t>
        </is>
      </c>
      <c r="D1" s="3" t="inlineStr">
        <is>
          <t>基準重要度</t>
        </is>
      </c>
      <c r="E1" s="3" t="inlineStr">
        <is>
          <t>チェック項目</t>
        </is>
      </c>
      <c r="F1" s="3" t="inlineStr">
        <is>
          <t>合格基準</t>
        </is>
      </c>
      <c r="G1" s="3" t="inlineStr">
        <is>
          <t>意図(なぜ確認するか)</t>
        </is>
      </c>
      <c r="H1" s="3" t="inlineStr">
        <is>
          <t>対象ドキュメント(参照箇所)</t>
        </is>
      </c>
      <c r="I1" s="21" t="inlineStr">
        <is>
          <t>適用プロファイル</t>
        </is>
      </c>
      <c r="J1" s="21" t="inlineStr">
        <is>
          <t>適用条件</t>
        </is>
      </c>
      <c r="K1" s="21" t="inlineStr">
        <is>
          <t>出典ID</t>
        </is>
      </c>
      <c r="L1" s="21" t="inlineStr">
        <is>
          <t>重複統制グループ</t>
        </is>
      </c>
      <c r="M1" s="21" t="inlineStr">
        <is>
          <t>案件重要度</t>
        </is>
      </c>
      <c r="N1" s="21" t="inlineStr">
        <is>
          <t>適用判定</t>
        </is>
      </c>
      <c r="O1" s="21" t="inlineStr">
        <is>
          <t>判定</t>
        </is>
      </c>
      <c r="P1" s="21" t="inlineStr">
        <is>
          <t>証跡・参照箇所</t>
        </is>
      </c>
      <c r="Q1" s="21" t="inlineStr">
        <is>
          <t>指摘・Issue ID</t>
        </is>
      </c>
      <c r="R1" s="21" t="inlineStr">
        <is>
          <t>対応方針</t>
        </is>
      </c>
      <c r="S1" s="21" t="inlineStr">
        <is>
          <t>例外・リスク受容承認者</t>
        </is>
      </c>
      <c r="T1" s="21" t="inlineStr">
        <is>
          <t>是正期限</t>
        </is>
      </c>
      <c r="U1" s="21" t="inlineStr">
        <is>
          <t>レビュアー</t>
        </is>
      </c>
      <c r="V1" s="21" t="inlineStr">
        <is>
          <t>レビュー日</t>
        </is>
      </c>
      <c r="W1" s="21" t="inlineStr">
        <is>
          <t>再確認結果</t>
        </is>
      </c>
    </row>
    <row r="2">
      <c r="A2" s="5" t="inlineStr">
        <is>
          <t>GCP-001</t>
        </is>
      </c>
      <c r="B2" s="5" t="inlineStr">
        <is>
          <t>WAF</t>
        </is>
      </c>
      <c r="C2" s="4" t="inlineStr">
        <is>
          <t>オペレーショナルエクセレンス / Operational excellence</t>
        </is>
      </c>
      <c r="D2" s="9" t="inlineStr">
        <is>
          <t>High</t>
        </is>
      </c>
      <c r="E2" s="4" t="inlineStr">
        <is>
          <t>SLO/SLA が定義され、Cloud Monitoring で SLI が計測されている</t>
        </is>
      </c>
      <c r="F2" s="4" t="inlineStr">
        <is>
          <t>主要サービスごとに SLO(具体的・測定可能・達成可能・関連性・期限付き)が文書化され、対応する SLI が Cloud Monitoring で計測・可視化されている</t>
        </is>
      </c>
      <c r="G2" s="4" t="inlineStr">
        <is>
          <t>SLO がないと信頼性への投資判断や障害時の優先度判断ができず、過剰対応・過少対応を招く。</t>
        </is>
      </c>
      <c r="H2" s="4" t="inlineStr">
        <is>
          <t>Google Cloud Well-Architected Framework &gt; オペレーショナルエクセレンス &gt; Ensure operational readiness and performance using CloudOps &gt; Define SLOs and SLAs</t>
        </is>
      </c>
      <c r="I2" s="4" t="inlineStr">
        <is>
          <t>GCP-DELTA</t>
        </is>
      </c>
      <c r="J2" s="4" t="inlineStr">
        <is>
          <t>Google Cloud採用時に、CLOUD-COMMONで未評価の固有差分へ適用。</t>
        </is>
      </c>
      <c r="K2" s="4" t="inlineStr">
        <is>
          <t>SRC-GCP-WAF</t>
        </is>
      </c>
      <c r="L2" s="4" t="inlineStr"/>
      <c r="M2" s="4" t="n"/>
      <c r="N2" s="4" t="n"/>
      <c r="O2" s="4" t="n"/>
      <c r="P2" s="4" t="n"/>
      <c r="Q2" s="4" t="n"/>
      <c r="R2" s="4" t="n"/>
      <c r="S2" s="4" t="n"/>
      <c r="T2" s="4" t="n"/>
      <c r="U2" s="4" t="n"/>
      <c r="V2" s="4" t="n"/>
      <c r="W2" s="4" t="n"/>
    </row>
    <row r="3">
      <c r="A3" s="5" t="inlineStr">
        <is>
          <t>GCP-002</t>
        </is>
      </c>
      <c r="B3" s="5" t="inlineStr">
        <is>
          <t>WAF</t>
        </is>
      </c>
      <c r="C3" s="4" t="inlineStr">
        <is>
          <t>オペレーショナルエクセレンス / Operational excellence</t>
        </is>
      </c>
      <c r="D3" s="9" t="inlineStr">
        <is>
          <t>High</t>
        </is>
      </c>
      <c r="E3" s="4" t="inlineStr">
        <is>
          <t>Google Cloud Observability(Cloud Monitoring/Cloud Logging)で包括的な可観測性が実装されている</t>
        </is>
      </c>
      <c r="F3" s="4" t="inlineStr">
        <is>
          <t>CPU 使用率・メモリ・ネットワーク・ディスク I/O・アプリ応答時間に加え、業務固有のカスタムメトリクスが収集・ダッシュボード化されている</t>
        </is>
      </c>
      <c r="G3" s="4" t="inlineStr">
        <is>
          <t>可観測性がないと劣化や障害の予兆を検知できず、障害発生後も原因特定が長期化する。</t>
        </is>
      </c>
      <c r="H3" s="4" t="inlineStr">
        <is>
          <t>Google Cloud Well-Architected Framework &gt; オペレーショナルエクセレンス &gt; Ensure operational readiness and performance using CloudOps &gt; Implement comprehensive observability</t>
        </is>
      </c>
      <c r="I3" s="4" t="inlineStr">
        <is>
          <t>GCP-DELTA</t>
        </is>
      </c>
      <c r="J3" s="4" t="inlineStr">
        <is>
          <t>Google Cloud採用時に、CLOUD-COMMONで未評価の固有差分へ適用。</t>
        </is>
      </c>
      <c r="K3" s="4" t="inlineStr">
        <is>
          <t>SRC-GCP-WAF</t>
        </is>
      </c>
      <c r="L3" s="4" t="inlineStr">
        <is>
          <t>OPS-OBSERVABILITY</t>
        </is>
      </c>
      <c r="M3" s="4" t="n"/>
      <c r="N3" s="4" t="n"/>
      <c r="O3" s="4" t="n"/>
      <c r="P3" s="4" t="n"/>
      <c r="Q3" s="4" t="n"/>
      <c r="R3" s="4" t="n"/>
      <c r="S3" s="4" t="n"/>
      <c r="T3" s="4" t="n"/>
      <c r="U3" s="4" t="n"/>
      <c r="V3" s="4" t="n"/>
      <c r="W3" s="4" t="n"/>
    </row>
    <row r="4">
      <c r="A4" s="5" t="inlineStr">
        <is>
          <t>GCP-003</t>
        </is>
      </c>
      <c r="B4" s="5" t="inlineStr">
        <is>
          <t>WAF</t>
        </is>
      </c>
      <c r="C4" s="4" t="inlineStr">
        <is>
          <t>オペレーショナルエクセレンス / Operational excellence</t>
        </is>
      </c>
      <c r="D4" s="10" t="inlineStr">
        <is>
          <t>Medium</t>
        </is>
      </c>
      <c r="E4" s="4" t="inlineStr">
        <is>
          <t>本番相当環境での性能テスト・負荷テストが実施されている</t>
        </is>
      </c>
      <c r="F4" s="4" t="inlineStr">
        <is>
          <t>ピーク負荷を想定した負荷テスト・ストレステストの計画と実施結果(ボトルネックの特定と対処)が記録されている</t>
        </is>
      </c>
      <c r="G4" s="4" t="inlineStr">
        <is>
          <t>負荷テストを怠るとピーク時に初めてボトルネックが顕在化し、サービス停止に至る。</t>
        </is>
      </c>
      <c r="H4" s="4" t="inlineStr">
        <is>
          <t>Google Cloud Well-Architected Framework &gt; オペレーショナルエクセレンス &gt; Ensure operational readiness and performance using CloudOps &gt; Implement performance and load testing</t>
        </is>
      </c>
      <c r="I4" s="4" t="inlineStr">
        <is>
          <t>GCP-DELTA</t>
        </is>
      </c>
      <c r="J4" s="4" t="inlineStr">
        <is>
          <t>Google Cloud採用時に、CLOUD-COMMONで未評価の固有差分へ適用。</t>
        </is>
      </c>
      <c r="K4" s="4" t="inlineStr">
        <is>
          <t>SRC-GCP-WAF</t>
        </is>
      </c>
      <c r="L4" s="4" t="inlineStr"/>
      <c r="M4" s="4" t="n"/>
      <c r="N4" s="4" t="n"/>
      <c r="O4" s="4" t="n"/>
      <c r="P4" s="4" t="n"/>
      <c r="Q4" s="4" t="n"/>
      <c r="R4" s="4" t="n"/>
      <c r="S4" s="4" t="n"/>
      <c r="T4" s="4" t="n"/>
      <c r="U4" s="4" t="n"/>
      <c r="V4" s="4" t="n"/>
      <c r="W4" s="4" t="n"/>
    </row>
    <row r="5">
      <c r="A5" s="5" t="inlineStr">
        <is>
          <t>GCP-004</t>
        </is>
      </c>
      <c r="B5" s="5" t="inlineStr">
        <is>
          <t>WAF</t>
        </is>
      </c>
      <c r="C5" s="4" t="inlineStr">
        <is>
          <t>オペレーショナルエクセレンス / Operational excellence</t>
        </is>
      </c>
      <c r="D5" s="10" t="inlineStr">
        <is>
          <t>Medium</t>
        </is>
      </c>
      <c r="E5" s="4" t="inlineStr">
        <is>
          <t>履歴データに基づくキャパシティプランニングが行われている</t>
        </is>
      </c>
      <c r="F5" s="4" t="inlineStr">
        <is>
          <t>過去の使用パターン・成長予測・ビジネス要件を分析した容量計画があり、オートスケーリングポリシーまたは定期レビューで裏付けられている</t>
        </is>
      </c>
      <c r="G5" s="4" t="inlineStr">
        <is>
          <t>容量計画がないとリソース枯渇による停止、または過剰プロビジョニングによる浪費が発生する。</t>
        </is>
      </c>
      <c r="H5" s="4" t="inlineStr">
        <is>
          <t>Google Cloud Well-Architected Framework &gt; オペレーショナルエクセレンス &gt; Ensure operational readiness and performance using CloudOps &gt; Plan and manage capacity</t>
        </is>
      </c>
      <c r="I5" s="4" t="inlineStr">
        <is>
          <t>GCP-DELTA</t>
        </is>
      </c>
      <c r="J5" s="4" t="inlineStr">
        <is>
          <t>Google Cloud採用時に、CLOUD-COMMONで未評価の固有差分へ適用。</t>
        </is>
      </c>
      <c r="K5" s="4" t="inlineStr">
        <is>
          <t>SRC-GCP-WAF</t>
        </is>
      </c>
      <c r="L5" s="4" t="inlineStr"/>
      <c r="M5" s="4" t="n"/>
      <c r="N5" s="4" t="n"/>
      <c r="O5" s="4" t="n"/>
      <c r="P5" s="4" t="n"/>
      <c r="Q5" s="4" t="n"/>
      <c r="R5" s="4" t="n"/>
      <c r="S5" s="4" t="n"/>
      <c r="T5" s="4" t="n"/>
      <c r="U5" s="4" t="n"/>
      <c r="V5" s="4" t="n"/>
      <c r="W5" s="4" t="n"/>
    </row>
    <row r="6">
      <c r="A6" s="5" t="inlineStr">
        <is>
          <t>GCP-005</t>
        </is>
      </c>
      <c r="B6" s="5" t="inlineStr">
        <is>
          <t>WAF</t>
        </is>
      </c>
      <c r="C6" s="4" t="inlineStr">
        <is>
          <t>オペレーショナルエクセレンス / Operational excellence</t>
        </is>
      </c>
      <c r="D6" s="9" t="inlineStr">
        <is>
          <t>High</t>
        </is>
      </c>
      <c r="E6" s="4" t="inlineStr">
        <is>
          <t>インシデント対応手順(役割・連絡ルール・エスカレーションパス)が定義されている</t>
        </is>
      </c>
      <c r="F6" s="4" t="inlineStr">
        <is>
          <t>役割分担・コミュニケーションプロトコル・エスカレーション経路が Runbook/Playbook として文書化されている</t>
        </is>
      </c>
      <c r="G6" s="4" t="inlineStr">
        <is>
          <t>手順がないと障害対応が属人化・混乱し、復旧時間(MTTR)が大幅に長くなる。</t>
        </is>
      </c>
      <c r="H6" s="4" t="inlineStr">
        <is>
          <t>Google Cloud Well-Architected Framework &gt; オペレーショナルエクセレンス &gt; Manage incidents and problems &gt; Establish clear incident response procedures</t>
        </is>
      </c>
      <c r="I6" s="4" t="inlineStr">
        <is>
          <t>GCP-DELTA</t>
        </is>
      </c>
      <c r="J6" s="4" t="inlineStr">
        <is>
          <t>Google Cloud採用時に、CLOUD-COMMONで未評価の固有差分へ適用。</t>
        </is>
      </c>
      <c r="K6" s="4" t="inlineStr">
        <is>
          <t>SRC-GCP-WAF</t>
        </is>
      </c>
      <c r="L6" s="4" t="inlineStr"/>
      <c r="M6" s="4" t="n"/>
      <c r="N6" s="4" t="n"/>
      <c r="O6" s="4" t="n"/>
      <c r="P6" s="4" t="n"/>
      <c r="Q6" s="4" t="n"/>
      <c r="R6" s="4" t="n"/>
      <c r="S6" s="4" t="n"/>
      <c r="T6" s="4" t="n"/>
      <c r="U6" s="4" t="n"/>
      <c r="V6" s="4" t="n"/>
      <c r="W6" s="4" t="n"/>
    </row>
    <row r="7">
      <c r="A7" s="5" t="inlineStr">
        <is>
          <t>GCP-006</t>
        </is>
      </c>
      <c r="B7" s="5" t="inlineStr">
        <is>
          <t>WAF</t>
        </is>
      </c>
      <c r="C7" s="4" t="inlineStr">
        <is>
          <t>オペレーショナルエクセレンス / Operational excellence</t>
        </is>
      </c>
      <c r="D7" s="10" t="inlineStr">
        <is>
          <t>Medium</t>
        </is>
      </c>
      <c r="E7" s="4" t="inlineStr">
        <is>
          <t>インシデント関連情報が単一の場所に集約管理されている</t>
        </is>
      </c>
      <c r="F7" s="4" t="inlineStr">
        <is>
          <t>インシデントのステータス・コミュニケーション・タスクを一元管理する仕組み(統合プラットフォーム)が運用されている</t>
        </is>
      </c>
      <c r="G7" s="4" t="inlineStr">
        <is>
          <t>情報が分散すると対応状況の把握に時間がかかり、重複作業や対応漏れが発生する。</t>
        </is>
      </c>
      <c r="H7" s="4" t="inlineStr">
        <is>
          <t>Google Cloud Well-Architected Framework &gt; オペレーショナルエクセレンス &gt; Manage incidents and problems &gt; Centralize incident management</t>
        </is>
      </c>
      <c r="I7" s="4" t="inlineStr">
        <is>
          <t>GCP-DELTA</t>
        </is>
      </c>
      <c r="J7" s="4" t="inlineStr">
        <is>
          <t>Google Cloud採用時に、CLOUD-COMMONで未評価の固有差分へ適用。</t>
        </is>
      </c>
      <c r="K7" s="4" t="inlineStr">
        <is>
          <t>SRC-GCP-WAF</t>
        </is>
      </c>
      <c r="L7" s="4" t="inlineStr"/>
      <c r="M7" s="4" t="n"/>
      <c r="N7" s="4" t="n"/>
      <c r="O7" s="4" t="n"/>
      <c r="P7" s="4" t="n"/>
      <c r="Q7" s="4" t="n"/>
      <c r="R7" s="4" t="n"/>
      <c r="S7" s="4" t="n"/>
      <c r="T7" s="4" t="n"/>
      <c r="U7" s="4" t="n"/>
      <c r="V7" s="4" t="n"/>
      <c r="W7" s="4" t="n"/>
    </row>
    <row r="8">
      <c r="A8" s="5" t="inlineStr">
        <is>
          <t>GCP-007</t>
        </is>
      </c>
      <c r="B8" s="5" t="inlineStr">
        <is>
          <t>WAF</t>
        </is>
      </c>
      <c r="C8" s="4" t="inlineStr">
        <is>
          <t>オペレーショナルエクセレンス / Operational excellence</t>
        </is>
      </c>
      <c r="D8" s="9" t="inlineStr">
        <is>
          <t>High</t>
        </is>
      </c>
      <c r="E8" s="4" t="inlineStr">
        <is>
          <t>インシデント後レビュー(ポストインシデントレビュー)が実施されている</t>
        </is>
      </c>
      <c r="F8" s="4" t="inlineStr">
        <is>
          <t>重大インシデントについて、複数分野のメンバーによる根本原因分析と是正措置が記録され、非難を伴わない文化で運用されている</t>
        </is>
      </c>
      <c r="G8" s="4" t="inlineStr">
        <is>
          <t>レビューを怠ると同種の障害が再発し、システムとプロセスが改善されない。</t>
        </is>
      </c>
      <c r="H8" s="4" t="inlineStr">
        <is>
          <t>Google Cloud Well-Architected Framework &gt; オペレーショナルエクセレンス &gt; Manage incidents and problems &gt; Conduct thorough post-incident reviews</t>
        </is>
      </c>
      <c r="I8" s="4" t="inlineStr">
        <is>
          <t>GCP-DELTA</t>
        </is>
      </c>
      <c r="J8" s="4" t="inlineStr">
        <is>
          <t>Google Cloud採用時に、CLOUD-COMMONで未評価の固有差分へ適用。</t>
        </is>
      </c>
      <c r="K8" s="4" t="inlineStr">
        <is>
          <t>SRC-GCP-WAF</t>
        </is>
      </c>
      <c r="L8" s="4" t="inlineStr"/>
      <c r="M8" s="4" t="n"/>
      <c r="N8" s="4" t="n"/>
      <c r="O8" s="4" t="n"/>
      <c r="P8" s="4" t="n"/>
      <c r="Q8" s="4" t="n"/>
      <c r="R8" s="4" t="n"/>
      <c r="S8" s="4" t="n"/>
      <c r="T8" s="4" t="n"/>
      <c r="U8" s="4" t="n"/>
      <c r="V8" s="4" t="n"/>
      <c r="W8" s="4" t="n"/>
    </row>
    <row r="9">
      <c r="A9" s="5" t="inlineStr">
        <is>
          <t>GCP-008</t>
        </is>
      </c>
      <c r="B9" s="5" t="inlineStr">
        <is>
          <t>WAF</t>
        </is>
      </c>
      <c r="C9" s="4" t="inlineStr">
        <is>
          <t>オペレーショナルエクセレンス / Operational excellence</t>
        </is>
      </c>
      <c r="D9" s="10" t="inlineStr">
        <is>
          <t>Medium</t>
        </is>
      </c>
      <c r="E9" s="4" t="inlineStr">
        <is>
          <t>Cloud Run functions 等によるインシデント対応の自動化が検討されている</t>
        </is>
      </c>
      <c r="F9" s="4" t="inlineStr">
        <is>
          <t>異常検知時の定型対応(隔離、ロールバック等)が Cloud Run functions / Cloud Run 等で自動化されているか、自動化しない判断が記録されている</t>
        </is>
      </c>
      <c r="G9" s="4" t="inlineStr">
        <is>
          <t>手動対応のみだと夜間・休日の初動が遅れ、影響範囲が拡大する。</t>
        </is>
      </c>
      <c r="H9" s="4" t="inlineStr">
        <is>
          <t>Google Cloud Well-Architected Framework &gt; オペレーショナルエクセレンス &gt; Manage incidents and problems &gt; Automate incident response</t>
        </is>
      </c>
      <c r="I9" s="4" t="inlineStr">
        <is>
          <t>GCP-DELTA</t>
        </is>
      </c>
      <c r="J9" s="4" t="inlineStr">
        <is>
          <t>Google Cloud採用時に、CLOUD-COMMONで未評価の固有差分へ適用。</t>
        </is>
      </c>
      <c r="K9" s="4" t="inlineStr">
        <is>
          <t>SRC-GCP-WAF</t>
        </is>
      </c>
      <c r="L9" s="4" t="inlineStr"/>
      <c r="M9" s="4" t="n"/>
      <c r="N9" s="4" t="n"/>
      <c r="O9" s="4" t="n"/>
      <c r="P9" s="4" t="n"/>
      <c r="Q9" s="4" t="n"/>
      <c r="R9" s="4" t="n"/>
      <c r="S9" s="4" t="n"/>
      <c r="T9" s="4" t="n"/>
      <c r="U9" s="4" t="n"/>
      <c r="V9" s="4" t="n"/>
      <c r="W9" s="4" t="n"/>
    </row>
    <row r="10">
      <c r="A10" s="5" t="inlineStr">
        <is>
          <t>GCP-009</t>
        </is>
      </c>
      <c r="B10" s="5" t="inlineStr">
        <is>
          <t>WAF</t>
        </is>
      </c>
      <c r="C10" s="4" t="inlineStr">
        <is>
          <t>オペレーショナルエクセレンス / Operational excellence</t>
        </is>
      </c>
      <c r="D10" s="10" t="inlineStr">
        <is>
          <t>Medium</t>
        </is>
      </c>
      <c r="E10" s="4" t="inlineStr">
        <is>
          <t>Cloud Monitoring と Recommender によるライトサイジングが行われている</t>
        </is>
      </c>
      <c r="F10" s="4" t="inlineStr">
        <is>
          <t>リソース使用率を継続監視し、Recommender の推奨に基づくサイズ調整の運用プロセス(定期レビュー等)がある</t>
        </is>
      </c>
      <c r="G10" s="4" t="inlineStr">
        <is>
          <t>実需要に合わないサイズのまま放置すると、コスト浪費または性能不足が慢性化する。</t>
        </is>
      </c>
      <c r="H10" s="4" t="inlineStr">
        <is>
          <t>Google Cloud Well-Architected Framework &gt; オペレーショナルエクセレンス &gt; Manage and optimize cloud resources &gt; Right-size resources</t>
        </is>
      </c>
      <c r="I10" s="4" t="inlineStr">
        <is>
          <t>GCP-DELTA</t>
        </is>
      </c>
      <c r="J10" s="4" t="inlineStr">
        <is>
          <t>Google Cloud採用時に、CLOUD-COMMONで未評価の固有差分へ適用。</t>
        </is>
      </c>
      <c r="K10" s="4" t="inlineStr">
        <is>
          <t>SRC-GCP-WAF</t>
        </is>
      </c>
      <c r="L10" s="4" t="inlineStr"/>
      <c r="M10" s="4" t="n"/>
      <c r="N10" s="4" t="n"/>
      <c r="O10" s="4" t="n"/>
      <c r="P10" s="4" t="n"/>
      <c r="Q10" s="4" t="n"/>
      <c r="R10" s="4" t="n"/>
      <c r="S10" s="4" t="n"/>
      <c r="T10" s="4" t="n"/>
      <c r="U10" s="4" t="n"/>
      <c r="V10" s="4" t="n"/>
      <c r="W10" s="4" t="n"/>
    </row>
    <row r="11">
      <c r="A11" s="5" t="inlineStr">
        <is>
          <t>GCP-010</t>
        </is>
      </c>
      <c r="B11" s="5" t="inlineStr">
        <is>
          <t>WAF</t>
        </is>
      </c>
      <c r="C11" s="4" t="inlineStr">
        <is>
          <t>オペレーショナルエクセレンス / Operational excellence</t>
        </is>
      </c>
      <c r="D11" s="9" t="inlineStr">
        <is>
          <t>High</t>
        </is>
      </c>
      <c r="E11" s="4" t="inlineStr">
        <is>
          <t>Compute Engine MIG / GKE / Cloud Run のオートスケーリングが構成されている</t>
        </is>
      </c>
      <c r="F11" s="4" t="inlineStr">
        <is>
          <t>MIG のスケーリングポリシー、GKE の Cluster Autoscaler/HPA/VPA/Node Auto-Provisioning、Cloud Run の自動スケーリングのいずれか適切なものが負荷特性に基づき設定されている</t>
        </is>
      </c>
      <c r="G11" s="4" t="inlineStr">
        <is>
          <t>オートスケーリングがないと需要変動時に手動対応が必要となり、過負荷停止や過剰コストを招く。</t>
        </is>
      </c>
      <c r="H11" s="4" t="inlineStr">
        <is>
          <t>Google Cloud Well-Architected Framework &gt; オペレーショナルエクセレンス &gt; Manage and optimize cloud resources &gt; Use autoscaling</t>
        </is>
      </c>
      <c r="I11" s="4" t="inlineStr">
        <is>
          <t>GCP-DELTA</t>
        </is>
      </c>
      <c r="J11" s="4" t="inlineStr">
        <is>
          <t>Google Cloud採用時に、CLOUD-COMMONで未評価の固有差分へ適用。</t>
        </is>
      </c>
      <c r="K11" s="4" t="inlineStr">
        <is>
          <t>SRC-GCP-WAF</t>
        </is>
      </c>
      <c r="L11" s="4" t="inlineStr"/>
      <c r="M11" s="4" t="n"/>
      <c r="N11" s="4" t="n"/>
      <c r="O11" s="4" t="n"/>
      <c r="P11" s="4" t="n"/>
      <c r="Q11" s="4" t="n"/>
      <c r="R11" s="4" t="n"/>
      <c r="S11" s="4" t="n"/>
      <c r="T11" s="4" t="n"/>
      <c r="U11" s="4" t="n"/>
      <c r="V11" s="4" t="n"/>
      <c r="W11" s="4" t="n"/>
    </row>
    <row r="12">
      <c r="A12" s="5" t="inlineStr">
        <is>
          <t>GCP-011</t>
        </is>
      </c>
      <c r="B12" s="5" t="inlineStr">
        <is>
          <t>WAF</t>
        </is>
      </c>
      <c r="C12" s="4" t="inlineStr">
        <is>
          <t>オペレーショナルエクセレンス / Operational excellence</t>
        </is>
      </c>
      <c r="D12" s="9" t="inlineStr">
        <is>
          <t>High</t>
        </is>
      </c>
      <c r="E12" s="4" t="inlineStr">
        <is>
          <t>インフラが IaC(Terraform 等)で管理されている</t>
        </is>
      </c>
      <c r="F12" s="4" t="inlineStr">
        <is>
          <t>本番インフラの構成が Terraform 等のコードで定義され、コンソールでの手動変更が原則禁止されている</t>
        </is>
      </c>
      <c r="G12" s="4" t="inlineStr">
        <is>
          <t>手動構築は再現性がなく、環境差異・構成ドリフト・復旧不能リスクを生む。</t>
        </is>
      </c>
      <c r="H12" s="4" t="inlineStr">
        <is>
          <t>Google Cloud Well-Architected Framework &gt; オペレーショナルエクセレンス &gt; Automate and manage change &gt; Adopt IaC</t>
        </is>
      </c>
      <c r="I12" s="4" t="inlineStr">
        <is>
          <t>GCP-DELTA</t>
        </is>
      </c>
      <c r="J12" s="4" t="inlineStr">
        <is>
          <t>Google Cloud採用時に、CLOUD-COMMONで未評価の固有差分へ適用。</t>
        </is>
      </c>
      <c r="K12" s="4" t="inlineStr">
        <is>
          <t>SRC-GCP-WAF</t>
        </is>
      </c>
      <c r="L12" s="4" t="inlineStr">
        <is>
          <t>OPS-IAC</t>
        </is>
      </c>
      <c r="M12" s="4" t="n"/>
      <c r="N12" s="4" t="n"/>
      <c r="O12" s="4" t="n"/>
      <c r="P12" s="4" t="n"/>
      <c r="Q12" s="4" t="n"/>
      <c r="R12" s="4" t="n"/>
      <c r="S12" s="4" t="n"/>
      <c r="T12" s="4" t="n"/>
      <c r="U12" s="4" t="n"/>
      <c r="V12" s="4" t="n"/>
      <c r="W12" s="4" t="n"/>
    </row>
    <row r="13">
      <c r="A13" s="5" t="inlineStr">
        <is>
          <t>GCP-012</t>
        </is>
      </c>
      <c r="B13" s="5" t="inlineStr">
        <is>
          <t>WAF</t>
        </is>
      </c>
      <c r="C13" s="4" t="inlineStr">
        <is>
          <t>オペレーショナルエクセレンス / Operational excellence</t>
        </is>
      </c>
      <c r="D13" s="9" t="inlineStr">
        <is>
          <t>High</t>
        </is>
      </c>
      <c r="E13" s="4" t="inlineStr">
        <is>
          <t>IaC・構成ファイルがバージョン管理されている</t>
        </is>
      </c>
      <c r="F13" s="4" t="inlineStr">
        <is>
          <t>インフラコード・設定が Git 等でバージョン管理され、変更履歴の追跡とロールバックが可能である</t>
        </is>
      </c>
      <c r="G13" s="4" t="inlineStr">
        <is>
          <t>バージョン管理がないと変更の追跡・切り戻しができず、障害時の復旧が困難になる。</t>
        </is>
      </c>
      <c r="H13" s="4" t="inlineStr">
        <is>
          <t>Google Cloud Well-Architected Framework &gt; オペレーショナルエクセレンス &gt; Automate and manage change &gt; Implement version control</t>
        </is>
      </c>
      <c r="I13" s="4" t="inlineStr">
        <is>
          <t>GCP-DELTA</t>
        </is>
      </c>
      <c r="J13" s="4" t="inlineStr">
        <is>
          <t>Google Cloud採用時に、CLOUD-COMMONで未評価の固有差分へ適用。</t>
        </is>
      </c>
      <c r="K13" s="4" t="inlineStr">
        <is>
          <t>SRC-GCP-WAF</t>
        </is>
      </c>
      <c r="L13" s="4" t="inlineStr">
        <is>
          <t>OPS-IAC</t>
        </is>
      </c>
      <c r="M13" s="4" t="n"/>
      <c r="N13" s="4" t="n"/>
      <c r="O13" s="4" t="n"/>
      <c r="P13" s="4" t="n"/>
      <c r="Q13" s="4" t="n"/>
      <c r="R13" s="4" t="n"/>
      <c r="S13" s="4" t="n"/>
      <c r="T13" s="4" t="n"/>
      <c r="U13" s="4" t="n"/>
      <c r="V13" s="4" t="n"/>
      <c r="W13" s="4" t="n"/>
    </row>
    <row r="14">
      <c r="A14" s="5" t="inlineStr">
        <is>
          <t>GCP-013</t>
        </is>
      </c>
      <c r="B14" s="5" t="inlineStr">
        <is>
          <t>WAF</t>
        </is>
      </c>
      <c r="C14" s="4" t="inlineStr">
        <is>
          <t>オペレーショナルエクセレンス / Operational excellence</t>
        </is>
      </c>
      <c r="D14" s="9" t="inlineStr">
        <is>
          <t>High</t>
        </is>
      </c>
      <c r="E14" s="4" t="inlineStr">
        <is>
          <t>Cloud Build / Cloud Deploy による CI/CD パイプラインが構築されている</t>
        </is>
      </c>
      <c r="F14" s="4" t="inlineStr">
        <is>
          <t>ビルド・テスト・デプロイが Cloud Build / Cloud Deploy 等で自動化され、手動デプロイが排除されている</t>
        </is>
      </c>
      <c r="G14" s="4" t="inlineStr">
        <is>
          <t>手動デプロイは人的ミスによる障害と変更リードタイムの長期化を招く。</t>
        </is>
      </c>
      <c r="H14" s="4" t="inlineStr">
        <is>
          <t>Google Cloud Well-Architected Framework &gt; オペレーショナルエクセレンス &gt; Automate and manage change &gt; Build CI/CD pipelines</t>
        </is>
      </c>
      <c r="I14" s="4" t="inlineStr">
        <is>
          <t>GCP-DELTA</t>
        </is>
      </c>
      <c r="J14" s="4" t="inlineStr">
        <is>
          <t>Google Cloud採用時に、CLOUD-COMMONで未評価の固有差分へ適用。</t>
        </is>
      </c>
      <c r="K14" s="4" t="inlineStr">
        <is>
          <t>SRC-GCP-WAF</t>
        </is>
      </c>
      <c r="L14" s="4" t="inlineStr"/>
      <c r="M14" s="4" t="n"/>
      <c r="N14" s="4" t="n"/>
      <c r="O14" s="4" t="n"/>
      <c r="P14" s="4" t="n"/>
      <c r="Q14" s="4" t="n"/>
      <c r="R14" s="4" t="n"/>
      <c r="S14" s="4" t="n"/>
      <c r="T14" s="4" t="n"/>
      <c r="U14" s="4" t="n"/>
      <c r="V14" s="4" t="n"/>
      <c r="W14" s="4" t="n"/>
    </row>
    <row r="15">
      <c r="A15" s="5" t="inlineStr">
        <is>
          <t>GCP-014</t>
        </is>
      </c>
      <c r="B15" s="5" t="inlineStr">
        <is>
          <t>WAF</t>
        </is>
      </c>
      <c r="C15" s="4" t="inlineStr">
        <is>
          <t>オペレーショナルエクセレンス / Operational excellence</t>
        </is>
      </c>
      <c r="D15" s="10" t="inlineStr">
        <is>
          <t>Medium</t>
        </is>
      </c>
      <c r="E15" s="4" t="inlineStr">
        <is>
          <t>VM Manager 等による構成管理・パッチ管理が行われている</t>
        </is>
      </c>
      <c r="F15" s="4" t="inlineStr">
        <is>
          <t>VM のパッチ適用・構成管理が VM Manager または構成管理ツールで自動化・追跡されている</t>
        </is>
      </c>
      <c r="G15" s="4" t="inlineStr">
        <is>
          <t>パッチ管理を怠ると既知脆弱性が放置され、侵害リスクが増大する。</t>
        </is>
      </c>
      <c r="H15" s="4" t="inlineStr">
        <is>
          <t>Google Cloud Well-Architected Framework &gt; オペレーショナルエクセレンス &gt; Automate and manage change &gt; Use configuration management tools</t>
        </is>
      </c>
      <c r="I15" s="4" t="inlineStr">
        <is>
          <t>GCP-DELTA</t>
        </is>
      </c>
      <c r="J15" s="4" t="inlineStr">
        <is>
          <t>Google Cloud採用時に、CLOUD-COMMONで未評価の固有差分へ適用。</t>
        </is>
      </c>
      <c r="K15" s="4" t="inlineStr">
        <is>
          <t>SRC-GCP-WAF</t>
        </is>
      </c>
      <c r="L15" s="4" t="inlineStr"/>
      <c r="M15" s="4" t="n"/>
      <c r="N15" s="4" t="n"/>
      <c r="O15" s="4" t="n"/>
      <c r="P15" s="4" t="n"/>
      <c r="Q15" s="4" t="n"/>
      <c r="R15" s="4" t="n"/>
      <c r="S15" s="4" t="n"/>
      <c r="T15" s="4" t="n"/>
      <c r="U15" s="4" t="n"/>
      <c r="V15" s="4" t="n"/>
      <c r="W15" s="4" t="n"/>
    </row>
    <row r="16">
      <c r="A16" s="5" t="inlineStr">
        <is>
          <t>GCP-015</t>
        </is>
      </c>
      <c r="B16" s="5" t="inlineStr">
        <is>
          <t>WAF</t>
        </is>
      </c>
      <c r="C16" s="4" t="inlineStr">
        <is>
          <t>セキュリティ、プライバシー、コンプライアンス / Security, privacy, and compliance</t>
        </is>
      </c>
      <c r="D16" s="10" t="inlineStr">
        <is>
          <t>Medium</t>
        </is>
      </c>
      <c r="E16" s="4" t="inlineStr">
        <is>
          <t>Assured Open Source Software 等でソフトウェアサプライチェーンリスクが低減されている</t>
        </is>
      </c>
      <c r="F16" s="4" t="inlineStr">
        <is>
          <t>OSS 依存関係について Assured OSS の利用または脆弱性スキャンの仕組みがあり、採用ライブラリの安全性確認プロセスが定義されている</t>
        </is>
      </c>
      <c r="G16" s="4" t="inlineStr">
        <is>
          <t>サプライチェーン対策がないと、依存ライブラリ経由の侵害(改ざん・脆弱性混入)を防げない。</t>
        </is>
      </c>
      <c r="H16" s="4" t="inlineStr">
        <is>
          <t>Google Cloud Well-Architected Framework &gt; セキュリティ &gt; Implement security by design &gt; Choose system components that help secure workloads</t>
        </is>
      </c>
      <c r="I16" s="4" t="inlineStr">
        <is>
          <t>GCP-DELTA</t>
        </is>
      </c>
      <c r="J16" s="4" t="inlineStr">
        <is>
          <t>Google Cloud採用時に、CLOUD-COMMONで未評価の固有差分へ適用。</t>
        </is>
      </c>
      <c r="K16" s="4" t="inlineStr">
        <is>
          <t>SRC-GCP-WAF</t>
        </is>
      </c>
      <c r="L16" s="4" t="inlineStr">
        <is>
          <t>SEC-SUPPLY-CHAIN;PRIVACY</t>
        </is>
      </c>
      <c r="M16" s="4" t="n"/>
      <c r="N16" s="4" t="n"/>
      <c r="O16" s="4" t="n"/>
      <c r="P16" s="4" t="n"/>
      <c r="Q16" s="4" t="n"/>
      <c r="R16" s="4" t="n"/>
      <c r="S16" s="4" t="n"/>
      <c r="T16" s="4" t="n"/>
      <c r="U16" s="4" t="n"/>
      <c r="V16" s="4" t="n"/>
      <c r="W16" s="4" t="n"/>
    </row>
    <row r="17">
      <c r="A17" s="5" t="inlineStr">
        <is>
          <t>GCP-016</t>
        </is>
      </c>
      <c r="B17" s="5" t="inlineStr">
        <is>
          <t>WAF</t>
        </is>
      </c>
      <c r="C17" s="4" t="inlineStr">
        <is>
          <t>セキュリティ、プライバシー、コンプライアンス / Security, privacy, and compliance</t>
        </is>
      </c>
      <c r="D17" s="9" t="inlineStr">
        <is>
          <t>High</t>
        </is>
      </c>
      <c r="E17" s="4" t="inlineStr">
        <is>
          <t>組織ポリシー(Organization Policy)で全リソースにセキュリティ制約が強制されている</t>
        </is>
      </c>
      <c r="F17" s="4" t="inlineStr">
        <is>
          <t>外部 IP 制限・サービスアカウントキー作成制限等の組織ポリシー制約が組織/フォルダレベルで設定され、多層防御の設計が文書化されている</t>
        </is>
      </c>
      <c r="G17" s="4" t="inlineStr">
        <is>
          <t>組織レベルの強制がないと、個々のプロジェクトの設定ミスがそのまま侵害経路になる。</t>
        </is>
      </c>
      <c r="H17" s="4" t="inlineStr">
        <is>
          <t>Google Cloud Well-Architected Framework &gt; セキュリティ &gt; Implement security by design &gt; Build a layered security approach</t>
        </is>
      </c>
      <c r="I17" s="4" t="inlineStr">
        <is>
          <t>GCP-DELTA</t>
        </is>
      </c>
      <c r="J17" s="4" t="inlineStr">
        <is>
          <t>Google Cloud採用時に、CLOUD-COMMONで未評価の固有差分へ適用。</t>
        </is>
      </c>
      <c r="K17" s="4" t="inlineStr">
        <is>
          <t>SRC-GCP-WAF</t>
        </is>
      </c>
      <c r="L17" s="4" t="inlineStr">
        <is>
          <t>PRIVACY</t>
        </is>
      </c>
      <c r="M17" s="4" t="n"/>
      <c r="N17" s="4" t="n"/>
      <c r="O17" s="4" t="n"/>
      <c r="P17" s="4" t="n"/>
      <c r="Q17" s="4" t="n"/>
      <c r="R17" s="4" t="n"/>
      <c r="S17" s="4" t="n"/>
      <c r="T17" s="4" t="n"/>
      <c r="U17" s="4" t="n"/>
      <c r="V17" s="4" t="n"/>
      <c r="W17" s="4" t="n"/>
    </row>
    <row r="18">
      <c r="A18" s="5" t="inlineStr">
        <is>
          <t>GCP-017</t>
        </is>
      </c>
      <c r="B18" s="5" t="inlineStr">
        <is>
          <t>WAF</t>
        </is>
      </c>
      <c r="C18" s="4" t="inlineStr">
        <is>
          <t>セキュリティ、プライバシー、コンプライアンス / Security, privacy, and compliance</t>
        </is>
      </c>
      <c r="D18" s="9" t="inlineStr">
        <is>
          <t>High</t>
        </is>
      </c>
      <c r="E18" s="4" t="inlineStr">
        <is>
          <t>Shielded VM・OS Login・Container-Optimized OS・GKE ノード自動アップグレード等の堅牢化された基盤が使われている</t>
        </is>
      </c>
      <c r="F18" s="4" t="inlineStr">
        <is>
          <t>VM は Shielded VM と最新化された OS イメージ、SSH は OS Login(IAM ベース)、GKE はノード自動アップグレードが有効になっている</t>
        </is>
      </c>
      <c r="G18" s="4" t="inlineStr">
        <is>
          <t>基盤の堅牢化を怠ると、ブートキット・未パッチ OS・鍵管理不備が侵害の起点になる。</t>
        </is>
      </c>
      <c r="H18" s="4" t="inlineStr">
        <is>
          <t>Google Cloud Well-Architected Framework &gt; セキュリティ &gt; Implement security by design &gt; Use hardened and attested infrastructure and services</t>
        </is>
      </c>
      <c r="I18" s="4" t="inlineStr">
        <is>
          <t>GCP-DELTA</t>
        </is>
      </c>
      <c r="J18" s="4" t="inlineStr">
        <is>
          <t>Google Cloud採用時に、CLOUD-COMMONで未評価の固有差分へ適用。</t>
        </is>
      </c>
      <c r="K18" s="4" t="inlineStr">
        <is>
          <t>SRC-GCP-WAF</t>
        </is>
      </c>
      <c r="L18" s="4" t="inlineStr">
        <is>
          <t>PRIVACY</t>
        </is>
      </c>
      <c r="M18" s="4" t="n"/>
      <c r="N18" s="4" t="n"/>
      <c r="O18" s="4" t="n"/>
      <c r="P18" s="4" t="n"/>
      <c r="Q18" s="4" t="n"/>
      <c r="R18" s="4" t="n"/>
      <c r="S18" s="4" t="n"/>
      <c r="T18" s="4" t="n"/>
      <c r="U18" s="4" t="n"/>
      <c r="V18" s="4" t="n"/>
      <c r="W18" s="4" t="n"/>
    </row>
    <row r="19">
      <c r="A19" s="5" t="inlineStr">
        <is>
          <t>GCP-018</t>
        </is>
      </c>
      <c r="B19" s="5" t="inlineStr">
        <is>
          <t>WAF</t>
        </is>
      </c>
      <c r="C19" s="4" t="inlineStr">
        <is>
          <t>セキュリティ、プライバシー、コンプライアンス / Security, privacy, and compliance</t>
        </is>
      </c>
      <c r="D19" s="9" t="inlineStr">
        <is>
          <t>High</t>
        </is>
      </c>
      <c r="E19" s="4" t="inlineStr">
        <is>
          <t>機密データに CMEK(Cloud KMS / Cloud EKM)による鍵管理方針が定義されている</t>
        </is>
      </c>
      <c r="F19" s="4" t="inlineStr">
        <is>
          <t>デフォルト暗号化に加え、規制・機密性要件に応じて CMEK/Cloud EKM/Cloud KMS Autokey の要否が判断され、鍵のローテーション方針が文書化されている</t>
        </is>
      </c>
      <c r="G19" s="4" t="inlineStr">
        <is>
          <t>鍵管理方針がないと、規制要件を満たせず、鍵の漏えい・喪失時にデータ保護が破綻する。</t>
        </is>
      </c>
      <c r="H19" s="4" t="inlineStr">
        <is>
          <t>Google Cloud Well-Architected Framework &gt; セキュリティ &gt; Implement security by design &gt; Encrypt data at rest and in transit</t>
        </is>
      </c>
      <c r="I19" s="4" t="inlineStr">
        <is>
          <t>GCP-DELTA</t>
        </is>
      </c>
      <c r="J19" s="4" t="inlineStr">
        <is>
          <t>Google Cloud採用時に、CLOUD-COMMONで未評価の固有差分へ適用。</t>
        </is>
      </c>
      <c r="K19" s="4" t="inlineStr">
        <is>
          <t>SRC-GCP-WAF</t>
        </is>
      </c>
      <c r="L19" s="4" t="inlineStr">
        <is>
          <t>SEC-CRYPTO;PRIVACY</t>
        </is>
      </c>
      <c r="M19" s="4" t="n"/>
      <c r="N19" s="4" t="n"/>
      <c r="O19" s="4" t="n"/>
      <c r="P19" s="4" t="n"/>
      <c r="Q19" s="4" t="n"/>
      <c r="R19" s="4" t="n"/>
      <c r="S19" s="4" t="n"/>
      <c r="T19" s="4" t="n"/>
      <c r="U19" s="4" t="n"/>
      <c r="V19" s="4" t="n"/>
      <c r="W19" s="4" t="n"/>
    </row>
    <row r="20">
      <c r="A20" s="5" t="inlineStr">
        <is>
          <t>GCP-019</t>
        </is>
      </c>
      <c r="B20" s="5" t="inlineStr">
        <is>
          <t>WAF</t>
        </is>
      </c>
      <c r="C20" s="4" t="inlineStr">
        <is>
          <t>セキュリティ、プライバシー、コンプライアンス / Security, privacy, and compliance</t>
        </is>
      </c>
      <c r="D20" s="9" t="inlineStr">
        <is>
          <t>High</t>
        </is>
      </c>
      <c r="E20" s="4" t="inlineStr">
        <is>
          <t>転送中データが Cloud VPN(IPsec)・Cloud Interconnect(MACsec)・Cloud Service Mesh(mTLS)等で暗号化されている</t>
        </is>
      </c>
      <c r="F20" s="4" t="inlineStr">
        <is>
          <t>オンプレ接続・サービス間通信を含む全経路の暗号化方式が設計書に明記され、平文通信経路が存在しない</t>
        </is>
      </c>
      <c r="G20" s="4" t="inlineStr">
        <is>
          <t>転送中暗号化の欠落は盗聴・中間者攻撃による情報漏えいに直結する。</t>
        </is>
      </c>
      <c r="H20" s="4" t="inlineStr">
        <is>
          <t>Google Cloud Well-Architected Framework &gt; セキュリティ &gt; Implement security by design &gt; Encrypt data at rest and in transit</t>
        </is>
      </c>
      <c r="I20" s="4" t="inlineStr">
        <is>
          <t>GCP-DELTA</t>
        </is>
      </c>
      <c r="J20" s="4" t="inlineStr">
        <is>
          <t>Google Cloud採用時に、CLOUD-COMMONで未評価の固有差分へ適用。</t>
        </is>
      </c>
      <c r="K20" s="4" t="inlineStr">
        <is>
          <t>SRC-GCP-WAF</t>
        </is>
      </c>
      <c r="L20" s="4" t="inlineStr">
        <is>
          <t>SEC-CRYPTO;PRIVACY</t>
        </is>
      </c>
      <c r="M20" s="4" t="n"/>
      <c r="N20" s="4" t="n"/>
      <c r="O20" s="4" t="n"/>
      <c r="P20" s="4" t="n"/>
      <c r="Q20" s="4" t="n"/>
      <c r="R20" s="4" t="n"/>
      <c r="S20" s="4" t="n"/>
      <c r="T20" s="4" t="n"/>
      <c r="U20" s="4" t="n"/>
      <c r="V20" s="4" t="n"/>
      <c r="W20" s="4" t="n"/>
    </row>
    <row r="21">
      <c r="A21" s="5" t="inlineStr">
        <is>
          <t>GCP-020</t>
        </is>
      </c>
      <c r="B21" s="5" t="inlineStr">
        <is>
          <t>WAF</t>
        </is>
      </c>
      <c r="C21" s="4" t="inlineStr">
        <is>
          <t>セキュリティ、プライバシー、コンプライアンス / Security, privacy, and compliance</t>
        </is>
      </c>
      <c r="D21" s="11" t="inlineStr">
        <is>
          <t>Low</t>
        </is>
      </c>
      <c r="E21" s="4" t="inlineStr">
        <is>
          <t>高機密ワークロードで Confidential Computing(Confidential VM)が検討されている</t>
        </is>
      </c>
      <c r="F21" s="4" t="inlineStr">
        <is>
          <t>処理中データの暗号化が必要なワークロードについて Confidential VM の採用可否が検討・記録されている</t>
        </is>
      </c>
      <c r="G21" s="4" t="inlineStr">
        <is>
          <t>利用中データの保護がないと、メモリダンプ等を介した機密情報の露出リスクが残る。</t>
        </is>
      </c>
      <c r="H21" s="4" t="inlineStr">
        <is>
          <t>Google Cloud Well-Architected Framework &gt; セキュリティ &gt; Implement security by design &gt; Encrypt data at rest and in transit</t>
        </is>
      </c>
      <c r="I21" s="4" t="inlineStr">
        <is>
          <t>GCP-DELTA</t>
        </is>
      </c>
      <c r="J21" s="4" t="inlineStr">
        <is>
          <t>Google Cloud採用時に、CLOUD-COMMONで未評価の固有差分へ適用。</t>
        </is>
      </c>
      <c r="K21" s="4" t="inlineStr">
        <is>
          <t>SRC-GCP-WAF</t>
        </is>
      </c>
      <c r="L21" s="4" t="inlineStr">
        <is>
          <t>PRIVACY</t>
        </is>
      </c>
      <c r="M21" s="4" t="n"/>
      <c r="N21" s="4" t="n"/>
      <c r="O21" s="4" t="n"/>
      <c r="P21" s="4" t="n"/>
      <c r="Q21" s="4" t="n"/>
      <c r="R21" s="4" t="n"/>
      <c r="S21" s="4" t="n"/>
      <c r="T21" s="4" t="n"/>
      <c r="U21" s="4" t="n"/>
      <c r="V21" s="4" t="n"/>
      <c r="W21" s="4" t="n"/>
    </row>
    <row r="22">
      <c r="A22" s="5" t="inlineStr">
        <is>
          <t>GCP-021</t>
        </is>
      </c>
      <c r="B22" s="5" t="inlineStr">
        <is>
          <t>WAF</t>
        </is>
      </c>
      <c r="C22" s="4" t="inlineStr">
        <is>
          <t>セキュリティ、プライバシー、コンプライアンス / Security, privacy, and compliance</t>
        </is>
      </c>
      <c r="D22" s="9" t="inlineStr">
        <is>
          <t>High</t>
        </is>
      </c>
      <c r="E22" s="4" t="inlineStr">
        <is>
          <t>IAP / Chrome Enterprise Premium によるコンテキストアウェアなアクセス制御が導入されている</t>
        </is>
      </c>
      <c r="F22" s="4" t="inlineStr">
        <is>
          <t>管理アクセス・内部アプリへのアクセスが VPN 単独ではなく Identity-Aware Proxy 等のゼロトラストアクセス制御で保護されている</t>
        </is>
      </c>
      <c r="G22" s="4" t="inlineStr">
        <is>
          <t>境界型防御のみだと、認証情報の窃取や内部侵入後の横移動を防げない。</t>
        </is>
      </c>
      <c r="H22" s="4" t="inlineStr">
        <is>
          <t>Google Cloud Well-Architected Framework &gt; セキュリティ &gt; Implement zero trust &gt; Secure your network</t>
        </is>
      </c>
      <c r="I22" s="4" t="inlineStr">
        <is>
          <t>GCP-DELTA</t>
        </is>
      </c>
      <c r="J22" s="4" t="inlineStr">
        <is>
          <t>Google Cloud採用時に、CLOUD-COMMONで未評価の固有差分へ適用。</t>
        </is>
      </c>
      <c r="K22" s="4" t="inlineStr">
        <is>
          <t>SRC-GCP-WAF</t>
        </is>
      </c>
      <c r="L22" s="4" t="inlineStr">
        <is>
          <t>PRIVACY</t>
        </is>
      </c>
      <c r="M22" s="4" t="n"/>
      <c r="N22" s="4" t="n"/>
      <c r="O22" s="4" t="n"/>
      <c r="P22" s="4" t="n"/>
      <c r="Q22" s="4" t="n"/>
      <c r="R22" s="4" t="n"/>
      <c r="S22" s="4" t="n"/>
      <c r="T22" s="4" t="n"/>
      <c r="U22" s="4" t="n"/>
      <c r="V22" s="4" t="n"/>
      <c r="W22" s="4" t="n"/>
    </row>
    <row r="23">
      <c r="A23" s="5" t="inlineStr">
        <is>
          <t>GCP-022</t>
        </is>
      </c>
      <c r="B23" s="5" t="inlineStr">
        <is>
          <t>WAF</t>
        </is>
      </c>
      <c r="C23" s="4" t="inlineStr">
        <is>
          <t>セキュリティ、プライバシー、コンプライアンス / Security, privacy, and compliance</t>
        </is>
      </c>
      <c r="D23" s="9" t="inlineStr">
        <is>
          <t>High</t>
        </is>
      </c>
      <c r="E23" s="4" t="inlineStr">
        <is>
          <t>Shared VPC / VPC Service Controls によるネットワークセグメンテーションが設計されている</t>
        </is>
      </c>
      <c r="F23" s="4" t="inlineStr">
        <is>
          <t>環境・機密度に応じた VPC 分割が設計され、機密データを扱うマネージドサービスの周囲に VPC Service Controls のサービス境界が設定されている</t>
        </is>
      </c>
      <c r="G23" s="4" t="inlineStr">
        <is>
          <t>セグメンテーションがないと、一箇所の侵害が全システム・全データへの侵害に拡大する。</t>
        </is>
      </c>
      <c r="H23" s="4" t="inlineStr">
        <is>
          <t>Google Cloud Well-Architected Framework &gt; セキュリティ &gt; Implement zero trust &gt; Secure your network</t>
        </is>
      </c>
      <c r="I23" s="4" t="inlineStr">
        <is>
          <t>GCP-DELTA</t>
        </is>
      </c>
      <c r="J23" s="4" t="inlineStr">
        <is>
          <t>Google Cloud採用時に、CLOUD-COMMONで未評価の固有差分へ適用。</t>
        </is>
      </c>
      <c r="K23" s="4" t="inlineStr">
        <is>
          <t>SRC-GCP-WAF</t>
        </is>
      </c>
      <c r="L23" s="4" t="inlineStr">
        <is>
          <t>PRIVACY</t>
        </is>
      </c>
      <c r="M23" s="4" t="n"/>
      <c r="N23" s="4" t="n"/>
      <c r="O23" s="4" t="n"/>
      <c r="P23" s="4" t="n"/>
      <c r="Q23" s="4" t="n"/>
      <c r="R23" s="4" t="n"/>
      <c r="S23" s="4" t="n"/>
      <c r="T23" s="4" t="n"/>
      <c r="U23" s="4" t="n"/>
      <c r="V23" s="4" t="n"/>
      <c r="W23" s="4" t="n"/>
    </row>
    <row r="24">
      <c r="A24" s="5" t="inlineStr">
        <is>
          <t>GCP-023</t>
        </is>
      </c>
      <c r="B24" s="5" t="inlineStr">
        <is>
          <t>WAF</t>
        </is>
      </c>
      <c r="C24" s="4" t="inlineStr">
        <is>
          <t>セキュリティ、プライバシー、コンプライアンス / Security, privacy, and compliance</t>
        </is>
      </c>
      <c r="D24" s="9" t="inlineStr">
        <is>
          <t>High</t>
        </is>
      </c>
      <c r="E24" s="4" t="inlineStr">
        <is>
          <t>Google Cloud Armor による境界防御(DDoS/WAF)が構成されている</t>
        </is>
      </c>
      <c r="F24" s="4" t="inlineStr">
        <is>
          <t>インターネット公開エンドポイントに Cloud Armor のセキュリティポリシー(DDoS 対策・WAF ルール)が適用されている</t>
        </is>
      </c>
      <c r="G24" s="4" t="inlineStr">
        <is>
          <t>境界防御がないと DDoS や Web 攻撃による停止・侵害を防げない。</t>
        </is>
      </c>
      <c r="H24" s="4" t="inlineStr">
        <is>
          <t>Google Cloud Well-Architected Framework &gt; セキュリティ &gt; Implement zero trust &gt; Secure your network</t>
        </is>
      </c>
      <c r="I24" s="4" t="inlineStr">
        <is>
          <t>GCP-DELTA</t>
        </is>
      </c>
      <c r="J24" s="4" t="inlineStr">
        <is>
          <t>Google Cloud採用時に、CLOUD-COMMONで未評価の固有差分へ適用。</t>
        </is>
      </c>
      <c r="K24" s="4" t="inlineStr">
        <is>
          <t>SRC-GCP-WAF</t>
        </is>
      </c>
      <c r="L24" s="4" t="inlineStr">
        <is>
          <t>PRIVACY</t>
        </is>
      </c>
      <c r="M24" s="4" t="n"/>
      <c r="N24" s="4" t="n"/>
      <c r="O24" s="4" t="n"/>
      <c r="P24" s="4" t="n"/>
      <c r="Q24" s="4" t="n"/>
      <c r="R24" s="4" t="n"/>
      <c r="S24" s="4" t="n"/>
      <c r="T24" s="4" t="n"/>
      <c r="U24" s="4" t="n"/>
      <c r="V24" s="4" t="n"/>
      <c r="W24" s="4" t="n"/>
    </row>
    <row r="25">
      <c r="A25" s="5" t="inlineStr">
        <is>
          <t>GCP-024</t>
        </is>
      </c>
      <c r="B25" s="5" t="inlineStr">
        <is>
          <t>WAF</t>
        </is>
      </c>
      <c r="C25" s="4" t="inlineStr">
        <is>
          <t>セキュリティ、プライバシー、コンプライアンス / Security, privacy, and compliance</t>
        </is>
      </c>
      <c r="D25" s="8" t="inlineStr">
        <is>
          <t>Critical</t>
        </is>
      </c>
      <c r="E25" s="4" t="inlineStr">
        <is>
          <t>Cloud Identity による統合 ID 管理と MFA(Titan セキュリティキー等)が強制されている</t>
        </is>
      </c>
      <c r="F25" s="4" t="inlineStr">
        <is>
          <t>全ユーザーが統合 ID 基盤(Cloud Identity / SSO 連携)で管理され、特権ユーザーを含め MFA が強制されている</t>
        </is>
      </c>
      <c r="G25" s="4" t="inlineStr">
        <is>
          <t>MFA なしの ID はフィッシング一撃で乗っ取られ、環境全体の侵害につながる。</t>
        </is>
      </c>
      <c r="H25" s="4" t="inlineStr">
        <is>
          <t>Google Cloud Well-Architected Framework &gt; セキュリティ &gt; Implement zero trust &gt; Verify every access attempt explicitly</t>
        </is>
      </c>
      <c r="I25" s="4" t="inlineStr">
        <is>
          <t>GCP-DELTA</t>
        </is>
      </c>
      <c r="J25" s="4" t="inlineStr">
        <is>
          <t>Google Cloud採用時に、CLOUD-COMMONで未評価の固有差分へ適用。</t>
        </is>
      </c>
      <c r="K25" s="4" t="inlineStr">
        <is>
          <t>SRC-GCP-WAF</t>
        </is>
      </c>
      <c r="L25" s="4" t="inlineStr">
        <is>
          <t>PRIVACY</t>
        </is>
      </c>
      <c r="M25" s="4" t="n"/>
      <c r="N25" s="4" t="n"/>
      <c r="O25" s="4" t="n"/>
      <c r="P25" s="4" t="n"/>
      <c r="Q25" s="4" t="n"/>
      <c r="R25" s="4" t="n"/>
      <c r="S25" s="4" t="n"/>
      <c r="T25" s="4" t="n"/>
      <c r="U25" s="4" t="n"/>
      <c r="V25" s="4" t="n"/>
      <c r="W25" s="4" t="n"/>
    </row>
    <row r="26">
      <c r="A26" s="5" t="inlineStr">
        <is>
          <t>GCP-025</t>
        </is>
      </c>
      <c r="B26" s="5" t="inlineStr">
        <is>
          <t>WAF</t>
        </is>
      </c>
      <c r="C26" s="4" t="inlineStr">
        <is>
          <t>セキュリティ、プライバシー、コンプライアンス / Security, privacy, and compliance</t>
        </is>
      </c>
      <c r="D26" s="8" t="inlineStr">
        <is>
          <t>Critical</t>
        </is>
      </c>
      <c r="E26" s="4" t="inlineStr">
        <is>
          <t>サービスアカウントが最小権限で構成され、Workload Identity Federation でキーレス化されている</t>
        </is>
      </c>
      <c r="F26" s="4" t="inlineStr">
        <is>
          <t>サービスアカウントに Editor 等の広範なロールが付与されておらず、外部ワークロードからのアクセスはサービスアカウントキーではなく Workload Identity Federation を使用している</t>
        </is>
      </c>
      <c r="G26" s="4" t="inlineStr">
        <is>
          <t>過剰権限のサービスアカウントや長期キーの漏えいは、環境全体の侵害・データ流出に直結する。</t>
        </is>
      </c>
      <c r="H26" s="4" t="inlineStr">
        <is>
          <t>Google Cloud Well-Architected Framework &gt; セキュリティ &gt; Implement zero trust &gt; Verify every access attempt explicitly</t>
        </is>
      </c>
      <c r="I26" s="4" t="inlineStr">
        <is>
          <t>GCP-DELTA</t>
        </is>
      </c>
      <c r="J26" s="4" t="inlineStr">
        <is>
          <t>Google Cloud採用時に、CLOUD-COMMONで未評価の固有差分へ適用。</t>
        </is>
      </c>
      <c r="K26" s="4" t="inlineStr">
        <is>
          <t>SRC-GCP-WAF</t>
        </is>
      </c>
      <c r="L26" s="4" t="inlineStr">
        <is>
          <t>SEC-IAM;PRIVACY</t>
        </is>
      </c>
      <c r="M26" s="4" t="n"/>
      <c r="N26" s="4" t="n"/>
      <c r="O26" s="4" t="n"/>
      <c r="P26" s="4" t="n"/>
      <c r="Q26" s="4" t="n"/>
      <c r="R26" s="4" t="n"/>
      <c r="S26" s="4" t="n"/>
      <c r="T26" s="4" t="n"/>
      <c r="U26" s="4" t="n"/>
      <c r="V26" s="4" t="n"/>
      <c r="W26" s="4" t="n"/>
    </row>
    <row r="27">
      <c r="A27" s="5" t="inlineStr">
        <is>
          <t>GCP-026</t>
        </is>
      </c>
      <c r="B27" s="5" t="inlineStr">
        <is>
          <t>WAF</t>
        </is>
      </c>
      <c r="C27" s="4" t="inlineStr">
        <is>
          <t>セキュリティ、プライバシー、コンプライアンス / Security, privacy, and compliance</t>
        </is>
      </c>
      <c r="D27" s="9" t="inlineStr">
        <is>
          <t>High</t>
        </is>
      </c>
      <c r="E27" s="4" t="inlineStr">
        <is>
          <t>Cloud Logging への集中ログ収集と Security Command Center / Google SecOps による監視が行われている</t>
        </is>
      </c>
      <c r="F27" s="4" t="inlineStr">
        <is>
          <t>監査ログ・ネットワークログが集中管理され、Security Command Center 等で脅威検出・脆弱性検出が有効になっている</t>
        </is>
      </c>
      <c r="G27" s="4" t="inlineStr">
        <is>
          <t>集中監視がないと侵害の検知が遅れ、被害の拡大と証跡の喪失を招く。</t>
        </is>
      </c>
      <c r="H27" s="4" t="inlineStr">
        <is>
          <t>Google Cloud Well-Architected Framework &gt; セキュリティ &gt; Implement zero trust &gt; Monitor and maintain your network</t>
        </is>
      </c>
      <c r="I27" s="4" t="inlineStr">
        <is>
          <t>GCP-DELTA</t>
        </is>
      </c>
      <c r="J27" s="4" t="inlineStr">
        <is>
          <t>Google Cloud採用時に、CLOUD-COMMONで未評価の固有差分へ適用。</t>
        </is>
      </c>
      <c r="K27" s="4" t="inlineStr">
        <is>
          <t>SRC-GCP-AIML</t>
        </is>
      </c>
      <c r="L27" s="4" t="inlineStr">
        <is>
          <t>OPS-OBSERVABILITY;PRIVACY</t>
        </is>
      </c>
      <c r="M27" s="4" t="n"/>
      <c r="N27" s="4" t="n"/>
      <c r="O27" s="4" t="n"/>
      <c r="P27" s="4" t="n"/>
      <c r="Q27" s="4" t="n"/>
      <c r="R27" s="4" t="n"/>
      <c r="S27" s="4" t="n"/>
      <c r="T27" s="4" t="n"/>
      <c r="U27" s="4" t="n"/>
      <c r="V27" s="4" t="n"/>
      <c r="W27" s="4" t="n"/>
    </row>
    <row r="28">
      <c r="A28" s="5" t="inlineStr">
        <is>
          <t>GCP-027</t>
        </is>
      </c>
      <c r="B28" s="5" t="inlineStr">
        <is>
          <t>WAF</t>
        </is>
      </c>
      <c r="C28" s="4" t="inlineStr">
        <is>
          <t>セキュリティ、プライバシー、コンプライアンス / Security, privacy, and compliance</t>
        </is>
      </c>
      <c r="D28" s="10" t="inlineStr">
        <is>
          <t>Medium</t>
        </is>
      </c>
      <c r="E28" s="4" t="inlineStr">
        <is>
          <t>Cloud IDS / Cloud NGFW による侵入検知・防御が検討されている</t>
        </is>
      </c>
      <c r="F28" s="4" t="inlineStr">
        <is>
          <t>ネットワーク侵入検知(Cloud IDS または Cloud NGFW の IPS 機能)の要否が判断され、必要な場合に構成されている</t>
        </is>
      </c>
      <c r="G28" s="4" t="inlineStr">
        <is>
          <t>侵入検知がないと、境界を越えた攻撃者のネットワーク内活動に気づけない。</t>
        </is>
      </c>
      <c r="H28" s="4" t="inlineStr">
        <is>
          <t>Google Cloud Well-Architected Framework &gt; セキュリティ &gt; Implement zero trust &gt; Monitor and maintain your network</t>
        </is>
      </c>
      <c r="I28" s="4" t="inlineStr">
        <is>
          <t>GCP-DELTA</t>
        </is>
      </c>
      <c r="J28" s="4" t="inlineStr">
        <is>
          <t>Google Cloud採用時に、CLOUD-COMMONで未評価の固有差分へ適用。</t>
        </is>
      </c>
      <c r="K28" s="4" t="inlineStr">
        <is>
          <t>SRC-GCP-AIML</t>
        </is>
      </c>
      <c r="L28" s="4" t="inlineStr">
        <is>
          <t>PRIVACY</t>
        </is>
      </c>
      <c r="M28" s="4" t="n"/>
      <c r="N28" s="4" t="n"/>
      <c r="O28" s="4" t="n"/>
      <c r="P28" s="4" t="n"/>
      <c r="Q28" s="4" t="n"/>
      <c r="R28" s="4" t="n"/>
      <c r="S28" s="4" t="n"/>
      <c r="T28" s="4" t="n"/>
      <c r="U28" s="4" t="n"/>
      <c r="V28" s="4" t="n"/>
      <c r="W28" s="4" t="n"/>
    </row>
    <row r="29">
      <c r="A29" s="5" t="inlineStr">
        <is>
          <t>GCP-028</t>
        </is>
      </c>
      <c r="B29" s="5" t="inlineStr">
        <is>
          <t>WAF</t>
        </is>
      </c>
      <c r="C29" s="4" t="inlineStr">
        <is>
          <t>セキュリティ、プライバシー、コンプライアンス / Security, privacy, and compliance</t>
        </is>
      </c>
      <c r="D29" s="9" t="inlineStr">
        <is>
          <t>High</t>
        </is>
      </c>
      <c r="E29" s="4" t="inlineStr">
        <is>
          <t>予防的セキュリティコントロール(Organization Policy Service・Privileged Access Manager 等)が導入されている</t>
        </is>
      </c>
      <c r="F29" s="4" t="inlineStr">
        <is>
          <t>事後検出だけでなく、組織ポリシー・IAM・Privileged Access Manager・principal access boundary 等による事前予防の統制が設計されている</t>
        </is>
      </c>
      <c r="G29" s="4" t="inlineStr">
        <is>
          <t>予防統制がないと、設定ミスや過剰権限が本番到達後に発見され、手戻りと侵害リスクが増える。</t>
        </is>
      </c>
      <c r="H29" s="4" t="inlineStr">
        <is>
          <t>Google Cloud Well-Architected Framework &gt; セキュリティ &gt; Implement shift-left security &gt; Adopt preventive security controls</t>
        </is>
      </c>
      <c r="I29" s="4" t="inlineStr">
        <is>
          <t>GCP-DELTA</t>
        </is>
      </c>
      <c r="J29" s="4" t="inlineStr">
        <is>
          <t>Google Cloud採用時に、CLOUD-COMMONで未評価の固有差分へ適用。</t>
        </is>
      </c>
      <c r="K29" s="4" t="inlineStr">
        <is>
          <t>SRC-GCP-WAF</t>
        </is>
      </c>
      <c r="L29" s="4" t="inlineStr">
        <is>
          <t>PRIVACY</t>
        </is>
      </c>
      <c r="M29" s="4" t="n"/>
      <c r="N29" s="4" t="n"/>
      <c r="O29" s="4" t="n"/>
      <c r="P29" s="4" t="n"/>
      <c r="Q29" s="4" t="n"/>
      <c r="R29" s="4" t="n"/>
      <c r="S29" s="4" t="n"/>
      <c r="T29" s="4" t="n"/>
      <c r="U29" s="4" t="n"/>
      <c r="V29" s="4" t="n"/>
      <c r="W29" s="4" t="n"/>
    </row>
    <row r="30">
      <c r="A30" s="5" t="inlineStr">
        <is>
          <t>GCP-029</t>
        </is>
      </c>
      <c r="B30" s="5" t="inlineStr">
        <is>
          <t>WAF</t>
        </is>
      </c>
      <c r="C30" s="4" t="inlineStr">
        <is>
          <t>セキュリティ、プライバシー、コンプライアンス / Security, privacy, and compliance</t>
        </is>
      </c>
      <c r="D30" s="9" t="inlineStr">
        <is>
          <t>High</t>
        </is>
      </c>
      <c r="E30" s="4" t="inlineStr">
        <is>
          <t>Binary Authorization で承認済みイメージのみがデプロイされる</t>
        </is>
      </c>
      <c r="F30" s="4" t="inlineStr">
        <is>
          <t>GKE / Cloud Run へのデプロイに Binary Authorization ポリシーが適用され、署名・検証済みイメージ以外のデプロイが拒否される</t>
        </is>
      </c>
      <c r="G30" s="4" t="inlineStr">
        <is>
          <t>デプロイ統制がないと、検証されていない・改ざんされたイメージが本番で稼働するリスクがある。</t>
        </is>
      </c>
      <c r="H30" s="4" t="inlineStr">
        <is>
          <t>Google Cloud Well-Architected Framework &gt; セキュリティ &gt; Implement shift-left security &gt; Ensure that application deployments follow approved processes</t>
        </is>
      </c>
      <c r="I30" s="4" t="inlineStr">
        <is>
          <t>GCP-DELTA</t>
        </is>
      </c>
      <c r="J30" s="4" t="inlineStr">
        <is>
          <t>Google Cloud採用時に、CLOUD-COMMONで未評価の固有差分へ適用。</t>
        </is>
      </c>
      <c r="K30" s="4" t="inlineStr">
        <is>
          <t>SRC-GCP-WAF</t>
        </is>
      </c>
      <c r="L30" s="4" t="inlineStr">
        <is>
          <t>PRIVACY</t>
        </is>
      </c>
      <c r="M30" s="4" t="n"/>
      <c r="N30" s="4" t="n"/>
      <c r="O30" s="4" t="n"/>
      <c r="P30" s="4" t="n"/>
      <c r="Q30" s="4" t="n"/>
      <c r="R30" s="4" t="n"/>
      <c r="S30" s="4" t="n"/>
      <c r="T30" s="4" t="n"/>
      <c r="U30" s="4" t="n"/>
      <c r="V30" s="4" t="n"/>
      <c r="W30" s="4" t="n"/>
    </row>
    <row r="31">
      <c r="A31" s="5" t="inlineStr">
        <is>
          <t>GCP-030</t>
        </is>
      </c>
      <c r="B31" s="5" t="inlineStr">
        <is>
          <t>WAF</t>
        </is>
      </c>
      <c r="C31" s="4" t="inlineStr">
        <is>
          <t>セキュリティ、プライバシー、コンプライアンス / Security, privacy, and compliance</t>
        </is>
      </c>
      <c r="D31" s="9" t="inlineStr">
        <is>
          <t>High</t>
        </is>
      </c>
      <c r="E31" s="4" t="inlineStr">
        <is>
          <t>Artifact Registry + Artifact Analysis でデプロイ前の脆弱性スキャンが行われている</t>
        </is>
      </c>
      <c r="F31" s="4" t="inlineStr">
        <is>
          <t>コンテナイメージが Artifact Registry で管理され、Artifact Analysis による脆弱性スキャンが CI/CD に組み込まれている</t>
        </is>
      </c>
      <c r="G31" s="4" t="inlineStr">
        <is>
          <t>デプロイ前スキャンがないと、既知の脆弱性を含むイメージが本番に到達する。</t>
        </is>
      </c>
      <c r="H31" s="4" t="inlineStr">
        <is>
          <t>Google Cloud Well-Architected Framework &gt; セキュリティ &gt; Implement shift-left security &gt; Scan for known vulnerabilities before application deployment</t>
        </is>
      </c>
      <c r="I31" s="4" t="inlineStr">
        <is>
          <t>GCP-DELTA</t>
        </is>
      </c>
      <c r="J31" s="4" t="inlineStr">
        <is>
          <t>Google Cloud採用時に、CLOUD-COMMONで未評価の固有差分へ適用。</t>
        </is>
      </c>
      <c r="K31" s="4" t="inlineStr">
        <is>
          <t>SRC-GCP-WAF</t>
        </is>
      </c>
      <c r="L31" s="4" t="inlineStr">
        <is>
          <t>SEC-SUPPLY-CHAIN;PRIVACY</t>
        </is>
      </c>
      <c r="M31" s="4" t="n"/>
      <c r="N31" s="4" t="n"/>
      <c r="O31" s="4" t="n"/>
      <c r="P31" s="4" t="n"/>
      <c r="Q31" s="4" t="n"/>
      <c r="R31" s="4" t="n"/>
      <c r="S31" s="4" t="n"/>
      <c r="T31" s="4" t="n"/>
      <c r="U31" s="4" t="n"/>
      <c r="V31" s="4" t="n"/>
      <c r="W31" s="4" t="n"/>
    </row>
    <row r="32">
      <c r="A32" s="5" t="inlineStr">
        <is>
          <t>GCP-031</t>
        </is>
      </c>
      <c r="B32" s="5" t="inlineStr">
        <is>
          <t>WAF</t>
        </is>
      </c>
      <c r="C32" s="4" t="inlineStr">
        <is>
          <t>セキュリティ、プライバシー、コンプライアンス / Security, privacy, and compliance</t>
        </is>
      </c>
      <c r="D32" s="10" t="inlineStr">
        <is>
          <t>Medium</t>
        </is>
      </c>
      <c r="E32" s="4" t="inlineStr">
        <is>
          <t>Web Security Scanner / Security Command Center で稼働中アプリの脆弱性が継続監視されている</t>
        </is>
      </c>
      <c r="F32" s="4" t="inlineStr">
        <is>
          <t>デプロイ後も Web Security Scanner 等で既知脆弱性の継続的な検出が行われ、検出時の対応プロセスが定義されている</t>
        </is>
      </c>
      <c r="G32" s="4" t="inlineStr">
        <is>
          <t>デプロイ後の監視がないと、新たに公開された脆弱性への対応が遅れる。</t>
        </is>
      </c>
      <c r="H32" s="4" t="inlineStr">
        <is>
          <t>Google Cloud Well-Architected Framework &gt; セキュリティ &gt; Implement shift-left security &gt; Monitor your application code for known vulnerabilities</t>
        </is>
      </c>
      <c r="I32" s="4" t="inlineStr">
        <is>
          <t>GCP-DELTA</t>
        </is>
      </c>
      <c r="J32" s="4" t="inlineStr">
        <is>
          <t>Google Cloud採用時に、CLOUD-COMMONで未評価の固有差分へ適用。</t>
        </is>
      </c>
      <c r="K32" s="4" t="inlineStr">
        <is>
          <t>SRC-GCP-WAF</t>
        </is>
      </c>
      <c r="L32" s="4" t="inlineStr">
        <is>
          <t>OPS-OBSERVABILITY;SEC-SUPPLY-CHAIN;PRIVACY</t>
        </is>
      </c>
      <c r="M32" s="4" t="n"/>
      <c r="N32" s="4" t="n"/>
      <c r="O32" s="4" t="n"/>
      <c r="P32" s="4" t="n"/>
      <c r="Q32" s="4" t="n"/>
      <c r="R32" s="4" t="n"/>
      <c r="S32" s="4" t="n"/>
      <c r="T32" s="4" t="n"/>
      <c r="U32" s="4" t="n"/>
      <c r="V32" s="4" t="n"/>
      <c r="W32" s="4" t="n"/>
    </row>
    <row r="33">
      <c r="A33" s="5" t="inlineStr">
        <is>
          <t>GCP-032</t>
        </is>
      </c>
      <c r="B33" s="5" t="inlineStr">
        <is>
          <t>WAF</t>
        </is>
      </c>
      <c r="C33" s="4" t="inlineStr">
        <is>
          <t>セキュリティ、プライバシー、コンプライアンス / Security, privacy, and compliance</t>
        </is>
      </c>
      <c r="D33" s="10" t="inlineStr">
        <is>
          <t>Medium</t>
        </is>
      </c>
      <c r="E33" s="4" t="inlineStr">
        <is>
          <t>Google SecOps / Security Command Center Enterprise で脅威インテリジェンスを活用した防御が行われている</t>
        </is>
      </c>
      <c r="F33" s="4" t="inlineStr">
        <is>
          <t>脅威インテリジェンス(Mandiant 等)を統合した検知・対応基盤の採用可否が検討され、検知から対応までの機能が統合されている</t>
        </is>
      </c>
      <c r="G33" s="4" t="inlineStr">
        <is>
          <t>脅威インテリジェンスなしでは、新種の攻撃手法への検知・対応が後手に回る。</t>
        </is>
      </c>
      <c r="H33" s="4" t="inlineStr">
        <is>
          <t>Google Cloud Well-Architected Framework &gt; セキュリティ &gt; Implement preemptive cyber defense &gt; Integrate the functions of cyber defense / Use intelligence function in all aspects</t>
        </is>
      </c>
      <c r="I33" s="4" t="inlineStr">
        <is>
          <t>GCP-DELTA</t>
        </is>
      </c>
      <c r="J33" s="4" t="inlineStr">
        <is>
          <t>Google Cloud採用時に、CLOUD-COMMONで未評価の固有差分へ適用。</t>
        </is>
      </c>
      <c r="K33" s="4" t="inlineStr">
        <is>
          <t>SRC-GCP-WAF</t>
        </is>
      </c>
      <c r="L33" s="4" t="inlineStr">
        <is>
          <t>PRIVACY</t>
        </is>
      </c>
      <c r="M33" s="4" t="n"/>
      <c r="N33" s="4" t="n"/>
      <c r="O33" s="4" t="n"/>
      <c r="P33" s="4" t="n"/>
      <c r="Q33" s="4" t="n"/>
      <c r="R33" s="4" t="n"/>
      <c r="S33" s="4" t="n"/>
      <c r="T33" s="4" t="n"/>
      <c r="U33" s="4" t="n"/>
      <c r="V33" s="4" t="n"/>
      <c r="W33" s="4" t="n"/>
    </row>
    <row r="34">
      <c r="A34" s="5" t="inlineStr">
        <is>
          <t>GCP-033</t>
        </is>
      </c>
      <c r="B34" s="5" t="inlineStr">
        <is>
          <t>WAF</t>
        </is>
      </c>
      <c r="C34" s="4" t="inlineStr">
        <is>
          <t>セキュリティ、プライバシー、コンプライアンス / Security, privacy, and compliance</t>
        </is>
      </c>
      <c r="D34" s="9" t="inlineStr">
        <is>
          <t>High</t>
        </is>
      </c>
      <c r="E34" s="4" t="inlineStr">
        <is>
          <t>Assured Workloads とリソースロケーション制約でデータレジデンシーが担保されている</t>
        </is>
      </c>
      <c r="F34" s="4" t="inlineStr">
        <is>
          <t>規制対象ワークロードで Assured Workloads の要否が判断され、データ保存先リージョンが要件どおり制約されている</t>
        </is>
      </c>
      <c r="G34" s="4" t="inlineStr">
        <is>
          <t>データ所在地の統制がないと、域外保存による法令違反・契約違反が発生する。</t>
        </is>
      </c>
      <c r="H34" s="4" t="inlineStr">
        <is>
          <t>Google Cloud Well-Architected Framework &gt; セキュリティ &gt; Meet regulatory, compliance, and privacy needs &gt; Control data residency</t>
        </is>
      </c>
      <c r="I34" s="4" t="inlineStr">
        <is>
          <t>GCP-DELTA</t>
        </is>
      </c>
      <c r="J34" s="4" t="inlineStr">
        <is>
          <t>Google Cloud採用時に、CLOUD-COMMONで未評価の固有差分へ適用。</t>
        </is>
      </c>
      <c r="K34" s="4" t="inlineStr">
        <is>
          <t>SRC-GCP-WAF</t>
        </is>
      </c>
      <c r="L34" s="4" t="inlineStr">
        <is>
          <t>PRIVACY</t>
        </is>
      </c>
      <c r="M34" s="4" t="n"/>
      <c r="N34" s="4" t="n"/>
      <c r="O34" s="4" t="n"/>
      <c r="P34" s="4" t="n"/>
      <c r="Q34" s="4" t="n"/>
      <c r="R34" s="4" t="n"/>
      <c r="S34" s="4" t="n"/>
      <c r="T34" s="4" t="n"/>
      <c r="U34" s="4" t="n"/>
      <c r="V34" s="4" t="n"/>
      <c r="W34" s="4" t="n"/>
    </row>
    <row r="35">
      <c r="A35" s="5" t="inlineStr">
        <is>
          <t>GCP-034</t>
        </is>
      </c>
      <c r="B35" s="5" t="inlineStr">
        <is>
          <t>WAF</t>
        </is>
      </c>
      <c r="C35" s="4" t="inlineStr">
        <is>
          <t>セキュリティ、プライバシー、コンプライアンス / Security, privacy, and compliance</t>
        </is>
      </c>
      <c r="D35" s="9" t="inlineStr">
        <is>
          <t>High</t>
        </is>
      </c>
      <c r="E35" s="4" t="inlineStr">
        <is>
          <t>Sensitive Data Protection で機密データが分類・保護されている</t>
        </is>
      </c>
      <c r="F35" s="4" t="inlineStr">
        <is>
          <t>PII 等の機密データが Sensitive Data Protection で検出・分類され、必要に応じてマスキング/トークナイズされている</t>
        </is>
      </c>
      <c r="G35" s="4" t="inlineStr">
        <is>
          <t>機密データの所在が不明だと、漏えい時の影響評価も適切なアクセス制御もできない。</t>
        </is>
      </c>
      <c r="H35" s="4" t="inlineStr">
        <is>
          <t>Google Cloud Well-Architected Framework &gt; セキュリティ &gt; Meet regulatory, compliance, and privacy needs &gt; Classify your confidential data</t>
        </is>
      </c>
      <c r="I35" s="4" t="inlineStr">
        <is>
          <t>GCP-DELTA</t>
        </is>
      </c>
      <c r="J35" s="4" t="inlineStr">
        <is>
          <t>Google Cloud採用時に、CLOUD-COMMONで未評価の固有差分へ適用。</t>
        </is>
      </c>
      <c r="K35" s="4" t="inlineStr">
        <is>
          <t>SRC-GCP-WAF</t>
        </is>
      </c>
      <c r="L35" s="4" t="inlineStr">
        <is>
          <t>PRIVACY</t>
        </is>
      </c>
      <c r="M35" s="4" t="n"/>
      <c r="N35" s="4" t="n"/>
      <c r="O35" s="4" t="n"/>
      <c r="P35" s="4" t="n"/>
      <c r="Q35" s="4" t="n"/>
      <c r="R35" s="4" t="n"/>
      <c r="S35" s="4" t="n"/>
      <c r="T35" s="4" t="n"/>
      <c r="U35" s="4" t="n"/>
      <c r="V35" s="4" t="n"/>
      <c r="W35" s="4" t="n"/>
    </row>
    <row r="36">
      <c r="A36" s="5" t="inlineStr">
        <is>
          <t>GCP-035</t>
        </is>
      </c>
      <c r="B36" s="5" t="inlineStr">
        <is>
          <t>WAF</t>
        </is>
      </c>
      <c r="C36" s="4" t="inlineStr">
        <is>
          <t>セキュリティ、プライバシー、コンプライアンス / Security, privacy, and compliance</t>
        </is>
      </c>
      <c r="D36" s="9" t="inlineStr">
        <is>
          <t>High</t>
        </is>
      </c>
      <c r="E36" s="4" t="inlineStr">
        <is>
          <t>機密データへのアクセスが VPC Service Controls・IAM で限定されている</t>
        </is>
      </c>
      <c r="F36" s="4" t="inlineStr">
        <is>
          <t>機密データストアへのアクセスがサービス境界と最小権限 IAM で制限され、アクセス経路が文書化されている</t>
        </is>
      </c>
      <c r="G36" s="4" t="inlineStr">
        <is>
          <t>アクセス制限が緩いと、内部不正・認証情報漏えい時に大規模なデータ流出を招く。</t>
        </is>
      </c>
      <c r="H36" s="4" t="inlineStr">
        <is>
          <t>Google Cloud Well-Architected Framework &gt; セキュリティ &gt; Meet regulatory, compliance, and privacy needs &gt; Lock down access to sensitive data</t>
        </is>
      </c>
      <c r="I36" s="4" t="inlineStr">
        <is>
          <t>GCP-DELTA</t>
        </is>
      </c>
      <c r="J36" s="4" t="inlineStr">
        <is>
          <t>Google Cloud採用時に、CLOUD-COMMONで未評価の固有差分へ適用。</t>
        </is>
      </c>
      <c r="K36" s="4" t="inlineStr">
        <is>
          <t>SRC-GCP-WAF</t>
        </is>
      </c>
      <c r="L36" s="4" t="inlineStr">
        <is>
          <t>SEC-IAM;PRIVACY</t>
        </is>
      </c>
      <c r="M36" s="4" t="n"/>
      <c r="N36" s="4" t="n"/>
      <c r="O36" s="4" t="n"/>
      <c r="P36" s="4" t="n"/>
      <c r="Q36" s="4" t="n"/>
      <c r="R36" s="4" t="n"/>
      <c r="S36" s="4" t="n"/>
      <c r="T36" s="4" t="n"/>
      <c r="U36" s="4" t="n"/>
      <c r="V36" s="4" t="n"/>
      <c r="W36" s="4" t="n"/>
    </row>
    <row r="37">
      <c r="A37" s="5" t="inlineStr">
        <is>
          <t>GCP-036</t>
        </is>
      </c>
      <c r="B37" s="5" t="inlineStr">
        <is>
          <t>WAF</t>
        </is>
      </c>
      <c r="C37" s="4" t="inlineStr">
        <is>
          <t>セキュリティ、プライバシー、コンプライアンス / Security, privacy, and compliance</t>
        </is>
      </c>
      <c r="D37" s="10" t="inlineStr">
        <is>
          <t>Medium</t>
        </is>
      </c>
      <c r="E37" s="4" t="inlineStr">
        <is>
          <t>Security Command Center Premium 等でコンプライアンス準拠状況が継続監視されている</t>
        </is>
      </c>
      <c r="F37" s="4" t="inlineStr">
        <is>
          <t>対象の規格・基準(CIS 等)に対する準拠状況が Security Command Center 等で継続的に評価され、逸脱時の対応プロセスがある</t>
        </is>
      </c>
      <c r="G37" s="4" t="inlineStr">
        <is>
          <t>準拠状況を監視しないと、構成変更による逸脱に気づかず監査指摘・法令違反に至る。</t>
        </is>
      </c>
      <c r="H37" s="4" t="inlineStr">
        <is>
          <t>Google Cloud Well-Architected Framework &gt; セキュリティ &gt; Meet regulatory, compliance, and privacy needs &gt; Monitor your compliance</t>
        </is>
      </c>
      <c r="I37" s="4" t="inlineStr">
        <is>
          <t>GCP-DELTA</t>
        </is>
      </c>
      <c r="J37" s="4" t="inlineStr">
        <is>
          <t>Google Cloud採用時に、CLOUD-COMMONで未評価の固有差分へ適用。</t>
        </is>
      </c>
      <c r="K37" s="4" t="inlineStr">
        <is>
          <t>SRC-GCP-WAF</t>
        </is>
      </c>
      <c r="L37" s="4" t="inlineStr">
        <is>
          <t>OPS-OBSERVABILITY;PRIVACY</t>
        </is>
      </c>
      <c r="M37" s="4" t="n"/>
      <c r="N37" s="4" t="n"/>
      <c r="O37" s="4" t="n"/>
      <c r="P37" s="4" t="n"/>
      <c r="Q37" s="4" t="n"/>
      <c r="R37" s="4" t="n"/>
      <c r="S37" s="4" t="n"/>
      <c r="T37" s="4" t="n"/>
      <c r="U37" s="4" t="n"/>
      <c r="V37" s="4" t="n"/>
      <c r="W37" s="4" t="n"/>
    </row>
    <row r="38">
      <c r="A38" s="5" t="inlineStr">
        <is>
          <t>GCP-037</t>
        </is>
      </c>
      <c r="B38" s="5" t="inlineStr">
        <is>
          <t>WAF</t>
        </is>
      </c>
      <c r="C38" s="4" t="inlineStr">
        <is>
          <t>セキュリティ、プライバシー、コンプライアンス / Security, privacy, and compliance</t>
        </is>
      </c>
      <c r="D38" s="10" t="inlineStr">
        <is>
          <t>Medium</t>
        </is>
      </c>
      <c r="E38" s="4" t="inlineStr">
        <is>
          <t>Access Transparency / Key Access Justifications で事業者アクセスの透明性が確保されている</t>
        </is>
      </c>
      <c r="F38" s="4" t="inlineStr">
        <is>
          <t>主権要件のあるワークロードで、Google 管理者アクセスのログ(Access Transparency)や鍵アクセス理由(Key Access Justifications)の利用要否が検討されている</t>
        </is>
      </c>
      <c r="G38" s="4" t="inlineStr">
        <is>
          <t>事業者アクセスの可視性がないと、主権・監査要件を満たせない。</t>
        </is>
      </c>
      <c r="H38" s="4" t="inlineStr">
        <is>
          <t>Google Cloud Well-Architected Framework &gt; セキュリティ &gt; Meet regulatory, compliance, and privacy needs &gt; Manage your operational sovereignty</t>
        </is>
      </c>
      <c r="I38" s="4" t="inlineStr">
        <is>
          <t>GCP-DELTA</t>
        </is>
      </c>
      <c r="J38" s="4" t="inlineStr">
        <is>
          <t>Google Cloud採用時に、CLOUD-COMMONで未評価の固有差分へ適用。</t>
        </is>
      </c>
      <c r="K38" s="4" t="inlineStr">
        <is>
          <t>SRC-GCP-WAF</t>
        </is>
      </c>
      <c r="L38" s="4" t="inlineStr">
        <is>
          <t>PRIVACY</t>
        </is>
      </c>
      <c r="M38" s="4" t="n"/>
      <c r="N38" s="4" t="n"/>
      <c r="O38" s="4" t="n"/>
      <c r="P38" s="4" t="n"/>
      <c r="Q38" s="4" t="n"/>
      <c r="R38" s="4" t="n"/>
      <c r="S38" s="4" t="n"/>
      <c r="T38" s="4" t="n"/>
      <c r="U38" s="4" t="n"/>
      <c r="V38" s="4" t="n"/>
      <c r="W38" s="4" t="n"/>
    </row>
    <row r="39">
      <c r="A39" s="5" t="inlineStr">
        <is>
          <t>GCP-038</t>
        </is>
      </c>
      <c r="B39" s="5" t="inlineStr">
        <is>
          <t>WAF</t>
        </is>
      </c>
      <c r="C39" s="4" t="inlineStr">
        <is>
          <t>セキュリティ、プライバシー、コンプライアンス / Security, privacy, and compliance</t>
        </is>
      </c>
      <c r="D39" s="10" t="inlineStr">
        <is>
          <t>Medium</t>
        </is>
      </c>
      <c r="E39" s="4" t="inlineStr">
        <is>
          <t>AI ワークロードで SAIF に沿ったパイプライン保護が行われている</t>
        </is>
      </c>
      <c r="F39" s="4" t="inlineStr">
        <is>
          <t>AI/ML を利用する場合、学習データ・モデル・パイプラインのアクセス制御と改ざん対策(Vertex AI でのアセット追跡、Cloud Logging での記録)が設計されている</t>
        </is>
      </c>
      <c r="G39" s="4" t="inlineStr">
        <is>
          <t>AI パイプラインの保護がないと、データ汚染・モデル改ざんにより誤動作や情報漏えいが起きる。</t>
        </is>
      </c>
      <c r="H39" s="4" t="inlineStr">
        <is>
          <t>Google Cloud Well-Architected Framework &gt; セキュリティ &gt; Use AI securely and responsibly &gt; Keep AI pipelines secure and robust against tampering</t>
        </is>
      </c>
      <c r="I39" s="4" t="inlineStr">
        <is>
          <t>GCP-DELTA</t>
        </is>
      </c>
      <c r="J39" s="4" t="inlineStr">
        <is>
          <t>Google Cloud採用時に、CLOUD-COMMONで未評価の固有差分へ適用。</t>
        </is>
      </c>
      <c r="K39" s="4" t="inlineStr">
        <is>
          <t>SRC-GCP-AIML</t>
        </is>
      </c>
      <c r="L39" s="4" t="inlineStr">
        <is>
          <t>PRIVACY</t>
        </is>
      </c>
      <c r="M39" s="4" t="n"/>
      <c r="N39" s="4" t="n"/>
      <c r="O39" s="4" t="n"/>
      <c r="P39" s="4" t="n"/>
      <c r="Q39" s="4" t="n"/>
      <c r="R39" s="4" t="n"/>
      <c r="S39" s="4" t="n"/>
      <c r="T39" s="4" t="n"/>
      <c r="U39" s="4" t="n"/>
      <c r="V39" s="4" t="n"/>
      <c r="W39" s="4" t="n"/>
    </row>
    <row r="40">
      <c r="A40" s="5" t="inlineStr">
        <is>
          <t>GCP-039</t>
        </is>
      </c>
      <c r="B40" s="5" t="inlineStr">
        <is>
          <t>WAF</t>
        </is>
      </c>
      <c r="C40" s="4" t="inlineStr">
        <is>
          <t>信頼性 / Reliability</t>
        </is>
      </c>
      <c r="D40" s="8" t="inlineStr">
        <is>
          <t>Critical</t>
        </is>
      </c>
      <c r="E40" s="4" t="inlineStr">
        <is>
          <t>障害ドメインが特定され、リージョン MIG 等でゾーン/リージョン冗長が構成されている</t>
        </is>
      </c>
      <c r="F40" s="4" t="inlineStr">
        <is>
          <t>単一ゾーン障害で停止するコンポーネントが存在せず、可用性要件に応じてマルチゾーン(リージョン MIG 等)またはマルチリージョン構成が採用されている</t>
        </is>
      </c>
      <c r="G40" s="4" t="inlineStr">
        <is>
          <t>冗長化がないとゾーン/リージョン障害でサービス全停止・データ喪失に至る。</t>
        </is>
      </c>
      <c r="H40" s="4" t="inlineStr">
        <is>
          <t>Google Cloud Well-Architected Framework &gt; 信頼性 &gt; Build highly available systems through resource redundancy &gt; Identify failure domains and replicate services</t>
        </is>
      </c>
      <c r="I40" s="4" t="inlineStr">
        <is>
          <t>GCP-DELTA</t>
        </is>
      </c>
      <c r="J40" s="4" t="inlineStr">
        <is>
          <t>Google Cloud採用時に、CLOUD-COMMONで未評価の固有差分へ適用。</t>
        </is>
      </c>
      <c r="K40" s="4" t="inlineStr">
        <is>
          <t>SRC-GCP-AIML</t>
        </is>
      </c>
      <c r="L40" s="4" t="inlineStr">
        <is>
          <t>RELIABILITY-HA</t>
        </is>
      </c>
      <c r="M40" s="4" t="n"/>
      <c r="N40" s="4" t="n"/>
      <c r="O40" s="4" t="n"/>
      <c r="P40" s="4" t="n"/>
      <c r="Q40" s="4" t="n"/>
      <c r="R40" s="4" t="n"/>
      <c r="S40" s="4" t="n"/>
      <c r="T40" s="4" t="n"/>
      <c r="U40" s="4" t="n"/>
      <c r="V40" s="4" t="n"/>
      <c r="W40" s="4" t="n"/>
    </row>
    <row r="41">
      <c r="A41" s="5" t="inlineStr">
        <is>
          <t>GCP-040</t>
        </is>
      </c>
      <c r="B41" s="5" t="inlineStr">
        <is>
          <t>WAF</t>
        </is>
      </c>
      <c r="C41" s="4" t="inlineStr">
        <is>
          <t>信頼性 / Reliability</t>
        </is>
      </c>
      <c r="D41" s="9" t="inlineStr">
        <is>
          <t>High</t>
        </is>
      </c>
      <c r="E41" s="4" t="inlineStr">
        <is>
          <t>ヘルスチェック付きロードバランサと Personalized Service Health で障害が迅速に検知される</t>
        </is>
      </c>
      <c r="F41" s="4" t="inlineStr">
        <is>
          <t>ロードバランサのヘルスチェックが構成され、Google Cloud 側の障害を Personalized Service Health 等で検知する運用がある</t>
        </is>
      </c>
      <c r="G41" s="4" t="inlineStr">
        <is>
          <t>障害検知が遅れると、異常インスタンスへのトラフィック継続やプラットフォーム障害の見逃しが起きる。</t>
        </is>
      </c>
      <c r="H41" s="4" t="inlineStr">
        <is>
          <t>Google Cloud Well-Architected Framework &gt; 信頼性 &gt; Build highly available systems through resource redundancy &gt; Detect and address issues promptly</t>
        </is>
      </c>
      <c r="I41" s="4" t="inlineStr">
        <is>
          <t>GCP-DELTA</t>
        </is>
      </c>
      <c r="J41" s="4" t="inlineStr">
        <is>
          <t>Google Cloud採用時に、CLOUD-COMMONで未評価の固有差分へ適用。</t>
        </is>
      </c>
      <c r="K41" s="4" t="inlineStr">
        <is>
          <t>SRC-GCP-AIML</t>
        </is>
      </c>
      <c r="L41" s="4" t="inlineStr"/>
      <c r="M41" s="4" t="n"/>
      <c r="N41" s="4" t="n"/>
      <c r="O41" s="4" t="n"/>
      <c r="P41" s="4" t="n"/>
      <c r="Q41" s="4" t="n"/>
      <c r="R41" s="4" t="n"/>
      <c r="S41" s="4" t="n"/>
      <c r="T41" s="4" t="n"/>
      <c r="U41" s="4" t="n"/>
      <c r="V41" s="4" t="n"/>
      <c r="W41" s="4" t="n"/>
    </row>
    <row r="42">
      <c r="A42" s="5" t="inlineStr">
        <is>
          <t>GCP-041</t>
        </is>
      </c>
      <c r="B42" s="5" t="inlineStr">
        <is>
          <t>WAF</t>
        </is>
      </c>
      <c r="C42" s="4" t="inlineStr">
        <is>
          <t>信頼性 / Reliability</t>
        </is>
      </c>
      <c r="D42" s="9" t="inlineStr">
        <is>
          <t>High</t>
        </is>
      </c>
      <c r="E42" s="4" t="inlineStr">
        <is>
          <t>ゾーン障害を想定したフェイルオーバーテストが実施されている</t>
        </is>
      </c>
      <c r="F42" s="4" t="inlineStr">
        <is>
          <t>リージョン MIG や GKE リージョナルクラスタでのゾーン障害シミュレーションが計画・実施され、結果が記録されている</t>
        </is>
      </c>
      <c r="G42" s="4" t="inlineStr">
        <is>
          <t>フェイルオーバーを試験しないと、実障害時に切り替えが機能しないことが本番で発覚する。</t>
        </is>
      </c>
      <c r="H42" s="4" t="inlineStr">
        <is>
          <t>Google Cloud Well-Architected Framework &gt; 信頼性 &gt; Build highly available systems through resource redundancy &gt; Test failover scenarios</t>
        </is>
      </c>
      <c r="I42" s="4" t="inlineStr">
        <is>
          <t>GCP-DELTA</t>
        </is>
      </c>
      <c r="J42" s="4" t="inlineStr">
        <is>
          <t>Google Cloud採用時に、CLOUD-COMMONで未評価の固有差分へ適用。</t>
        </is>
      </c>
      <c r="K42" s="4" t="inlineStr">
        <is>
          <t>SRC-GCP-AIML</t>
        </is>
      </c>
      <c r="L42" s="4" t="inlineStr">
        <is>
          <t>RELIABILITY-HA</t>
        </is>
      </c>
      <c r="M42" s="4" t="n"/>
      <c r="N42" s="4" t="n"/>
      <c r="O42" s="4" t="n"/>
      <c r="P42" s="4" t="n"/>
      <c r="Q42" s="4" t="n"/>
      <c r="R42" s="4" t="n"/>
      <c r="S42" s="4" t="n"/>
      <c r="T42" s="4" t="n"/>
      <c r="U42" s="4" t="n"/>
      <c r="V42" s="4" t="n"/>
      <c r="W42" s="4" t="n"/>
    </row>
    <row r="43">
      <c r="A43" s="5" t="inlineStr">
        <is>
          <t>GCP-042</t>
        </is>
      </c>
      <c r="B43" s="5" t="inlineStr">
        <is>
          <t>WAF</t>
        </is>
      </c>
      <c r="C43" s="4" t="inlineStr">
        <is>
          <t>信頼性 / Reliability</t>
        </is>
      </c>
      <c r="D43" s="9" t="inlineStr">
        <is>
          <t>High</t>
        </is>
      </c>
      <c r="E43" s="4" t="inlineStr">
        <is>
          <t>MIG / Cloud Run 等のマネージドサービスで水平スケーリングが実現されている</t>
        </is>
      </c>
      <c r="F43" s="4" t="inlineStr">
        <is>
          <t>スケールが必要なコンポーネントが垂直スケール依存ではなく、MIG(VM)や Cloud Run(コンテナ)等による水平スケール可能な構成になっている</t>
        </is>
      </c>
      <c r="G43" s="4" t="inlineStr">
        <is>
          <t>垂直スケール依存だと上限到達で頭打ちになり、負荷増大時に停止する。</t>
        </is>
      </c>
      <c r="H43" s="4" t="inlineStr">
        <is>
          <t>Google Cloud Well-Architected Framework &gt; 信頼性 &gt; Take advantage of horizontal scalability &gt; Use managed services</t>
        </is>
      </c>
      <c r="I43" s="4" t="inlineStr">
        <is>
          <t>GCP-DELTA</t>
        </is>
      </c>
      <c r="J43" s="4" t="inlineStr">
        <is>
          <t>Google Cloud採用時に、CLOUD-COMMONで未評価の固有差分へ適用。</t>
        </is>
      </c>
      <c r="K43" s="4" t="inlineStr">
        <is>
          <t>SRC-GCP-WAF</t>
        </is>
      </c>
      <c r="L43" s="4" t="inlineStr"/>
      <c r="M43" s="4" t="n"/>
      <c r="N43" s="4" t="n"/>
      <c r="O43" s="4" t="n"/>
      <c r="P43" s="4" t="n"/>
      <c r="Q43" s="4" t="n"/>
      <c r="R43" s="4" t="n"/>
      <c r="S43" s="4" t="n"/>
      <c r="T43" s="4" t="n"/>
      <c r="U43" s="4" t="n"/>
      <c r="V43" s="4" t="n"/>
      <c r="W43" s="4" t="n"/>
    </row>
    <row r="44">
      <c r="A44" s="5" t="inlineStr">
        <is>
          <t>GCP-043</t>
        </is>
      </c>
      <c r="B44" s="5" t="inlineStr">
        <is>
          <t>WAF</t>
        </is>
      </c>
      <c r="C44" s="4" t="inlineStr">
        <is>
          <t>信頼性 / Reliability</t>
        </is>
      </c>
      <c r="D44" s="10" t="inlineStr">
        <is>
          <t>Medium</t>
        </is>
      </c>
      <c r="E44" s="4" t="inlineStr">
        <is>
          <t>アプリケーションがステートレス設計になっている</t>
        </is>
      </c>
      <c r="F44" s="4" t="inlineStr">
        <is>
          <t>セッション状態等がインスタンスローカルに保持されず、外部ストア共有によりインスタンスの追加・削除・再起動が自由に行える</t>
        </is>
      </c>
      <c r="G44" s="4" t="inlineStr">
        <is>
          <t>ステートフルな設計はスケールアウトとフェイルオーバーを阻害し、可用性を下げる。</t>
        </is>
      </c>
      <c r="H44" s="4" t="inlineStr">
        <is>
          <t>Google Cloud Well-Architected Framework &gt; 信頼性 &gt; Take advantage of horizontal scalability &gt; Implement a stateless design</t>
        </is>
      </c>
      <c r="I44" s="4" t="inlineStr">
        <is>
          <t>GCP-DELTA</t>
        </is>
      </c>
      <c r="J44" s="4" t="inlineStr">
        <is>
          <t>Google Cloud採用時に、CLOUD-COMMONで未評価の固有差分へ適用。</t>
        </is>
      </c>
      <c r="K44" s="4" t="inlineStr">
        <is>
          <t>SRC-GCP-WAF</t>
        </is>
      </c>
      <c r="L44" s="4" t="inlineStr"/>
      <c r="M44" s="4" t="n"/>
      <c r="N44" s="4" t="n"/>
      <c r="O44" s="4" t="n"/>
      <c r="P44" s="4" t="n"/>
      <c r="Q44" s="4" t="n"/>
      <c r="R44" s="4" t="n"/>
      <c r="S44" s="4" t="n"/>
      <c r="T44" s="4" t="n"/>
      <c r="U44" s="4" t="n"/>
      <c r="V44" s="4" t="n"/>
      <c r="W44" s="4" t="n"/>
    </row>
    <row r="45">
      <c r="A45" s="5" t="inlineStr">
        <is>
          <t>GCP-044</t>
        </is>
      </c>
      <c r="B45" s="5" t="inlineStr">
        <is>
          <t>WAF</t>
        </is>
      </c>
      <c r="C45" s="4" t="inlineStr">
        <is>
          <t>信頼性 / Reliability</t>
        </is>
      </c>
      <c r="D45" s="9" t="inlineStr">
        <is>
          <t>High</t>
        </is>
      </c>
      <c r="E45" s="4" t="inlineStr">
        <is>
          <t>Cloud Monitoring / Cloud Logging で応答時間・エラー率等の主要メトリクスが追跡されている</t>
        </is>
      </c>
      <c r="F45" s="4" t="inlineStr">
        <is>
          <t>レイテンシ・エラー率などの信頼性メトリクスが Cloud Monitoring / Cloud Logging で収集され、必要なカスタムメトリクスも定義されている</t>
        </is>
      </c>
      <c r="G45" s="4" t="inlineStr">
        <is>
          <t>主要メトリクスの欠落は、劣化や障害予兆の見逃しにつながる。</t>
        </is>
      </c>
      <c r="H45" s="4" t="inlineStr">
        <is>
          <t>Google Cloud Well-Architected Framework &gt; 信頼性 &gt; Detect potential failures by using observability &gt; Gain comprehensive insights</t>
        </is>
      </c>
      <c r="I45" s="4" t="inlineStr">
        <is>
          <t>GCP-DELTA</t>
        </is>
      </c>
      <c r="J45" s="4" t="inlineStr">
        <is>
          <t>Google Cloud採用時に、CLOUD-COMMONで未評価の固有差分へ適用。</t>
        </is>
      </c>
      <c r="K45" s="4" t="inlineStr">
        <is>
          <t>SRC-GCP-AIML</t>
        </is>
      </c>
      <c r="L45" s="4" t="inlineStr">
        <is>
          <t>OPS-OBSERVABILITY</t>
        </is>
      </c>
      <c r="M45" s="4" t="n"/>
      <c r="N45" s="4" t="n"/>
      <c r="O45" s="4" t="n"/>
      <c r="P45" s="4" t="n"/>
      <c r="Q45" s="4" t="n"/>
      <c r="R45" s="4" t="n"/>
      <c r="S45" s="4" t="n"/>
      <c r="T45" s="4" t="n"/>
      <c r="U45" s="4" t="n"/>
      <c r="V45" s="4" t="n"/>
      <c r="W45" s="4" t="n"/>
    </row>
    <row r="46">
      <c r="A46" s="5" t="inlineStr">
        <is>
          <t>GCP-045</t>
        </is>
      </c>
      <c r="B46" s="5" t="inlineStr">
        <is>
          <t>WAF</t>
        </is>
      </c>
      <c r="C46" s="4" t="inlineStr">
        <is>
          <t>信頼性 / Reliability</t>
        </is>
      </c>
      <c r="D46" s="10" t="inlineStr">
        <is>
          <t>Medium</t>
        </is>
      </c>
      <c r="E46" s="4" t="inlineStr">
        <is>
          <t>Cloud Storage アクセスログ・VPC Flow Logs 等が有効化され、除外フィルタでコスト管理されている</t>
        </is>
      </c>
      <c r="F46" s="4" t="inlineStr">
        <is>
          <t>トラブルシューティングに必要なログ(ストレージアクセスログ、VPC Flow Logs 等)が有効で、ログシンクの除外フィルタで不要ログのコストが抑制されている</t>
        </is>
      </c>
      <c r="G46" s="4" t="inlineStr">
        <is>
          <t>ログが不足すると障害調査が難航し、逆に無制御だとログコストが膨張する。</t>
        </is>
      </c>
      <c r="H46" s="4" t="inlineStr">
        <is>
          <t>Google Cloud Well-Architected Framework &gt; 信頼性 &gt; Detect potential failures by using observability &gt; Perform proactive troubleshooting</t>
        </is>
      </c>
      <c r="I46" s="4" t="inlineStr">
        <is>
          <t>GCP-DELTA</t>
        </is>
      </c>
      <c r="J46" s="4" t="inlineStr">
        <is>
          <t>Google Cloud採用時に、CLOUD-COMMONで未評価の固有差分へ適用。</t>
        </is>
      </c>
      <c r="K46" s="4" t="inlineStr">
        <is>
          <t>SRC-GCP-AIML</t>
        </is>
      </c>
      <c r="L46" s="4" t="inlineStr">
        <is>
          <t>OPS-OBSERVABILITY;COST</t>
        </is>
      </c>
      <c r="M46" s="4" t="n"/>
      <c r="N46" s="4" t="n"/>
      <c r="O46" s="4" t="n"/>
      <c r="P46" s="4" t="n"/>
      <c r="Q46" s="4" t="n"/>
      <c r="R46" s="4" t="n"/>
      <c r="S46" s="4" t="n"/>
      <c r="T46" s="4" t="n"/>
      <c r="U46" s="4" t="n"/>
      <c r="V46" s="4" t="n"/>
      <c r="W46" s="4" t="n"/>
    </row>
    <row r="47">
      <c r="A47" s="5" t="inlineStr">
        <is>
          <t>GCP-046</t>
        </is>
      </c>
      <c r="B47" s="5" t="inlineStr">
        <is>
          <t>WAF</t>
        </is>
      </c>
      <c r="C47" s="4" t="inlineStr">
        <is>
          <t>信頼性 / Reliability</t>
        </is>
      </c>
      <c r="D47" s="9" t="inlineStr">
        <is>
          <t>High</t>
        </is>
      </c>
      <c r="E47" s="4" t="inlineStr">
        <is>
          <t>アラートの閾値と優先度が設計され、アラート疲労対策がされている</t>
        </is>
      </c>
      <c r="F47" s="4" t="inlineStr">
        <is>
          <t>アラートに適切な閾値・重要度が設定され、対応不要なアラートの抑制(優先度付け)方針が文書化されている</t>
        </is>
      </c>
      <c r="G47" s="4" t="inlineStr">
        <is>
          <t>アラート過多は疲労による重要アラートの見逃しを招き、不足は障害検知の遅れを招く。</t>
        </is>
      </c>
      <c r="H47" s="4" t="inlineStr">
        <is>
          <t>Google Cloud Well-Architected Framework &gt; 信頼性 &gt; Detect potential failures by using observability &gt; Prioritize alerts</t>
        </is>
      </c>
      <c r="I47" s="4" t="inlineStr">
        <is>
          <t>GCP-DELTA</t>
        </is>
      </c>
      <c r="J47" s="4" t="inlineStr">
        <is>
          <t>Google Cloud採用時に、CLOUD-COMMONで未評価の固有差分へ適用。</t>
        </is>
      </c>
      <c r="K47" s="4" t="inlineStr">
        <is>
          <t>SRC-GCP-AIML</t>
        </is>
      </c>
      <c r="L47" s="4" t="inlineStr">
        <is>
          <t>OPS-OBSERVABILITY</t>
        </is>
      </c>
      <c r="M47" s="4" t="n"/>
      <c r="N47" s="4" t="n"/>
      <c r="O47" s="4" t="n"/>
      <c r="P47" s="4" t="n"/>
      <c r="Q47" s="4" t="n"/>
      <c r="R47" s="4" t="n"/>
      <c r="S47" s="4" t="n"/>
      <c r="T47" s="4" t="n"/>
      <c r="U47" s="4" t="n"/>
      <c r="V47" s="4" t="n"/>
      <c r="W47" s="4" t="n"/>
    </row>
    <row r="48">
      <c r="A48" s="5" t="inlineStr">
        <is>
          <t>GCP-047</t>
        </is>
      </c>
      <c r="B48" s="5" t="inlineStr">
        <is>
          <t>WAF</t>
        </is>
      </c>
      <c r="C48" s="4" t="inlineStr">
        <is>
          <t>信頼性 / Reliability</t>
        </is>
      </c>
      <c r="D48" s="10" t="inlineStr">
        <is>
          <t>Medium</t>
        </is>
      </c>
      <c r="E48" s="4" t="inlineStr">
        <is>
          <t>Apigee 等で API リクエストのスロットリングが実装されている</t>
        </is>
      </c>
      <c r="F48" s="4" t="inlineStr">
        <is>
          <t>高トラフィック時の API リクエストレート制御(Apigee のポリシー等)が設計・設定されている</t>
        </is>
      </c>
      <c r="G48" s="4" t="inlineStr">
        <is>
          <t>スロットリングがないと突発的な過負荷でバックエンドが連鎖的に崩壊する。</t>
        </is>
      </c>
      <c r="H48" s="4" t="inlineStr">
        <is>
          <t>Google Cloud Well-Architected Framework &gt; 信頼性 &gt; Design for graceful degradation &gt; Implement throttling</t>
        </is>
      </c>
      <c r="I48" s="4" t="inlineStr">
        <is>
          <t>GCP-DELTA</t>
        </is>
      </c>
      <c r="J48" s="4" t="inlineStr">
        <is>
          <t>Google Cloud採用時に、CLOUD-COMMONで未評価の固有差分へ適用。</t>
        </is>
      </c>
      <c r="K48" s="4" t="inlineStr">
        <is>
          <t>SRC-GCP-WAF</t>
        </is>
      </c>
      <c r="L48" s="4" t="inlineStr"/>
      <c r="M48" s="4" t="n"/>
      <c r="N48" s="4" t="n"/>
      <c r="O48" s="4" t="n"/>
      <c r="P48" s="4" t="n"/>
      <c r="Q48" s="4" t="n"/>
      <c r="R48" s="4" t="n"/>
      <c r="S48" s="4" t="n"/>
      <c r="T48" s="4" t="n"/>
      <c r="U48" s="4" t="n"/>
      <c r="V48" s="4" t="n"/>
      <c r="W48" s="4" t="n"/>
    </row>
    <row r="49">
      <c r="A49" s="5" t="inlineStr">
        <is>
          <t>GCP-048</t>
        </is>
      </c>
      <c r="B49" s="5" t="inlineStr">
        <is>
          <t>WAF</t>
        </is>
      </c>
      <c r="C49" s="4" t="inlineStr">
        <is>
          <t>信頼性 / Reliability</t>
        </is>
      </c>
      <c r="D49" s="10" t="inlineStr">
        <is>
          <t>Medium</t>
        </is>
      </c>
      <c r="E49" s="4" t="inlineStr">
        <is>
          <t>過剰リクエストをフロントエンドで早期に破棄する仕組み(load shedding)がある</t>
        </is>
      </c>
      <c r="F49" s="4" t="inlineStr">
        <is>
          <t>処理能力を超えるリクエストをフロントエンド層で拒否し、部分的なサービス提供を継続できる設計になっている</t>
        </is>
      </c>
      <c r="G49" s="4" t="inlineStr">
        <is>
          <t>過剰リクエストを受け続けるとバックエンドが飽和し、全面停止に至る。</t>
        </is>
      </c>
      <c r="H49" s="4" t="inlineStr">
        <is>
          <t>Google Cloud Well-Architected Framework &gt; 信頼性 &gt; Design for graceful degradation &gt; Drop excess requests early</t>
        </is>
      </c>
      <c r="I49" s="4" t="inlineStr">
        <is>
          <t>GCP-DELTA</t>
        </is>
      </c>
      <c r="J49" s="4" t="inlineStr">
        <is>
          <t>Google Cloud採用時に、CLOUD-COMMONで未評価の固有差分へ適用。</t>
        </is>
      </c>
      <c r="K49" s="4" t="inlineStr">
        <is>
          <t>SRC-GCP-WAF</t>
        </is>
      </c>
      <c r="L49" s="4" t="inlineStr"/>
      <c r="M49" s="4" t="n"/>
      <c r="N49" s="4" t="n"/>
      <c r="O49" s="4" t="n"/>
      <c r="P49" s="4" t="n"/>
      <c r="Q49" s="4" t="n"/>
      <c r="R49" s="4" t="n"/>
      <c r="S49" s="4" t="n"/>
      <c r="T49" s="4" t="n"/>
      <c r="U49" s="4" t="n"/>
      <c r="V49" s="4" t="n"/>
      <c r="W49" s="4" t="n"/>
    </row>
    <row r="50">
      <c r="A50" s="5" t="inlineStr">
        <is>
          <t>GCP-049</t>
        </is>
      </c>
      <c r="B50" s="5" t="inlineStr">
        <is>
          <t>WAF</t>
        </is>
      </c>
      <c r="C50" s="4" t="inlineStr">
        <is>
          <t>信頼性 / Reliability</t>
        </is>
      </c>
      <c r="D50" s="10" t="inlineStr">
        <is>
          <t>Medium</t>
        </is>
      </c>
      <c r="E50" s="4" t="inlineStr">
        <is>
          <t>部分エラー処理とリトライ制御(バックオフ等)が実装され、過負荷シナリオがテストされている</t>
        </is>
      </c>
      <c r="F50" s="4" t="inlineStr">
        <is>
          <t>部分エラー時の継続処理・リトライロジックが実装され、高負荷シミュレーションでスロットリング・破棄機構の動作が検証されている</t>
        </is>
      </c>
      <c r="G50" s="4" t="inlineStr">
        <is>
          <t>リトライ制御の不備はリトライストームによる自己 DoS を、テスト不足は本番での初見障害を招く。</t>
        </is>
      </c>
      <c r="H50" s="4" t="inlineStr">
        <is>
          <t>Google Cloud Well-Architected Framework &gt; 信頼性 &gt; Design for graceful degradation &gt; Handle partial errors and retries / Test overload scenarios</t>
        </is>
      </c>
      <c r="I50" s="4" t="inlineStr">
        <is>
          <t>GCP-DELTA</t>
        </is>
      </c>
      <c r="J50" s="4" t="inlineStr">
        <is>
          <t>Google Cloud採用時に、CLOUD-COMMONで未評価の固有差分へ適用。</t>
        </is>
      </c>
      <c r="K50" s="4" t="inlineStr">
        <is>
          <t>SRC-GCP-WAF</t>
        </is>
      </c>
      <c r="L50" s="4" t="inlineStr"/>
      <c r="M50" s="4" t="n"/>
      <c r="N50" s="4" t="n"/>
      <c r="O50" s="4" t="n"/>
      <c r="P50" s="4" t="n"/>
      <c r="Q50" s="4" t="n"/>
      <c r="R50" s="4" t="n"/>
      <c r="S50" s="4" t="n"/>
      <c r="T50" s="4" t="n"/>
      <c r="U50" s="4" t="n"/>
      <c r="V50" s="4" t="n"/>
      <c r="W50" s="4" t="n"/>
    </row>
    <row r="51">
      <c r="A51" s="5" t="inlineStr">
        <is>
          <t>GCP-050</t>
        </is>
      </c>
      <c r="B51" s="5" t="inlineStr">
        <is>
          <t>WAF</t>
        </is>
      </c>
      <c r="C51" s="4" t="inlineStr">
        <is>
          <t>信頼性 / Reliability</t>
        </is>
      </c>
      <c r="D51" s="9" t="inlineStr">
        <is>
          <t>High</t>
        </is>
      </c>
      <c r="E51" s="4" t="inlineStr">
        <is>
          <t>GKE / Cloud SQL 等の障害シミュレーション(カオステスト・DR テスト)が定期的に実施されている</t>
        </is>
      </c>
      <c r="F51" s="4" t="inlineStr">
        <is>
          <t>主要ノード停止・DB インスタンス無効化・ネットワーク遮断等の障害シナリオが定期的(例: 四半期ごと)にテストされ、結果が記録されている</t>
        </is>
      </c>
      <c r="G51" s="4" t="inlineStr">
        <is>
          <t>復旧テストを怠ると、実障害時に復旧手順が機能せず停止が長期化する。</t>
        </is>
      </c>
      <c r="H51" s="4" t="inlineStr">
        <is>
          <t>Google Cloud Well-Architected Framework &gt; 信頼性 &gt; Perform testing for recovery from failures &gt; Simulate failure scenarios / Iterate and improve</t>
        </is>
      </c>
      <c r="I51" s="4" t="inlineStr">
        <is>
          <t>GCP-DELTA</t>
        </is>
      </c>
      <c r="J51" s="4" t="inlineStr">
        <is>
          <t>Google Cloud採用時に、CLOUD-COMMONで未評価の固有差分へ適用。</t>
        </is>
      </c>
      <c r="K51" s="4" t="inlineStr">
        <is>
          <t>SRC-GCP-AIML</t>
        </is>
      </c>
      <c r="L51" s="4" t="inlineStr">
        <is>
          <t>CONTINUITY-DR</t>
        </is>
      </c>
      <c r="M51" s="4" t="n"/>
      <c r="N51" s="4" t="n"/>
      <c r="O51" s="4" t="n"/>
      <c r="P51" s="4" t="n"/>
      <c r="Q51" s="4" t="n"/>
      <c r="R51" s="4" t="n"/>
      <c r="S51" s="4" t="n"/>
      <c r="T51" s="4" t="n"/>
      <c r="U51" s="4" t="n"/>
      <c r="V51" s="4" t="n"/>
      <c r="W51" s="4" t="n"/>
    </row>
    <row r="52">
      <c r="A52" s="5" t="inlineStr">
        <is>
          <t>GCP-051</t>
        </is>
      </c>
      <c r="B52" s="5" t="inlineStr">
        <is>
          <t>WAF</t>
        </is>
      </c>
      <c r="C52" s="4" t="inlineStr">
        <is>
          <t>信頼性 / Reliability</t>
        </is>
      </c>
      <c r="D52" s="8" t="inlineStr">
        <is>
          <t>Critical</t>
        </is>
      </c>
      <c r="E52" s="4" t="inlineStr">
        <is>
          <t>RTO / RPO が定義され、復旧テストで実測検証されている</t>
        </is>
      </c>
      <c r="F52" s="4" t="inlineStr">
        <is>
          <t>システムごとの RTO/RPO が文書化され、フェイルオーバー/リストアテストで目標達成が実測確認されている</t>
        </is>
      </c>
      <c r="G52" s="4" t="inlineStr">
        <is>
          <t>RTO/RPO が未検証だと、災害時に想定外のデータ損失・停止時間が発生する。</t>
        </is>
      </c>
      <c r="H52" s="4" t="inlineStr">
        <is>
          <t>Google Cloud Well-Architected Framework &gt; 信頼性 &gt; Perform testing for recovery from failures &gt; Define the testing objectives and scope / Verify recovery against RTO and RPO</t>
        </is>
      </c>
      <c r="I52" s="4" t="inlineStr">
        <is>
          <t>GCP-DELTA</t>
        </is>
      </c>
      <c r="J52" s="4" t="inlineStr">
        <is>
          <t>Google Cloud採用時に、CLOUD-COMMONで未評価の固有差分へ適用。</t>
        </is>
      </c>
      <c r="K52" s="4" t="inlineStr">
        <is>
          <t>SRC-GCP-AIML</t>
        </is>
      </c>
      <c r="L52" s="4" t="inlineStr">
        <is>
          <t>CONTINUITY-DR</t>
        </is>
      </c>
      <c r="M52" s="4" t="n"/>
      <c r="N52" s="4" t="n"/>
      <c r="O52" s="4" t="n"/>
      <c r="P52" s="4" t="n"/>
      <c r="Q52" s="4" t="n"/>
      <c r="R52" s="4" t="n"/>
      <c r="S52" s="4" t="n"/>
      <c r="T52" s="4" t="n"/>
      <c r="U52" s="4" t="n"/>
      <c r="V52" s="4" t="n"/>
      <c r="W52" s="4" t="n"/>
    </row>
    <row r="53">
      <c r="A53" s="5" t="inlineStr">
        <is>
          <t>GCP-052</t>
        </is>
      </c>
      <c r="B53" s="5" t="inlineStr">
        <is>
          <t>WAF</t>
        </is>
      </c>
      <c r="C53" s="4" t="inlineStr">
        <is>
          <t>信頼性 / Reliability</t>
        </is>
      </c>
      <c r="D53" s="8" t="inlineStr">
        <is>
          <t>Critical</t>
        </is>
      </c>
      <c r="E53" s="4" t="inlineStr">
        <is>
          <t>バックアップの整合性検証とリストアテストが行われている</t>
        </is>
      </c>
      <c r="F53" s="4" t="inlineStr">
        <is>
          <t>バックアップからの復元手順が定期的にテストされ、復元データの整合性が確認・記録されている</t>
        </is>
      </c>
      <c r="G53" s="4" t="inlineStr">
        <is>
          <t>リストア未検証のバックアップは、いざという時に復元できず恒久的なデータ損失につながる。</t>
        </is>
      </c>
      <c r="H53" s="4" t="inlineStr">
        <is>
          <t>Google Cloud Well-Architected Framework &gt; 信頼性 &gt; Perform testing for recovery from data loss &gt; Verify backup consistency and test restoration processes</t>
        </is>
      </c>
      <c r="I53" s="4" t="inlineStr">
        <is>
          <t>GCP-DELTA</t>
        </is>
      </c>
      <c r="J53" s="4" t="inlineStr">
        <is>
          <t>Google Cloud採用時に、CLOUD-COMMONで未評価の固有差分へ適用。</t>
        </is>
      </c>
      <c r="K53" s="4" t="inlineStr">
        <is>
          <t>SRC-GCP-WAF</t>
        </is>
      </c>
      <c r="L53" s="4" t="inlineStr">
        <is>
          <t>CONTINUITY-BACKUP</t>
        </is>
      </c>
      <c r="M53" s="4" t="n"/>
      <c r="N53" s="4" t="n"/>
      <c r="O53" s="4" t="n"/>
      <c r="P53" s="4" t="n"/>
      <c r="Q53" s="4" t="n"/>
      <c r="R53" s="4" t="n"/>
      <c r="S53" s="4" t="n"/>
      <c r="T53" s="4" t="n"/>
      <c r="U53" s="4" t="n"/>
      <c r="V53" s="4" t="n"/>
      <c r="W53" s="4" t="n"/>
    </row>
    <row r="54">
      <c r="A54" s="5" t="inlineStr">
        <is>
          <t>GCP-053</t>
        </is>
      </c>
      <c r="B54" s="5" t="inlineStr">
        <is>
          <t>WAF</t>
        </is>
      </c>
      <c r="C54" s="4" t="inlineStr">
        <is>
          <t>信頼性 / Reliability</t>
        </is>
      </c>
      <c r="D54" s="8" t="inlineStr">
        <is>
          <t>Critical</t>
        </is>
      </c>
      <c r="E54" s="4" t="inlineStr">
        <is>
          <t>Cloud SQL の PITR や Spanner バックアップ等で定期的・高頻度なバックアップが構成されている</t>
        </is>
      </c>
      <c r="F54" s="4" t="inlineStr">
        <is>
          <t>RPO に応じたバックアップスケジュールが設定され、Cloud SQL では自動バックアップ+ポイントインタイムリカバリ(PITR)が有効になっている</t>
        </is>
      </c>
      <c r="G54" s="4" t="inlineStr">
        <is>
          <t>バックアップ頻度が RPO に合っていないと、障害時に許容以上のデータが失われる。</t>
        </is>
      </c>
      <c r="H54" s="4" t="inlineStr">
        <is>
          <t>Google Cloud Well-Architected Framework &gt; 信頼性 &gt; Perform testing for recovery from data loss &gt; Schedule regular and frequent backups</t>
        </is>
      </c>
      <c r="I54" s="4" t="inlineStr">
        <is>
          <t>GCP-DELTA</t>
        </is>
      </c>
      <c r="J54" s="4" t="inlineStr">
        <is>
          <t>Google Cloud採用時に、CLOUD-COMMONで未評価の固有差分へ適用。</t>
        </is>
      </c>
      <c r="K54" s="4" t="inlineStr">
        <is>
          <t>SRC-GCP-WAF</t>
        </is>
      </c>
      <c r="L54" s="4" t="inlineStr">
        <is>
          <t>CONTINUITY-BACKUP</t>
        </is>
      </c>
      <c r="M54" s="4" t="n"/>
      <c r="N54" s="4" t="n"/>
      <c r="O54" s="4" t="n"/>
      <c r="P54" s="4" t="n"/>
      <c r="Q54" s="4" t="n"/>
      <c r="R54" s="4" t="n"/>
      <c r="S54" s="4" t="n"/>
      <c r="T54" s="4" t="n"/>
      <c r="U54" s="4" t="n"/>
      <c r="V54" s="4" t="n"/>
      <c r="W54" s="4" t="n"/>
    </row>
    <row r="55">
      <c r="A55" s="5" t="inlineStr">
        <is>
          <t>GCP-054</t>
        </is>
      </c>
      <c r="B55" s="5" t="inlineStr">
        <is>
          <t>WAF</t>
        </is>
      </c>
      <c r="C55" s="4" t="inlineStr">
        <is>
          <t>信頼性 / Reliability</t>
        </is>
      </c>
      <c r="D55" s="9" t="inlineStr">
        <is>
          <t>High</t>
        </is>
      </c>
      <c r="E55" s="4" t="inlineStr">
        <is>
          <t>Backup and DR サービス等でバックアップの健全性が監視されている</t>
        </is>
      </c>
      <c r="F55" s="4" t="inlineStr">
        <is>
          <t>バックアップの成否・保存先の健全性が Google Cloud Backup and DR 等で監視され、失敗時に Cloud Monitoring のアラートが飛ぶ</t>
        </is>
      </c>
      <c r="G55" s="4" t="inlineStr">
        <is>
          <t>バックアップ失敗の放置は、気づかぬうちの保護喪失(サイレント障害)を招く。</t>
        </is>
      </c>
      <c r="H55" s="4" t="inlineStr">
        <is>
          <t>Google Cloud Well-Architected Framework &gt; 信頼性 &gt; Perform testing for recovery from data loss &gt; Monitor backup health / Define and monitor RPO</t>
        </is>
      </c>
      <c r="I55" s="4" t="inlineStr">
        <is>
          <t>GCP-DELTA</t>
        </is>
      </c>
      <c r="J55" s="4" t="inlineStr">
        <is>
          <t>Google Cloud採用時に、CLOUD-COMMONで未評価の固有差分へ適用。</t>
        </is>
      </c>
      <c r="K55" s="4" t="inlineStr">
        <is>
          <t>SRC-GCP-WAF</t>
        </is>
      </c>
      <c r="L55" s="4" t="inlineStr">
        <is>
          <t>CONTINUITY-BACKUP;CONTINUITY-DR;OPS-OBSERVABILITY</t>
        </is>
      </c>
      <c r="M55" s="4" t="n"/>
      <c r="N55" s="4" t="n"/>
      <c r="O55" s="4" t="n"/>
      <c r="P55" s="4" t="n"/>
      <c r="Q55" s="4" t="n"/>
      <c r="R55" s="4" t="n"/>
      <c r="S55" s="4" t="n"/>
      <c r="T55" s="4" t="n"/>
      <c r="U55" s="4" t="n"/>
      <c r="V55" s="4" t="n"/>
      <c r="W55" s="4" t="n"/>
    </row>
    <row r="56">
      <c r="A56" s="5" t="inlineStr">
        <is>
          <t>GCP-055</t>
        </is>
      </c>
      <c r="B56" s="5" t="inlineStr">
        <is>
          <t>WAF</t>
        </is>
      </c>
      <c r="C56" s="4" t="inlineStr">
        <is>
          <t>信頼性 / Reliability</t>
        </is>
      </c>
      <c r="D56" s="9" t="inlineStr">
        <is>
          <t>High</t>
        </is>
      </c>
      <c r="E56" s="4" t="inlineStr">
        <is>
          <t>バックアップだけに依存しない DR 戦略(クロスリージョンレプリケーション等)が検討されている</t>
        </is>
      </c>
      <c r="F56" s="4" t="inlineStr">
        <is>
          <t>重要システムについて、アクティブ-アクティブ構成やクロスリージョンレプリケーション等、バックアップ復元以外の復旧手段の要否が検討・文書化されている</t>
        </is>
      </c>
      <c r="G56" s="4" t="inlineStr">
        <is>
          <t>バックアップ復元のみでは RTO を満たせない大規模障害シナリオに対応できない。</t>
        </is>
      </c>
      <c r="H56" s="4" t="inlineStr">
        <is>
          <t>Google Cloud Well-Architected Framework &gt; 信頼性 &gt; Perform testing for recovery from data loss &gt; Plan for scenarios beyond backup</t>
        </is>
      </c>
      <c r="I56" s="4" t="inlineStr">
        <is>
          <t>GCP-DELTA</t>
        </is>
      </c>
      <c r="J56" s="4" t="inlineStr">
        <is>
          <t>Google Cloud採用時に、CLOUD-COMMONで未評価の固有差分へ適用。</t>
        </is>
      </c>
      <c r="K56" s="4" t="inlineStr">
        <is>
          <t>SRC-GCP-WAF</t>
        </is>
      </c>
      <c r="L56" s="4" t="inlineStr">
        <is>
          <t>CONTINUITY-BACKUP;CONTINUITY-DR</t>
        </is>
      </c>
      <c r="M56" s="4" t="n"/>
      <c r="N56" s="4" t="n"/>
      <c r="O56" s="4" t="n"/>
      <c r="P56" s="4" t="n"/>
      <c r="Q56" s="4" t="n"/>
      <c r="R56" s="4" t="n"/>
      <c r="S56" s="4" t="n"/>
      <c r="T56" s="4" t="n"/>
      <c r="U56" s="4" t="n"/>
      <c r="V56" s="4" t="n"/>
      <c r="W56" s="4" t="n"/>
    </row>
    <row r="57">
      <c r="A57" s="5" t="inlineStr">
        <is>
          <t>GCP-056</t>
        </is>
      </c>
      <c r="B57" s="5" t="inlineStr">
        <is>
          <t>WAF</t>
        </is>
      </c>
      <c r="C57" s="4" t="inlineStr">
        <is>
          <t>信頼性 / Reliability</t>
        </is>
      </c>
      <c r="D57" s="10" t="inlineStr">
        <is>
          <t>Medium</t>
        </is>
      </c>
      <c r="E57" s="4" t="inlineStr">
        <is>
          <t>信頼性目標がエラーバジェットの考え方で現実的に設定されている</t>
        </is>
      </c>
      <c r="F57" s="4" t="inlineStr">
        <is>
          <t>100% ではなくユーザー満足に必要十分な信頼性目標(例: 99.99%)が設定され、コンポーネントの重要度による優先順位付けとコストとのバランスが文書化されている</t>
        </is>
      </c>
      <c r="G57" s="4" t="inlineStr">
        <is>
          <t>過剰な信頼性目標はコスト高騰と変更速度低下を招き、過少な目標はユーザー離反を招く。</t>
        </is>
      </c>
      <c r="H57" s="4" t="inlineStr">
        <is>
          <t>Google Cloud Well-Architected Framework &gt; 信頼性 &gt; Set realistic targets for reliability &gt; Accept some failure and prioritize components / Balance reliability and cost</t>
        </is>
      </c>
      <c r="I57" s="4" t="inlineStr">
        <is>
          <t>GCP-DELTA</t>
        </is>
      </c>
      <c r="J57" s="4" t="inlineStr">
        <is>
          <t>Google Cloud採用時に、CLOUD-COMMONで未評価の固有差分へ適用。</t>
        </is>
      </c>
      <c r="K57" s="4" t="inlineStr">
        <is>
          <t>SRC-GCP-AIML</t>
        </is>
      </c>
      <c r="L57" s="4" t="inlineStr"/>
      <c r="M57" s="4" t="n"/>
      <c r="N57" s="4" t="n"/>
      <c r="O57" s="4" t="n"/>
      <c r="P57" s="4" t="n"/>
      <c r="Q57" s="4" t="n"/>
      <c r="R57" s="4" t="n"/>
      <c r="S57" s="4" t="n"/>
      <c r="T57" s="4" t="n"/>
      <c r="U57" s="4" t="n"/>
      <c r="V57" s="4" t="n"/>
      <c r="W57" s="4" t="n"/>
    </row>
    <row r="58">
      <c r="A58" s="5" t="inlineStr">
        <is>
          <t>GCP-057</t>
        </is>
      </c>
      <c r="B58" s="5" t="inlineStr">
        <is>
          <t>WAF</t>
        </is>
      </c>
      <c r="C58" s="4" t="inlineStr">
        <is>
          <t>信頼性 / Reliability</t>
        </is>
      </c>
      <c r="D58" s="10" t="inlineStr">
        <is>
          <t>Medium</t>
        </is>
      </c>
      <c r="E58" s="4" t="inlineStr">
        <is>
          <t>非難のないポストモーテムが実施され、広く共有されている</t>
        </is>
      </c>
      <c r="F58" s="4" t="inlineStr">
        <is>
          <t>重大障害後に個人非難のないポストモーテムが作成され、対象読者が読める形で組織に広く共有されている</t>
        </is>
      </c>
      <c r="G58" s="4" t="inlineStr">
        <is>
          <t>ポストモーテム文化がないと組織が障害から学習せず、同種の障害が繰り返される。</t>
        </is>
      </c>
      <c r="H58" s="4" t="inlineStr">
        <is>
          <t>Google Cloud Well-Architected Framework &gt; 信頼性 &gt; Conduct thorough postmortems &gt; Conduct blameless postmortems / Share the postmortem as widely as possible</t>
        </is>
      </c>
      <c r="I58" s="4" t="inlineStr">
        <is>
          <t>GCP-DELTA</t>
        </is>
      </c>
      <c r="J58" s="4" t="inlineStr">
        <is>
          <t>Google Cloud採用時に、CLOUD-COMMONで未評価の固有差分へ適用。</t>
        </is>
      </c>
      <c r="K58" s="4" t="inlineStr">
        <is>
          <t>SRC-GCP-WAF</t>
        </is>
      </c>
      <c r="L58" s="4" t="inlineStr"/>
      <c r="M58" s="4" t="n"/>
      <c r="N58" s="4" t="n"/>
      <c r="O58" s="4" t="n"/>
      <c r="P58" s="4" t="n"/>
      <c r="Q58" s="4" t="n"/>
      <c r="R58" s="4" t="n"/>
      <c r="S58" s="4" t="n"/>
      <c r="T58" s="4" t="n"/>
      <c r="U58" s="4" t="n"/>
      <c r="V58" s="4" t="n"/>
      <c r="W58" s="4" t="n"/>
    </row>
    <row r="59">
      <c r="A59" s="5" t="inlineStr">
        <is>
          <t>GCP-058</t>
        </is>
      </c>
      <c r="B59" s="5" t="inlineStr">
        <is>
          <t>WAF</t>
        </is>
      </c>
      <c r="C59" s="4" t="inlineStr">
        <is>
          <t>コスト最適化 / Cost optimization</t>
        </is>
      </c>
      <c r="D59" s="10" t="inlineStr">
        <is>
          <t>Medium</t>
        </is>
      </c>
      <c r="E59" s="4" t="inlineStr">
        <is>
          <t>開発・テスト環境で Spot VM 等の環境特性に応じた低コストリソースが使われている</t>
        </is>
      </c>
      <c r="F59" s="4" t="inlineStr">
        <is>
          <t>非本番環境で Spot VM やバースト可能な構成等、環境の重要度に応じたリソース選択がされている</t>
        </is>
      </c>
      <c r="G59" s="4" t="inlineStr">
        <is>
          <t>全環境を本番同等の構成にすると、価値を生まないコストが恒常的に発生する。</t>
        </is>
      </c>
      <c r="H59" s="4" t="inlineStr">
        <is>
          <t>Google Cloud Well-Architected Framework &gt; コスト最適化 &gt; Optimize resource usage &gt; Choose environment-specific resources</t>
        </is>
      </c>
      <c r="I59" s="4" t="inlineStr">
        <is>
          <t>GCP-DELTA</t>
        </is>
      </c>
      <c r="J59" s="4" t="inlineStr">
        <is>
          <t>Google Cloud採用時に、CLOUD-COMMONで未評価の固有差分へ適用。</t>
        </is>
      </c>
      <c r="K59" s="4" t="inlineStr">
        <is>
          <t>SRC-GCP-WAF</t>
        </is>
      </c>
      <c r="L59" s="4" t="inlineStr">
        <is>
          <t>COST</t>
        </is>
      </c>
      <c r="M59" s="4" t="n"/>
      <c r="N59" s="4" t="n"/>
      <c r="O59" s="4" t="n"/>
      <c r="P59" s="4" t="n"/>
      <c r="Q59" s="4" t="n"/>
      <c r="R59" s="4" t="n"/>
      <c r="S59" s="4" t="n"/>
      <c r="T59" s="4" t="n"/>
      <c r="U59" s="4" t="n"/>
      <c r="V59" s="4" t="n"/>
      <c r="W59" s="4" t="n"/>
    </row>
    <row r="60">
      <c r="A60" s="5" t="inlineStr">
        <is>
          <t>GCP-059</t>
        </is>
      </c>
      <c r="B60" s="5" t="inlineStr">
        <is>
          <t>WAF</t>
        </is>
      </c>
      <c r="C60" s="4" t="inlineStr">
        <is>
          <t>コスト最適化 / Cost optimization</t>
        </is>
      </c>
      <c r="D60" s="10" t="inlineStr">
        <is>
          <t>Medium</t>
        </is>
      </c>
      <c r="E60" s="4" t="inlineStr">
        <is>
          <t>ワークロード特性に応じたサービス選択(Cloud Run/Cloud Run functions、適切なマシンファミリー等)がされている</t>
        </is>
      </c>
      <c r="F60" s="4" t="inlineStr">
        <is>
          <t>イベント駆動にはサーバーレス、ミッションクリティカルには Spanner 等、ワークロード特性とサービス選択の対応が設計書に説明されている</t>
        </is>
      </c>
      <c r="G60" s="4" t="inlineStr">
        <is>
          <t>特性に合わないサービス選択は、過剰コストまたは性能・可用性不足を招く。</t>
        </is>
      </c>
      <c r="H60" s="4" t="inlineStr">
        <is>
          <t>Google Cloud Well-Architected Framework &gt; コスト最適化 &gt; Optimize resource usage &gt; Choose workload-specific resources</t>
        </is>
      </c>
      <c r="I60" s="4" t="inlineStr">
        <is>
          <t>GCP-DELTA</t>
        </is>
      </c>
      <c r="J60" s="4" t="inlineStr">
        <is>
          <t>Google Cloud採用時に、CLOUD-COMMONで未評価の固有差分へ適用。</t>
        </is>
      </c>
      <c r="K60" s="4" t="inlineStr">
        <is>
          <t>SRC-GCP-WAF</t>
        </is>
      </c>
      <c r="L60" s="4" t="inlineStr">
        <is>
          <t>COST</t>
        </is>
      </c>
      <c r="M60" s="4" t="n"/>
      <c r="N60" s="4" t="n"/>
      <c r="O60" s="4" t="n"/>
      <c r="P60" s="4" t="n"/>
      <c r="Q60" s="4" t="n"/>
      <c r="R60" s="4" t="n"/>
      <c r="S60" s="4" t="n"/>
      <c r="T60" s="4" t="n"/>
      <c r="U60" s="4" t="n"/>
      <c r="V60" s="4" t="n"/>
      <c r="W60" s="4" t="n"/>
    </row>
    <row r="61">
      <c r="A61" s="5" t="inlineStr">
        <is>
          <t>GCP-060</t>
        </is>
      </c>
      <c r="B61" s="5" t="inlineStr">
        <is>
          <t>WAF</t>
        </is>
      </c>
      <c r="C61" s="4" t="inlineStr">
        <is>
          <t>コスト最適化 / Cost optimization</t>
        </is>
      </c>
      <c r="D61" s="11" t="inlineStr">
        <is>
          <t>Low</t>
        </is>
      </c>
      <c r="E61" s="4" t="inlineStr">
        <is>
          <t>コスト要件を考慮したリージョン選択が行われている</t>
        </is>
      </c>
      <c r="F61" s="4" t="inlineStr">
        <is>
          <t>Google Cloud Region Picker 等を用い、コスト・レイテンシ・カーボン等を考慮したリージョン選択の根拠が記録されている</t>
        </is>
      </c>
      <c r="G61" s="4" t="inlineStr">
        <is>
          <t>リージョン間の価格差を考慮しないと、同一構成でも恒常的な割高コストが発生する。</t>
        </is>
      </c>
      <c r="H61" s="4" t="inlineStr">
        <is>
          <t>Google Cloud Well-Architected Framework &gt; コスト最適化 &gt; Optimize resource usage &gt; Select regions based on cost requirements</t>
        </is>
      </c>
      <c r="I61" s="4" t="inlineStr">
        <is>
          <t>GCP-DELTA</t>
        </is>
      </c>
      <c r="J61" s="4" t="inlineStr">
        <is>
          <t>Google Cloud採用時に、CLOUD-COMMONで未評価の固有差分へ適用。</t>
        </is>
      </c>
      <c r="K61" s="4" t="inlineStr">
        <is>
          <t>SRC-GCP-WAF</t>
        </is>
      </c>
      <c r="L61" s="4" t="inlineStr">
        <is>
          <t>COST</t>
        </is>
      </c>
      <c r="M61" s="4" t="n"/>
      <c r="N61" s="4" t="n"/>
      <c r="O61" s="4" t="n"/>
      <c r="P61" s="4" t="n"/>
      <c r="Q61" s="4" t="n"/>
      <c r="R61" s="4" t="n"/>
      <c r="S61" s="4" t="n"/>
      <c r="T61" s="4" t="n"/>
      <c r="U61" s="4" t="n"/>
      <c r="V61" s="4" t="n"/>
      <c r="W61" s="4" t="n"/>
    </row>
    <row r="62">
      <c r="A62" s="5" t="inlineStr">
        <is>
          <t>GCP-061</t>
        </is>
      </c>
      <c r="B62" s="5" t="inlineStr">
        <is>
          <t>WAF</t>
        </is>
      </c>
      <c r="C62" s="4" t="inlineStr">
        <is>
          <t>コスト最適化 / Cost optimization</t>
        </is>
      </c>
      <c r="D62" s="10" t="inlineStr">
        <is>
          <t>Medium</t>
        </is>
      </c>
      <c r="E62" s="4" t="inlineStr">
        <is>
          <t>サービス組み込みのコスト最適化機能(Cloud Storage ライフサイクル/Autoclass、BigQuery パーティショニング等)が活用されている</t>
        </is>
      </c>
      <c r="F62" s="4" t="inlineStr">
        <is>
          <t>Cloud Storage の Object Lifecycle Management/Autoclass、BigQuery のパーティショニング・クラスタリングと料金モデル選択、GKE Autopilot 等の適用状況が確認できる</t>
        </is>
      </c>
      <c r="G62" s="4" t="inlineStr">
        <is>
          <t>組み込み最適化を使わないと、ストレージ肥大やスキャン課金増によりコストが不必要に膨らむ。</t>
        </is>
      </c>
      <c r="H62" s="4" t="inlineStr">
        <is>
          <t>Google Cloud Well-Architected Framework &gt; コスト最適化 &gt; Optimize resource usage &gt; Use built-in cost optimization options</t>
        </is>
      </c>
      <c r="I62" s="4" t="inlineStr">
        <is>
          <t>GCP-DELTA</t>
        </is>
      </c>
      <c r="J62" s="4" t="inlineStr">
        <is>
          <t>Google Cloud採用時に、CLOUD-COMMONで未評価の固有差分へ適用。</t>
        </is>
      </c>
      <c r="K62" s="4" t="inlineStr">
        <is>
          <t>SRC-GCP-WAF</t>
        </is>
      </c>
      <c r="L62" s="4" t="inlineStr">
        <is>
          <t>COST</t>
        </is>
      </c>
      <c r="M62" s="4" t="n"/>
      <c r="N62" s="4" t="n"/>
      <c r="O62" s="4" t="n"/>
      <c r="P62" s="4" t="n"/>
      <c r="Q62" s="4" t="n"/>
      <c r="R62" s="4" t="n"/>
      <c r="S62" s="4" t="n"/>
      <c r="T62" s="4" t="n"/>
      <c r="U62" s="4" t="n"/>
      <c r="V62" s="4" t="n"/>
      <c r="W62" s="4" t="n"/>
    </row>
    <row r="63">
      <c r="A63" s="5" t="inlineStr">
        <is>
          <t>GCP-062</t>
        </is>
      </c>
      <c r="B63" s="5" t="inlineStr">
        <is>
          <t>WAF</t>
        </is>
      </c>
      <c r="C63" s="4" t="inlineStr">
        <is>
          <t>コスト最適化 / Cost optimization</t>
        </is>
      </c>
      <c r="D63" s="10" t="inlineStr">
        <is>
          <t>Medium</t>
        </is>
      </c>
      <c r="E63" s="4" t="inlineStr">
        <is>
          <t>組織ポリシーによるコスト規律の強制が検討されている</t>
        </is>
      </c>
      <c r="F63" s="4" t="inlineStr">
        <is>
          <t>高額リソースの作成制限等、組織ポリシーによるコスト統制の要否が検討され、必要なポリシーが設定されている</t>
        </is>
      </c>
      <c r="G63" s="4" t="inlineStr">
        <is>
          <t>統制がないと、意図しない高額リソースの作成による予算超過が防げない。</t>
        </is>
      </c>
      <c r="H63" s="4" t="inlineStr">
        <is>
          <t>Google Cloud Well-Architected Framework &gt; コスト最適化 &gt; Optimize resource usage &gt; Enforce cost discipline using organization policies</t>
        </is>
      </c>
      <c r="I63" s="4" t="inlineStr">
        <is>
          <t>GCP-DELTA</t>
        </is>
      </c>
      <c r="J63" s="4" t="inlineStr">
        <is>
          <t>Google Cloud採用時に、CLOUD-COMMONで未評価の固有差分へ適用。</t>
        </is>
      </c>
      <c r="K63" s="4" t="inlineStr">
        <is>
          <t>SRC-GCP-WAF</t>
        </is>
      </c>
      <c r="L63" s="4" t="inlineStr">
        <is>
          <t>COST</t>
        </is>
      </c>
      <c r="M63" s="4" t="n"/>
      <c r="N63" s="4" t="n"/>
      <c r="O63" s="4" t="n"/>
      <c r="P63" s="4" t="n"/>
      <c r="Q63" s="4" t="n"/>
      <c r="R63" s="4" t="n"/>
      <c r="S63" s="4" t="n"/>
      <c r="T63" s="4" t="n"/>
      <c r="U63" s="4" t="n"/>
      <c r="V63" s="4" t="n"/>
      <c r="W63" s="4" t="n"/>
    </row>
    <row r="64">
      <c r="A64" s="5" t="inlineStr">
        <is>
          <t>GCP-063</t>
        </is>
      </c>
      <c r="B64" s="5" t="inlineStr">
        <is>
          <t>WAF</t>
        </is>
      </c>
      <c r="C64" s="4" t="inlineStr">
        <is>
          <t>コスト最適化 / Cost optimization</t>
        </is>
      </c>
      <c r="D64" s="9" t="inlineStr">
        <is>
          <t>High</t>
        </is>
      </c>
      <c r="E64" s="4" t="inlineStr">
        <is>
          <t>予算・クォータと超過アラートが設定されている</t>
        </is>
      </c>
      <c r="F64" s="4" t="inlineStr">
        <is>
          <t>Cloud Billing の予算とアラートが設定され、プロジェクト/サービス/リソース種別レベルのクォータで財務的な上限が設けられている</t>
        </is>
      </c>
      <c r="G64" s="4" t="inlineStr">
        <is>
          <t>予算アラートがないと、設定ミスや攻撃による急激なコスト増に気づくのが請求後になる。</t>
        </is>
      </c>
      <c r="H64" s="4" t="inlineStr">
        <is>
          <t>Google Cloud Well-Architected Framework &gt; コスト最適化 &gt; Optimize resource usage &gt; Estimate realistic budgets and set financial boundaries</t>
        </is>
      </c>
      <c r="I64" s="4" t="inlineStr">
        <is>
          <t>GCP-DELTA</t>
        </is>
      </c>
      <c r="J64" s="4" t="inlineStr">
        <is>
          <t>Google Cloud採用時に、CLOUD-COMMONで未評価の固有差分へ適用。</t>
        </is>
      </c>
      <c r="K64" s="4" t="inlineStr">
        <is>
          <t>SRC-GCP-WAF</t>
        </is>
      </c>
      <c r="L64" s="4" t="inlineStr">
        <is>
          <t>OPS-OBSERVABILITY;COST</t>
        </is>
      </c>
      <c r="M64" s="4" t="n"/>
      <c r="N64" s="4" t="n"/>
      <c r="O64" s="4" t="n"/>
      <c r="P64" s="4" t="n"/>
      <c r="Q64" s="4" t="n"/>
      <c r="R64" s="4" t="n"/>
      <c r="S64" s="4" t="n"/>
      <c r="T64" s="4" t="n"/>
      <c r="U64" s="4" t="n"/>
      <c r="V64" s="4" t="n"/>
      <c r="W64" s="4" t="n"/>
    </row>
    <row r="65">
      <c r="A65" s="5" t="inlineStr">
        <is>
          <t>GCP-064</t>
        </is>
      </c>
      <c r="B65" s="5" t="inlineStr">
        <is>
          <t>WAF</t>
        </is>
      </c>
      <c r="C65" s="4" t="inlineStr">
        <is>
          <t>コスト最適化 / Cost optimization</t>
        </is>
      </c>
      <c r="D65" s="9" t="inlineStr">
        <is>
          <t>High</t>
        </is>
      </c>
      <c r="E65" s="4" t="inlineStr">
        <is>
          <t>一貫したリソースラベル付けによるコスト配賦ができている</t>
        </is>
      </c>
      <c r="F65" s="4" t="inlineStr">
        <is>
          <t>部門・プロジェクト・環境等を示すラベル規約が定義され、Terraform 等で全リソースに一貫して適用されている</t>
        </is>
      </c>
      <c r="G65" s="4" t="inlineStr">
        <is>
          <t>ラベルがないとコストの帰属先が分からず、コスト配賦も削減判断もできない。</t>
        </is>
      </c>
      <c r="H65" s="4" t="inlineStr">
        <is>
          <t>Google Cloud Well-Architected Framework &gt; コスト最適化 &gt; Foster a culture of cost awareness &gt; Use consistent resource labels</t>
        </is>
      </c>
      <c r="I65" s="4" t="inlineStr">
        <is>
          <t>GCP-DELTA</t>
        </is>
      </c>
      <c r="J65" s="4" t="inlineStr">
        <is>
          <t>Google Cloud採用時に、CLOUD-COMMONで未評価の固有差分へ適用。</t>
        </is>
      </c>
      <c r="K65" s="4" t="inlineStr">
        <is>
          <t>SRC-GCP-WAF</t>
        </is>
      </c>
      <c r="L65" s="4" t="inlineStr">
        <is>
          <t>COST</t>
        </is>
      </c>
      <c r="M65" s="4" t="n"/>
      <c r="N65" s="4" t="n"/>
      <c r="O65" s="4" t="n"/>
      <c r="P65" s="4" t="n"/>
      <c r="Q65" s="4" t="n"/>
      <c r="R65" s="4" t="n"/>
      <c r="S65" s="4" t="n"/>
      <c r="T65" s="4" t="n"/>
      <c r="U65" s="4" t="n"/>
      <c r="V65" s="4" t="n"/>
      <c r="W65" s="4" t="n"/>
    </row>
    <row r="66">
      <c r="A66" s="5" t="inlineStr">
        <is>
          <t>GCP-065</t>
        </is>
      </c>
      <c r="B66" s="5" t="inlineStr">
        <is>
          <t>WAF</t>
        </is>
      </c>
      <c r="C66" s="4" t="inlineStr">
        <is>
          <t>コスト最適化 / Cost optimization</t>
        </is>
      </c>
      <c r="D66" s="10" t="inlineStr">
        <is>
          <t>Medium</t>
        </is>
      </c>
      <c r="E66" s="4" t="inlineStr">
        <is>
          <t>Cloud Billing データの可視化とコストレポートの共有が行われている</t>
        </is>
      </c>
      <c r="F66" s="4" t="inlineStr">
        <is>
          <t>Cloud Billing ダッシュボードや BigQuery エクスポートによるコスト可視化があり、定期レポート・自動通知が関係者に共有されている</t>
        </is>
      </c>
      <c r="G66" s="4" t="inlineStr">
        <is>
          <t>コストが可視化されないと、各チームが自らの支出に責任を持てず浪費が放置される。</t>
        </is>
      </c>
      <c r="H66" s="4" t="inlineStr">
        <is>
          <t>Google Cloud Well-Architected Framework &gt; コスト最適化 &gt; Foster a culture of cost awareness &gt; Provide organization-wide cost visibility / Share cost reports</t>
        </is>
      </c>
      <c r="I66" s="4" t="inlineStr">
        <is>
          <t>GCP-DELTA</t>
        </is>
      </c>
      <c r="J66" s="4" t="inlineStr">
        <is>
          <t>Google Cloud採用時に、CLOUD-COMMONで未評価の固有差分へ適用。</t>
        </is>
      </c>
      <c r="K66" s="4" t="inlineStr">
        <is>
          <t>SRC-GCP-WAF</t>
        </is>
      </c>
      <c r="L66" s="4" t="inlineStr">
        <is>
          <t>COST</t>
        </is>
      </c>
      <c r="M66" s="4" t="n"/>
      <c r="N66" s="4" t="n"/>
      <c r="O66" s="4" t="n"/>
      <c r="P66" s="4" t="n"/>
      <c r="Q66" s="4" t="n"/>
      <c r="R66" s="4" t="n"/>
      <c r="S66" s="4" t="n"/>
      <c r="T66" s="4" t="n"/>
      <c r="U66" s="4" t="n"/>
      <c r="V66" s="4" t="n"/>
      <c r="W66" s="4" t="n"/>
    </row>
    <row r="67">
      <c r="A67" s="5" t="inlineStr">
        <is>
          <t>GCP-066</t>
        </is>
      </c>
      <c r="B67" s="5" t="inlineStr">
        <is>
          <t>WAF</t>
        </is>
      </c>
      <c r="C67" s="4" t="inlineStr">
        <is>
          <t>コスト最適化 / Cost optimization</t>
        </is>
      </c>
      <c r="D67" s="10" t="inlineStr">
        <is>
          <t>Medium</t>
        </is>
      </c>
      <c r="E67" s="4" t="inlineStr">
        <is>
          <t>確約利用割引(CUD)・Spot VM 等の割引オプションが評価されている</t>
        </is>
      </c>
      <c r="F67" s="4" t="inlineStr">
        <is>
          <t>安定稼働ワークロードへの CUD 適用、中断許容ワークロードへの Spot VM 適用が評価され、適用状況または見送り理由が記録されている</t>
        </is>
      </c>
      <c r="G67" s="4" t="inlineStr">
        <is>
          <t>割引を評価しないと、同じ使用量に対して恒常的に定価を払い続けることになる。</t>
        </is>
      </c>
      <c r="H67" s="4" t="inlineStr">
        <is>
          <t>Google Cloud Well-Architected Framework &gt; コスト最適化 &gt; Foster a culture of cost awareness &gt; Understand discount-based cost optimization</t>
        </is>
      </c>
      <c r="I67" s="4" t="inlineStr">
        <is>
          <t>GCP-DELTA</t>
        </is>
      </c>
      <c r="J67" s="4" t="inlineStr">
        <is>
          <t>Google Cloud採用時に、CLOUD-COMMONで未評価の固有差分へ適用。</t>
        </is>
      </c>
      <c r="K67" s="4" t="inlineStr">
        <is>
          <t>SRC-GCP-WAF</t>
        </is>
      </c>
      <c r="L67" s="4" t="inlineStr">
        <is>
          <t>COST</t>
        </is>
      </c>
      <c r="M67" s="4" t="n"/>
      <c r="N67" s="4" t="n"/>
      <c r="O67" s="4" t="n"/>
      <c r="P67" s="4" t="n"/>
      <c r="Q67" s="4" t="n"/>
      <c r="R67" s="4" t="n"/>
      <c r="S67" s="4" t="n"/>
      <c r="T67" s="4" t="n"/>
      <c r="U67" s="4" t="n"/>
      <c r="V67" s="4" t="n"/>
      <c r="W67" s="4" t="n"/>
    </row>
    <row r="68">
      <c r="A68" s="5" t="inlineStr">
        <is>
          <t>GCP-067</t>
        </is>
      </c>
      <c r="B68" s="5" t="inlineStr">
        <is>
          <t>WAF</t>
        </is>
      </c>
      <c r="C68" s="4" t="inlineStr">
        <is>
          <t>コスト最適化 / Cost optimization</t>
        </is>
      </c>
      <c r="D68" s="10" t="inlineStr">
        <is>
          <t>Medium</t>
        </is>
      </c>
      <c r="E68" s="4" t="inlineStr">
        <is>
          <t>Active Assist / Cloud Monitoring によるコストの継続的最適化サイクルがある</t>
        </is>
      </c>
      <c r="F68" s="4" t="inlineStr">
        <is>
          <t>Active Assist(Recommender)の推奨や使用状況インサイトを定期的にレビューし、最適化を実施する運用プロセスが定義されている</t>
        </is>
      </c>
      <c r="G68" s="4" t="inlineStr">
        <is>
          <t>一度の最適化で放置すると、ワークロード変化に伴い非効率が再蓄積する。</t>
        </is>
      </c>
      <c r="H68" s="4" t="inlineStr">
        <is>
          <t>Google Cloud Well-Architected Framework &gt; コスト最適化 &gt; Optimize continuously &gt; Use observability for resource optimization</t>
        </is>
      </c>
      <c r="I68" s="4" t="inlineStr">
        <is>
          <t>GCP-DELTA</t>
        </is>
      </c>
      <c r="J68" s="4" t="inlineStr">
        <is>
          <t>Google Cloud採用時に、CLOUD-COMMONで未評価の固有差分へ適用。</t>
        </is>
      </c>
      <c r="K68" s="4" t="inlineStr">
        <is>
          <t>SRC-GCP-WAF</t>
        </is>
      </c>
      <c r="L68" s="4" t="inlineStr">
        <is>
          <t>COST</t>
        </is>
      </c>
      <c r="M68" s="4" t="n"/>
      <c r="N68" s="4" t="n"/>
      <c r="O68" s="4" t="n"/>
      <c r="P68" s="4" t="n"/>
      <c r="Q68" s="4" t="n"/>
      <c r="R68" s="4" t="n"/>
      <c r="S68" s="4" t="n"/>
      <c r="T68" s="4" t="n"/>
      <c r="U68" s="4" t="n"/>
      <c r="V68" s="4" t="n"/>
      <c r="W68" s="4" t="n"/>
    </row>
    <row r="69">
      <c r="A69" s="5" t="inlineStr">
        <is>
          <t>GCP-068</t>
        </is>
      </c>
      <c r="B69" s="5" t="inlineStr">
        <is>
          <t>WAF</t>
        </is>
      </c>
      <c r="C69" s="4" t="inlineStr">
        <is>
          <t>コスト最適化 / Cost optimization</t>
        </is>
      </c>
      <c r="D69" s="11" t="inlineStr">
        <is>
          <t>Low</t>
        </is>
      </c>
      <c r="E69" s="4" t="inlineStr">
        <is>
          <t>可観測性データ(ログ・トレース・メトリクス)の保持・エクスポートコストが管理されている</t>
        </is>
      </c>
      <c r="F69" s="4" t="inlineStr">
        <is>
          <t>ログ等の保持期間がロール・規制要件に応じて設定され、過剰な保存や不要な外部エクスポートが排除されている</t>
        </is>
      </c>
      <c r="G69" s="4" t="inlineStr">
        <is>
          <t>無計画な可観測性データ蓄積は、監視自体が大きなコスト要因になる。</t>
        </is>
      </c>
      <c r="H69" s="4" t="inlineStr">
        <is>
          <t>Google Cloud Well-Architected Framework &gt; コスト最適化 &gt; Optimize continuously &gt; Balance troubleshooting needs with cost / Tailor data collection to roles and set role-specific retention policies</t>
        </is>
      </c>
      <c r="I69" s="4" t="inlineStr">
        <is>
          <t>GCP-DELTA</t>
        </is>
      </c>
      <c r="J69" s="4" t="inlineStr">
        <is>
          <t>Google Cloud採用時に、CLOUD-COMMONで未評価の固有差分へ適用。</t>
        </is>
      </c>
      <c r="K69" s="4" t="inlineStr">
        <is>
          <t>SRC-GCP-AIML</t>
        </is>
      </c>
      <c r="L69" s="4" t="inlineStr">
        <is>
          <t>OPS-OBSERVABILITY;COST</t>
        </is>
      </c>
      <c r="M69" s="4" t="n"/>
      <c r="N69" s="4" t="n"/>
      <c r="O69" s="4" t="n"/>
      <c r="P69" s="4" t="n"/>
      <c r="Q69" s="4" t="n"/>
      <c r="R69" s="4" t="n"/>
      <c r="S69" s="4" t="n"/>
      <c r="T69" s="4" t="n"/>
      <c r="U69" s="4" t="n"/>
      <c r="V69" s="4" t="n"/>
      <c r="W69" s="4" t="n"/>
    </row>
    <row r="70">
      <c r="A70" s="5" t="inlineStr">
        <is>
          <t>GCP-069</t>
        </is>
      </c>
      <c r="B70" s="5" t="inlineStr">
        <is>
          <t>WAF</t>
        </is>
      </c>
      <c r="C70" s="4" t="inlineStr">
        <is>
          <t>パフォーマンス最適化 / Performance optimization</t>
        </is>
      </c>
      <c r="D70" s="10" t="inlineStr">
        <is>
          <t>Medium</t>
        </is>
      </c>
      <c r="E70" s="4" t="inlineStr">
        <is>
          <t>クォータが把握・管理され、上限接近が監視されている</t>
        </is>
      </c>
      <c r="F70" s="4" t="inlineStr">
        <is>
          <t>利用サービスのクォータが把握され、Cloud Monitoring でクォータ消費の監視・アラートが設定されている</t>
        </is>
      </c>
      <c r="G70" s="4" t="inlineStr">
        <is>
          <t>クォータ上限への到達は、スケールアウト不能や API エラーによる突然の性能劣化を招く。</t>
        </is>
      </c>
      <c r="H70" s="4" t="inlineStr">
        <is>
          <t>Google Cloud Well-Architected Framework &gt; パフォーマンス最適化 &gt; Plan resource allocation &gt; Configure and manage quotas</t>
        </is>
      </c>
      <c r="I70" s="4" t="inlineStr">
        <is>
          <t>GCP-DELTA</t>
        </is>
      </c>
      <c r="J70" s="4" t="inlineStr">
        <is>
          <t>Google Cloud採用時に、CLOUD-COMMONで未評価の固有差分へ適用。</t>
        </is>
      </c>
      <c r="K70" s="4" t="inlineStr">
        <is>
          <t>SRC-GCP-WAF</t>
        </is>
      </c>
      <c r="L70" s="4" t="inlineStr">
        <is>
          <t>OPS-OBSERVABILITY</t>
        </is>
      </c>
      <c r="M70" s="4" t="n"/>
      <c r="N70" s="4" t="n"/>
      <c r="O70" s="4" t="n"/>
      <c r="P70" s="4" t="n"/>
      <c r="Q70" s="4" t="n"/>
      <c r="R70" s="4" t="n"/>
      <c r="S70" s="4" t="n"/>
      <c r="T70" s="4" t="n"/>
      <c r="U70" s="4" t="n"/>
      <c r="V70" s="4" t="n"/>
      <c r="W70" s="4" t="n"/>
    </row>
    <row r="71">
      <c r="A71" s="5" t="inlineStr">
        <is>
          <t>GCP-070</t>
        </is>
      </c>
      <c r="B71" s="5" t="inlineStr">
        <is>
          <t>WAF</t>
        </is>
      </c>
      <c r="C71" s="4" t="inlineStr">
        <is>
          <t>パフォーマンス最適化 / Performance optimization</t>
        </is>
      </c>
      <c r="D71" s="10" t="inlineStr">
        <is>
          <t>Medium</t>
        </is>
      </c>
      <c r="E71" s="4" t="inlineStr">
        <is>
          <t>Cloud Monitoring / Active Assist でパフォーマンスメトリクスが監視されている</t>
        </is>
      </c>
      <c r="F71" s="4" t="inlineStr">
        <is>
          <t>リソース使用率・応答時間等のパフォーマンスメトリクスが監視され、Active Assist のインサイトが最適化に活用されている</t>
        </is>
      </c>
      <c r="G71" s="4" t="inlineStr">
        <is>
          <t>性能監視がないと、劣化がユーザー影響として顕在化するまで気づけない。</t>
        </is>
      </c>
      <c r="H71" s="4" t="inlineStr">
        <is>
          <t>Google Cloud Well-Architected Framework &gt; パフォーマンス最適化 &gt; Plan resource allocation &gt; Monitor performance metrics</t>
        </is>
      </c>
      <c r="I71" s="4" t="inlineStr">
        <is>
          <t>GCP-DELTA</t>
        </is>
      </c>
      <c r="J71" s="4" t="inlineStr">
        <is>
          <t>Google Cloud採用時に、CLOUD-COMMONで未評価の固有差分へ適用。</t>
        </is>
      </c>
      <c r="K71" s="4" t="inlineStr">
        <is>
          <t>SRC-GCP-WAF</t>
        </is>
      </c>
      <c r="L71" s="4" t="inlineStr">
        <is>
          <t>OPS-OBSERVABILITY</t>
        </is>
      </c>
      <c r="M71" s="4" t="n"/>
      <c r="N71" s="4" t="n"/>
      <c r="O71" s="4" t="n"/>
      <c r="P71" s="4" t="n"/>
      <c r="Q71" s="4" t="n"/>
      <c r="R71" s="4" t="n"/>
      <c r="S71" s="4" t="n"/>
      <c r="T71" s="4" t="n"/>
      <c r="U71" s="4" t="n"/>
      <c r="V71" s="4" t="n"/>
      <c r="W71" s="4" t="n"/>
    </row>
    <row r="72">
      <c r="A72" s="5" t="inlineStr">
        <is>
          <t>GCP-071</t>
        </is>
      </c>
      <c r="B72" s="5" t="inlineStr">
        <is>
          <t>WAF</t>
        </is>
      </c>
      <c r="C72" s="4" t="inlineStr">
        <is>
          <t>パフォーマンス最適化 / Performance optimization</t>
        </is>
      </c>
      <c r="D72" s="10" t="inlineStr">
        <is>
          <t>Medium</t>
        </is>
      </c>
      <c r="E72" s="4" t="inlineStr">
        <is>
          <t>ピーク負荷(セール等)に対する事前スケーリング計画がある</t>
        </is>
      </c>
      <c r="F72" s="4" t="inlineStr">
        <is>
          <t>予測可能なピークイベントに対し、事前のスケールアップ/スケールアウト手順と Cloud Monitoring による監視強化が計画されている</t>
        </is>
      </c>
      <c r="G72" s="4" t="inlineStr">
        <is>
          <t>ピークをオートスケールだけに任せると、急峻な負荷立ち上がりに追従できず機会損失が生じる。</t>
        </is>
      </c>
      <c r="H72" s="4" t="inlineStr">
        <is>
          <t>Google Cloud Well-Architected Framework &gt; パフォーマンス最適化 &gt; Take advantage of elasticity &gt; Plan for peak load periods</t>
        </is>
      </c>
      <c r="I72" s="4" t="inlineStr">
        <is>
          <t>GCP-DELTA</t>
        </is>
      </c>
      <c r="J72" s="4" t="inlineStr">
        <is>
          <t>Google Cloud採用時に、CLOUD-COMMONで未評価の固有差分へ適用。</t>
        </is>
      </c>
      <c r="K72" s="4" t="inlineStr">
        <is>
          <t>SRC-GCP-WAF</t>
        </is>
      </c>
      <c r="L72" s="4" t="inlineStr"/>
      <c r="M72" s="4" t="n"/>
      <c r="N72" s="4" t="n"/>
      <c r="O72" s="4" t="n"/>
      <c r="P72" s="4" t="n"/>
      <c r="Q72" s="4" t="n"/>
      <c r="R72" s="4" t="n"/>
      <c r="S72" s="4" t="n"/>
      <c r="T72" s="4" t="n"/>
      <c r="U72" s="4" t="n"/>
      <c r="V72" s="4" t="n"/>
      <c r="W72" s="4" t="n"/>
    </row>
    <row r="73">
      <c r="A73" s="5" t="inlineStr">
        <is>
          <t>GCP-072</t>
        </is>
      </c>
      <c r="B73" s="5" t="inlineStr">
        <is>
          <t>WAF</t>
        </is>
      </c>
      <c r="C73" s="4" t="inlineStr">
        <is>
          <t>パフォーマンス最適化 / Performance optimization</t>
        </is>
      </c>
      <c r="D73" s="11" t="inlineStr">
        <is>
          <t>Low</t>
        </is>
      </c>
      <c r="E73" s="4" t="inlineStr">
        <is>
          <t>Compute Engine の予測オートスケーリングの適用が検討されている</t>
        </is>
      </c>
      <c r="F73" s="4" t="inlineStr">
        <is>
          <t>周期的な負荷パターンを持つワークロードで、履歴トレンドに基づく予測オートスケーリングの採用可否が検討されている</t>
        </is>
      </c>
      <c r="G73" s="4" t="inlineStr">
        <is>
          <t>リアクティブなスケールのみだと、インスタンス起動時間の分だけ需要増への追従が遅れる。</t>
        </is>
      </c>
      <c r="H73" s="4" t="inlineStr">
        <is>
          <t>Google Cloud Well-Architected Framework &gt; パフォーマンス最適化 &gt; Take advantage of elasticity &gt; Use predictive scaling</t>
        </is>
      </c>
      <c r="I73" s="4" t="inlineStr">
        <is>
          <t>GCP-DELTA</t>
        </is>
      </c>
      <c r="J73" s="4" t="inlineStr">
        <is>
          <t>Google Cloud採用時に、CLOUD-COMMONで未評価の固有差分へ適用。</t>
        </is>
      </c>
      <c r="K73" s="4" t="inlineStr">
        <is>
          <t>SRC-GCP-WAF</t>
        </is>
      </c>
      <c r="L73" s="4" t="inlineStr"/>
      <c r="M73" s="4" t="n"/>
      <c r="N73" s="4" t="n"/>
      <c r="O73" s="4" t="n"/>
      <c r="P73" s="4" t="n"/>
      <c r="Q73" s="4" t="n"/>
      <c r="R73" s="4" t="n"/>
      <c r="S73" s="4" t="n"/>
      <c r="T73" s="4" t="n"/>
      <c r="U73" s="4" t="n"/>
      <c r="V73" s="4" t="n"/>
      <c r="W73" s="4" t="n"/>
    </row>
    <row r="74">
      <c r="A74" s="5" t="inlineStr">
        <is>
          <t>GCP-073</t>
        </is>
      </c>
      <c r="B74" s="5" t="inlineStr">
        <is>
          <t>WAF</t>
        </is>
      </c>
      <c r="C74" s="4" t="inlineStr">
        <is>
          <t>パフォーマンス最適化 / Performance optimization</t>
        </is>
      </c>
      <c r="D74" s="10" t="inlineStr">
        <is>
          <t>Medium</t>
        </is>
      </c>
      <c r="E74" s="4" t="inlineStr">
        <is>
          <t>サーバーレス(Cloud Run / Cloud Run functions / BigQuery / Pub/Sub 等)の弾力性が活用されている</t>
        </is>
      </c>
      <c r="F74" s="4" t="inlineStr">
        <is>
          <t>変動の大きいワークロードで、ゼロまでスケールダウンできるサーバーレスサービスの採用が検討され、選択理由が記録されている</t>
        </is>
      </c>
      <c r="G74" s="4" t="inlineStr">
        <is>
          <t>常時起動型の構成に固執すると、アイドル時のコストとスケール調整の運用負荷が残る。</t>
        </is>
      </c>
      <c r="H74" s="4" t="inlineStr">
        <is>
          <t>Google Cloud Well-Architected Framework &gt; パフォーマンス最適化 &gt; Take advantage of elasticity &gt; Implement serverless architectures</t>
        </is>
      </c>
      <c r="I74" s="4" t="inlineStr">
        <is>
          <t>GCP-DELTA</t>
        </is>
      </c>
      <c r="J74" s="4" t="inlineStr">
        <is>
          <t>Google Cloud採用時に、CLOUD-COMMONで未評価の固有差分へ適用。</t>
        </is>
      </c>
      <c r="K74" s="4" t="inlineStr">
        <is>
          <t>SRC-GCP-WAF</t>
        </is>
      </c>
      <c r="L74" s="4" t="inlineStr"/>
      <c r="M74" s="4" t="n"/>
      <c r="N74" s="4" t="n"/>
      <c r="O74" s="4" t="n"/>
      <c r="P74" s="4" t="n"/>
      <c r="Q74" s="4" t="n"/>
      <c r="R74" s="4" t="n"/>
      <c r="S74" s="4" t="n"/>
      <c r="T74" s="4" t="n"/>
      <c r="U74" s="4" t="n"/>
      <c r="V74" s="4" t="n"/>
      <c r="W74" s="4" t="n"/>
    </row>
    <row r="75">
      <c r="A75" s="5" t="inlineStr">
        <is>
          <t>GCP-074</t>
        </is>
      </c>
      <c r="B75" s="5" t="inlineStr">
        <is>
          <t>WAF</t>
        </is>
      </c>
      <c r="C75" s="4" t="inlineStr">
        <is>
          <t>パフォーマンス最適化 / Performance optimization</t>
        </is>
      </c>
      <c r="D75" s="11" t="inlineStr">
        <is>
          <t>Low</t>
        </is>
      </c>
      <c r="E75" s="4" t="inlineStr">
        <is>
          <t>GKE 利用時に Autopilot モードの採用が検討されている</t>
        </is>
      </c>
      <c r="F75" s="4" t="inlineStr">
        <is>
          <t>GKE の Autopilot モード(ノード・リソースの自動スケーリング、自動アップグレード)の採用可否が検討・記録されている</t>
        </is>
      </c>
      <c r="G75" s="4" t="inlineStr">
        <is>
          <t>Standard モードのノード管理を過小評価すると、運用負荷と設定ミスによる性能問題が生じる。</t>
        </is>
      </c>
      <c r="H75" s="4" t="inlineStr">
        <is>
          <t>Google Cloud Well-Architected Framework &gt; パフォーマンス最適化 &gt; Take advantage of elasticity &gt; Use Autopilot mode for Kubernetes</t>
        </is>
      </c>
      <c r="I75" s="4" t="inlineStr">
        <is>
          <t>GCP-DELTA</t>
        </is>
      </c>
      <c r="J75" s="4" t="inlineStr">
        <is>
          <t>Google Cloud採用時に、CLOUD-COMMONで未評価の固有差分へ適用。</t>
        </is>
      </c>
      <c r="K75" s="4" t="inlineStr">
        <is>
          <t>SRC-GCP-WAF</t>
        </is>
      </c>
      <c r="L75" s="4" t="inlineStr"/>
      <c r="M75" s="4" t="n"/>
      <c r="N75" s="4" t="n"/>
      <c r="O75" s="4" t="n"/>
      <c r="P75" s="4" t="n"/>
      <c r="Q75" s="4" t="n"/>
      <c r="R75" s="4" t="n"/>
      <c r="S75" s="4" t="n"/>
      <c r="T75" s="4" t="n"/>
      <c r="U75" s="4" t="n"/>
      <c r="V75" s="4" t="n"/>
      <c r="W75" s="4" t="n"/>
    </row>
    <row r="76">
      <c r="A76" s="5" t="inlineStr">
        <is>
          <t>GCP-075</t>
        </is>
      </c>
      <c r="B76" s="5" t="inlineStr">
        <is>
          <t>WAF</t>
        </is>
      </c>
      <c r="C76" s="4" t="inlineStr">
        <is>
          <t>パフォーマンス最適化 / Performance optimization</t>
        </is>
      </c>
      <c r="D76" s="9" t="inlineStr">
        <is>
          <t>High</t>
        </is>
      </c>
      <c r="E76" s="4" t="inlineStr">
        <is>
          <t>明確なパフォーマンス目標とメトリクスが定義されている</t>
        </is>
      </c>
      <c r="F76" s="4" t="inlineStr">
        <is>
          <t>応答時間・スループット等の性能目標が数値で定義され、対応するメトリクスの計測方法が決まっている</t>
        </is>
      </c>
      <c r="G76" s="4" t="inlineStr">
        <is>
          <t>性能目標がないと、チューニングの合否判定も劣化の検知もできない。</t>
        </is>
      </c>
      <c r="H76" s="4" t="inlineStr">
        <is>
          <t>Google Cloud Well-Architected Framework &gt; パフォーマンス最適化 &gt; Continuously monitor and improve performance &gt; Define clear performance goals and metrics</t>
        </is>
      </c>
      <c r="I76" s="4" t="inlineStr">
        <is>
          <t>GCP-DELTA</t>
        </is>
      </c>
      <c r="J76" s="4" t="inlineStr">
        <is>
          <t>Google Cloud採用時に、CLOUD-COMMONで未評価の固有差分へ適用。</t>
        </is>
      </c>
      <c r="K76" s="4" t="inlineStr">
        <is>
          <t>SRC-GCP-WAF</t>
        </is>
      </c>
      <c r="L76" s="4" t="inlineStr">
        <is>
          <t>OPS-OBSERVABILITY</t>
        </is>
      </c>
      <c r="M76" s="4" t="n"/>
      <c r="N76" s="4" t="n"/>
      <c r="O76" s="4" t="n"/>
      <c r="P76" s="4" t="n"/>
      <c r="Q76" s="4" t="n"/>
      <c r="R76" s="4" t="n"/>
      <c r="S76" s="4" t="n"/>
      <c r="T76" s="4" t="n"/>
      <c r="U76" s="4" t="n"/>
      <c r="V76" s="4" t="n"/>
      <c r="W76" s="4" t="n"/>
    </row>
    <row r="77">
      <c r="A77" s="5" t="inlineStr">
        <is>
          <t>GCP-076</t>
        </is>
      </c>
      <c r="B77" s="5" t="inlineStr">
        <is>
          <t>WAF</t>
        </is>
      </c>
      <c r="C77" s="4" t="inlineStr">
        <is>
          <t>パフォーマンス最適化 / Performance optimization</t>
        </is>
      </c>
      <c r="D77" s="11" t="inlineStr">
        <is>
          <t>Low</t>
        </is>
      </c>
      <c r="E77" s="4" t="inlineStr">
        <is>
          <t>Network Intelligence Center 等でネットワークの高レイテンシ経路が可視化されている</t>
        </is>
      </c>
      <c r="F77" s="4" t="inlineStr">
        <is>
          <t>Google Cloud Observability で CPU/メモリ/ネットワーク消費のホットスポットを特定し、Network Intelligence Center でネットワークトポロジと高レイテンシ経路を可視化する手段が確保されている</t>
        </is>
      </c>
      <c r="G77" s="4" t="inlineStr">
        <is>
          <t>ネットワーク起因の性能劣化は可視化ツールなしでは原因特定が長期化する。</t>
        </is>
      </c>
      <c r="H77" s="4" t="inlineStr">
        <is>
          <t>Google Cloud Well-Architected Framework &gt; パフォーマンス最適化 &gt; Continuously monitor and improve performance &gt; Monitor performance</t>
        </is>
      </c>
      <c r="I77" s="4" t="inlineStr">
        <is>
          <t>GCP-DELTA</t>
        </is>
      </c>
      <c r="J77" s="4" t="inlineStr">
        <is>
          <t>Google Cloud採用時に、CLOUD-COMMONで未評価の固有差分へ適用。</t>
        </is>
      </c>
      <c r="K77" s="4" t="inlineStr">
        <is>
          <t>SRC-GCP-WAF</t>
        </is>
      </c>
      <c r="L77" s="4" t="inlineStr"/>
      <c r="M77" s="4" t="n"/>
      <c r="N77" s="4" t="n"/>
      <c r="O77" s="4" t="n"/>
      <c r="P77" s="4" t="n"/>
      <c r="Q77" s="4" t="n"/>
      <c r="R77" s="4" t="n"/>
      <c r="S77" s="4" t="n"/>
      <c r="T77" s="4" t="n"/>
      <c r="U77" s="4" t="n"/>
      <c r="V77" s="4" t="n"/>
      <c r="W77" s="4" t="n"/>
    </row>
    <row r="78">
      <c r="A78" s="5" t="inlineStr">
        <is>
          <t>GCP-201</t>
        </is>
      </c>
      <c r="B78" s="5" t="inlineStr">
        <is>
          <t>WAF</t>
        </is>
      </c>
      <c r="C78" s="4" t="inlineStr">
        <is>
          <t>AI/ML: 運用の卓越性</t>
        </is>
      </c>
      <c r="D78" s="9" t="inlineStr">
        <is>
          <t>High</t>
        </is>
      </c>
      <c r="E78" s="4" t="inlineStr">
        <is>
          <t>MLワークフロー(データ処理・学習・評価・デプロイ)が Vertex AI Pipelines で自動化され、スケジュール実行または新データ/コード変更をトリガーとした実行が構成されているか。</t>
        </is>
      </c>
      <c r="F78" s="4" t="inlineStr">
        <is>
          <t>パイプライン定義(KFP/TFX SDK)がバージョン管理され、スケジュールまたはトリガー起動の設定と実行メトリクスの監視が確認できる。手動での逐次実行に依存していない。</t>
        </is>
      </c>
      <c r="G78" s="4" t="inlineStr">
        <is>
          <t>ライフサイクル自動化を怠ると手作業ミスと再現性欠如が常態化し、モデル更新が滞って品質劣化に気づけない。</t>
        </is>
      </c>
      <c r="H78" s="4" t="inlineStr">
        <is>
          <t>Well-Architected Framework: AI and ML perspective - Operational excellence &gt; Automate the model-development lifecycle &gt; Use managed pipeline orchestration</t>
        </is>
      </c>
      <c r="I78" s="4" t="inlineStr">
        <is>
          <t>GCP-DELTA</t>
        </is>
      </c>
      <c r="J78" s="4" t="inlineStr">
        <is>
          <t>Google Cloud採用時に、CLOUD-COMMONで未評価の固有差分へ適用。</t>
        </is>
      </c>
      <c r="K78" s="4" t="inlineStr">
        <is>
          <t>SRC-PRACTICE</t>
        </is>
      </c>
      <c r="L78" s="4" t="inlineStr"/>
      <c r="M78" s="4" t="n"/>
      <c r="N78" s="4" t="n"/>
      <c r="O78" s="4" t="n"/>
      <c r="P78" s="4" t="n"/>
      <c r="Q78" s="4" t="n"/>
      <c r="R78" s="4" t="n"/>
      <c r="S78" s="4" t="n"/>
      <c r="T78" s="4" t="n"/>
      <c r="U78" s="4" t="n"/>
      <c r="V78" s="4" t="n"/>
      <c r="W78" s="4" t="n"/>
    </row>
    <row r="79">
      <c r="A79" s="5" t="inlineStr">
        <is>
          <t>GCP-202</t>
        </is>
      </c>
      <c r="B79" s="5" t="inlineStr">
        <is>
          <t>WAF</t>
        </is>
      </c>
      <c r="C79" s="4" t="inlineStr">
        <is>
          <t>AI/ML: 運用の卓越性</t>
        </is>
      </c>
      <c r="D79" s="9" t="inlineStr">
        <is>
          <t>High</t>
        </is>
      </c>
      <c r="E79" s="4" t="inlineStr">
        <is>
          <t>Cloud Build による CI/CD パイプラインでモデルの自動テスト(品質評価・負荷テスト)とデプロイが実施されているか。</t>
        </is>
      </c>
      <c r="F79" s="4" t="inlineStr">
        <is>
          <t>Cloud Build の構成にモデル検証ステップが含まれ、Locust/k6/JMeter 等による負荷テストとレイテンシ・エラー率・リソース使用率の確認が実施記録として残っている。</t>
        </is>
      </c>
      <c r="G79" s="4" t="inlineStr">
        <is>
          <t>テストなしのデプロイは性能未達や品質退行を本番で露呈させ、障害とロールバック工数を招く。</t>
        </is>
      </c>
      <c r="H79" s="4" t="inlineStr">
        <is>
          <t>Well-Architected Framework: AI and ML perspective - Operational excellence &gt; Automate the model-development lifecycle &gt; Implement CI/CD pipelines</t>
        </is>
      </c>
      <c r="I79" s="4" t="inlineStr">
        <is>
          <t>GCP-DELTA</t>
        </is>
      </c>
      <c r="J79" s="4" t="inlineStr">
        <is>
          <t>Google Cloud採用時に、CLOUD-COMMONで未評価の固有差分へ適用。</t>
        </is>
      </c>
      <c r="K79" s="4" t="inlineStr">
        <is>
          <t>SRC-PRACTICE</t>
        </is>
      </c>
      <c r="L79" s="4" t="inlineStr"/>
      <c r="M79" s="4" t="n"/>
      <c r="N79" s="4" t="n"/>
      <c r="O79" s="4" t="n"/>
      <c r="P79" s="4" t="n"/>
      <c r="Q79" s="4" t="n"/>
      <c r="R79" s="4" t="n"/>
      <c r="S79" s="4" t="n"/>
      <c r="T79" s="4" t="n"/>
      <c r="U79" s="4" t="n"/>
      <c r="V79" s="4" t="n"/>
      <c r="W79" s="4" t="n"/>
    </row>
    <row r="80">
      <c r="A80" s="5" t="inlineStr">
        <is>
          <t>GCP-203</t>
        </is>
      </c>
      <c r="B80" s="5" t="inlineStr">
        <is>
          <t>WAF</t>
        </is>
      </c>
      <c r="C80" s="4" t="inlineStr">
        <is>
          <t>AI/ML: 運用の卓越性</t>
        </is>
      </c>
      <c r="D80" s="9" t="inlineStr">
        <is>
          <t>High</t>
        </is>
      </c>
      <c r="E80" s="4" t="inlineStr">
        <is>
          <t>モデル成果物が Vertex AI Model Registry でバージョン管理され、学習パラメータ・評価指標・データセットバージョンのメタデータと紐付いているか。</t>
        </is>
      </c>
      <c r="F80" s="4" t="inlineStr">
        <is>
          <t>Model Registry に本番モデルの全バージョンが登録され、各バージョンから学習条件・評価結果・元データセットへ遡れる。</t>
        </is>
      </c>
      <c r="G80" s="4" t="inlineStr">
        <is>
          <t>モデルの系譜が追えないと、問題発生時に原因特定も過去バージョンへの復旧もできない。</t>
        </is>
      </c>
      <c r="H80" s="4" t="inlineStr">
        <is>
          <t>Well-Architected Framework: AI and ML perspective - Operational excellence &gt; Build a robust foundation for model development &gt; Set up version control</t>
        </is>
      </c>
      <c r="I80" s="4" t="inlineStr">
        <is>
          <t>GCP-DELTA</t>
        </is>
      </c>
      <c r="J80" s="4" t="inlineStr">
        <is>
          <t>Google Cloud採用時に、CLOUD-COMMONで未評価の固有差分へ適用。</t>
        </is>
      </c>
      <c r="K80" s="4" t="inlineStr">
        <is>
          <t>SRC-PRACTICE</t>
        </is>
      </c>
      <c r="L80" s="4" t="inlineStr"/>
      <c r="M80" s="4" t="n"/>
      <c r="N80" s="4" t="n"/>
      <c r="O80" s="4" t="n"/>
      <c r="P80" s="4" t="n"/>
      <c r="Q80" s="4" t="n"/>
      <c r="R80" s="4" t="n"/>
      <c r="S80" s="4" t="n"/>
      <c r="T80" s="4" t="n"/>
      <c r="U80" s="4" t="n"/>
      <c r="V80" s="4" t="n"/>
      <c r="W80" s="4" t="n"/>
    </row>
    <row r="81">
      <c r="A81" s="5" t="inlineStr">
        <is>
          <t>GCP-204</t>
        </is>
      </c>
      <c r="B81" s="5" t="inlineStr">
        <is>
          <t>WAF</t>
        </is>
      </c>
      <c r="C81" s="4" t="inlineStr">
        <is>
          <t>AI/ML: 運用の卓越性</t>
        </is>
      </c>
      <c r="D81" s="9" t="inlineStr">
        <is>
          <t>High</t>
        </is>
      </c>
      <c r="E81" s="4" t="inlineStr">
        <is>
          <t>モデルの本番リリースがカナリアリリース等の段階的戦略で行われ、Vertex AI エンドポイントのトラフィック分割とロールバック手順が定義されているか。</t>
        </is>
      </c>
      <c r="F81" s="4" t="inlineStr">
        <is>
          <t>デプロイ手順にトラフィック分割比率と昇格条件が明記され、Model Monitoring アラートと Model Registry を用いたロールバック手順が文書化・演習済み。</t>
        </is>
      </c>
      <c r="G81" s="4" t="inlineStr">
        <is>
          <t>一括切替は欠陥モデルを全ユーザーに即時露出させ、有害出力や業務停止の影響範囲を最大化する。</t>
        </is>
      </c>
      <c r="H81" s="4" t="inlineStr">
        <is>
          <t>Well-Architected Framework: AI and ML perspective - Operational excellence &gt; Automate the model-development lifecycle &gt; Implement safe and controlled model releases</t>
        </is>
      </c>
      <c r="I81" s="4" t="inlineStr">
        <is>
          <t>GCP-DELTA</t>
        </is>
      </c>
      <c r="J81" s="4" t="inlineStr">
        <is>
          <t>Google Cloud採用時に、CLOUD-COMMONで未評価の固有差分へ適用。</t>
        </is>
      </c>
      <c r="K81" s="4" t="inlineStr">
        <is>
          <t>SRC-PRACTICE</t>
        </is>
      </c>
      <c r="L81" s="4" t="inlineStr"/>
      <c r="M81" s="4" t="n"/>
      <c r="N81" s="4" t="n"/>
      <c r="O81" s="4" t="n"/>
      <c r="P81" s="4" t="n"/>
      <c r="Q81" s="4" t="n"/>
      <c r="R81" s="4" t="n"/>
      <c r="S81" s="4" t="n"/>
      <c r="T81" s="4" t="n"/>
      <c r="U81" s="4" t="n"/>
      <c r="V81" s="4" t="n"/>
      <c r="W81" s="4" t="n"/>
    </row>
    <row r="82">
      <c r="A82" s="5" t="inlineStr">
        <is>
          <t>GCP-205</t>
        </is>
      </c>
      <c r="B82" s="5" t="inlineStr">
        <is>
          <t>WAF</t>
        </is>
      </c>
      <c r="C82" s="4" t="inlineStr">
        <is>
          <t>AI/ML: 運用の卓越性</t>
        </is>
      </c>
      <c r="D82" s="9" t="inlineStr">
        <is>
          <t>High</t>
        </is>
      </c>
      <c r="E82" s="4" t="inlineStr">
        <is>
          <t>Vertex AI Model Monitoring で本番モデルのドリフト(入力データ・予測分布)検知とカスタム閾値アラートが設定されているか。</t>
        </is>
      </c>
      <c r="F82" s="4" t="inlineStr">
        <is>
          <t>Model Monitoring ジョブが有効で、ベースライン(golden dataset/学習時スキーマ)と比較したドリフト検知の閾値・通知先が設定されている。</t>
        </is>
      </c>
      <c r="G82" s="4" t="inlineStr">
        <is>
          <t>ドリフトを放置するとモデルが静かに劣化し、誤った予測に基づく業務判断が蓄積する。</t>
        </is>
      </c>
      <c r="H82" s="4" t="inlineStr">
        <is>
          <t>Well-Architected Framework: AI and ML perspective - Operational excellence &gt; Implement observability &gt; Monitor performance continuously</t>
        </is>
      </c>
      <c r="I82" s="4" t="inlineStr">
        <is>
          <t>GCP-DELTA</t>
        </is>
      </c>
      <c r="J82" s="4" t="inlineStr">
        <is>
          <t>Google Cloud採用時に、CLOUD-COMMONで未評価の固有差分へ適用。</t>
        </is>
      </c>
      <c r="K82" s="4" t="inlineStr">
        <is>
          <t>SRC-PRACTICE</t>
        </is>
      </c>
      <c r="L82" s="4" t="inlineStr">
        <is>
          <t>OPS-OBSERVABILITY</t>
        </is>
      </c>
      <c r="M82" s="4" t="n"/>
      <c r="N82" s="4" t="n"/>
      <c r="O82" s="4" t="n"/>
      <c r="P82" s="4" t="n"/>
      <c r="Q82" s="4" t="n"/>
      <c r="R82" s="4" t="n"/>
      <c r="S82" s="4" t="n"/>
      <c r="T82" s="4" t="n"/>
      <c r="U82" s="4" t="n"/>
      <c r="V82" s="4" t="n"/>
      <c r="W82" s="4" t="n"/>
    </row>
    <row r="83">
      <c r="A83" s="5" t="inlineStr">
        <is>
          <t>GCP-206</t>
        </is>
      </c>
      <c r="B83" s="5" t="inlineStr">
        <is>
          <t>WAF</t>
        </is>
      </c>
      <c r="C83" s="4" t="inlineStr">
        <is>
          <t>AI/ML: 運用の卓越性</t>
        </is>
      </c>
      <c r="D83" s="9" t="inlineStr">
        <is>
          <t>High</t>
        </is>
      </c>
      <c r="E83" s="4" t="inlineStr">
        <is>
          <t>生成AIモデルについて Gen AI evaluation service 等で応答品質・安全性・指示遵守・グラウンディングの評価が定義され、毒性・一貫性・事実正確性の評価指標がリリース判定に組み込まれているか。</t>
        </is>
      </c>
      <c r="F83" s="4" t="inlineStr">
        <is>
          <t>生成AI固有の評価指標(毒性、一貫性、事実正確性、安全性準拠)と合格基準が文書化され、デプロイ前評価とヒューマンインザループ評価の実施記録がある。</t>
        </is>
      </c>
      <c r="G83" s="4" t="inlineStr">
        <is>
          <t>生成AIを従来指標のみで判定すると、有害・不正確な出力が未検出のまま公開される。</t>
        </is>
      </c>
      <c r="H83" s="4" t="inlineStr">
        <is>
          <t>Well-Architected Framework: AI and ML perspective - Operational excellence &gt; Implement observability &gt; Monitor performance continuously / Evaluate models during development</t>
        </is>
      </c>
      <c r="I83" s="4" t="inlineStr">
        <is>
          <t>GCP-DELTA</t>
        </is>
      </c>
      <c r="J83" s="4" t="inlineStr">
        <is>
          <t>Google Cloud採用時に、CLOUD-COMMONで未評価の固有差分へ適用。</t>
        </is>
      </c>
      <c r="K83" s="4" t="inlineStr">
        <is>
          <t>SRC-PRACTICE</t>
        </is>
      </c>
      <c r="L83" s="4" t="inlineStr"/>
      <c r="M83" s="4" t="n"/>
      <c r="N83" s="4" t="n"/>
      <c r="O83" s="4" t="n"/>
      <c r="P83" s="4" t="n"/>
      <c r="Q83" s="4" t="n"/>
      <c r="R83" s="4" t="n"/>
      <c r="S83" s="4" t="n"/>
      <c r="T83" s="4" t="n"/>
      <c r="U83" s="4" t="n"/>
      <c r="V83" s="4" t="n"/>
      <c r="W83" s="4" t="n"/>
    </row>
    <row r="84">
      <c r="A84" s="5" t="inlineStr">
        <is>
          <t>GCP-207</t>
        </is>
      </c>
      <c r="B84" s="5" t="inlineStr">
        <is>
          <t>WAF</t>
        </is>
      </c>
      <c r="C84" s="4" t="inlineStr">
        <is>
          <t>AI/ML: 運用の卓越性</t>
        </is>
      </c>
      <c r="D84" s="9" t="inlineStr">
        <is>
          <t>High</t>
        </is>
      </c>
      <c r="E84" s="4" t="inlineStr">
        <is>
          <t>Vertex AI エンドポイントと基盤インフラ(GKE/Compute Engine/GPU/TPU)の可用性が Cloud Monitoring で監視され、リクエスト率・エラー率・レイテンシ・リソース使用率の異常アラートが設定されているか。</t>
        </is>
      </c>
      <c r="F84" s="4" t="inlineStr">
        <is>
          <t>エンドポイント単位のダッシュボードとアラートポリシーが存在し、インシデント管理ツール(PagerDuty/Slack 等)への通知連携が確認できる。</t>
        </is>
      </c>
      <c r="G84" s="4" t="inlineStr">
        <is>
          <t>推論サービスの劣化検知が遅れると、依存する業務・顧客体験が長時間損なわれる。</t>
        </is>
      </c>
      <c r="H84" s="4" t="inlineStr">
        <is>
          <t>Well-Architected Framework: AI and ML perspective - Operational excellence &gt; Implement observability &gt; Monitor for availability</t>
        </is>
      </c>
      <c r="I84" s="4" t="inlineStr">
        <is>
          <t>GCP-DELTA</t>
        </is>
      </c>
      <c r="J84" s="4" t="inlineStr">
        <is>
          <t>Google Cloud採用時に、CLOUD-COMMONで未評価の固有差分へ適用。</t>
        </is>
      </c>
      <c r="K84" s="4" t="inlineStr">
        <is>
          <t>SRC-PRACTICE</t>
        </is>
      </c>
      <c r="L84" s="4" t="inlineStr">
        <is>
          <t>RELIABILITY-HA;OPS-OBSERVABILITY</t>
        </is>
      </c>
      <c r="M84" s="4" t="n"/>
      <c r="N84" s="4" t="n"/>
      <c r="O84" s="4" t="n"/>
      <c r="P84" s="4" t="n"/>
      <c r="Q84" s="4" t="n"/>
      <c r="R84" s="4" t="n"/>
      <c r="S84" s="4" t="n"/>
      <c r="T84" s="4" t="n"/>
      <c r="U84" s="4" t="n"/>
      <c r="V84" s="4" t="n"/>
      <c r="W84" s="4" t="n"/>
    </row>
    <row r="85">
      <c r="A85" s="5" t="inlineStr">
        <is>
          <t>GCP-208</t>
        </is>
      </c>
      <c r="B85" s="5" t="inlineStr">
        <is>
          <t>WAF</t>
        </is>
      </c>
      <c r="C85" s="4" t="inlineStr">
        <is>
          <t>AI/ML: 運用の卓越性</t>
        </is>
      </c>
      <c r="D85" s="10" t="inlineStr">
        <is>
          <t>Medium</t>
        </is>
      </c>
      <c r="E85" s="4" t="inlineStr">
        <is>
          <t>GPU/TPU 等の Google Cloud クォータを把握し、使用量監視アラートと予測データに基づく事前のクォータ引き上げ申請が運用されているか。</t>
        </is>
      </c>
      <c r="F85" s="4" t="inlineStr">
        <is>
          <t>対象サービスのクォータ一覧と現在使用率が管理され、閾値接近アラートと引き上げ申請の手順・実績が確認できる。</t>
        </is>
      </c>
      <c r="G85" s="4" t="inlineStr">
        <is>
          <t>クォータ上限への到達は学習ジョブ失敗やスケール不能を引き起こし、ピーク時にサービス停止を招く。</t>
        </is>
      </c>
      <c r="H85" s="4" t="inlineStr">
        <is>
          <t>Well-Architected Framework: AI and ML perspective - Operational excellence &gt; Design for scalability &gt; Plan for capacity and quotas</t>
        </is>
      </c>
      <c r="I85" s="4" t="inlineStr">
        <is>
          <t>GCP-DELTA</t>
        </is>
      </c>
      <c r="J85" s="4" t="inlineStr">
        <is>
          <t>Google Cloud採用時に、CLOUD-COMMONで未評価の固有差分へ適用。</t>
        </is>
      </c>
      <c r="K85" s="4" t="inlineStr">
        <is>
          <t>SRC-PRACTICE</t>
        </is>
      </c>
      <c r="L85" s="4" t="inlineStr">
        <is>
          <t>OPS-OBSERVABILITY</t>
        </is>
      </c>
      <c r="M85" s="4" t="n"/>
      <c r="N85" s="4" t="n"/>
      <c r="O85" s="4" t="n"/>
      <c r="P85" s="4" t="n"/>
      <c r="Q85" s="4" t="n"/>
      <c r="R85" s="4" t="n"/>
      <c r="S85" s="4" t="n"/>
      <c r="T85" s="4" t="n"/>
      <c r="U85" s="4" t="n"/>
      <c r="V85" s="4" t="n"/>
      <c r="W85" s="4" t="n"/>
    </row>
    <row r="86">
      <c r="A86" s="5" t="inlineStr">
        <is>
          <t>GCP-209</t>
        </is>
      </c>
      <c r="B86" s="5" t="inlineStr">
        <is>
          <t>WAF</t>
        </is>
      </c>
      <c r="C86" s="4" t="inlineStr">
        <is>
          <t>AI/ML: 運用の卓越性</t>
        </is>
      </c>
      <c r="D86" s="10" t="inlineStr">
        <is>
          <t>Medium</t>
        </is>
      </c>
      <c r="E86" s="4" t="inlineStr">
        <is>
          <t>ピークイベントに備え、Compute Engine/GKE の(予測)自動スケーリング、Cloud Load Balancing によるトラフィック分散、Cloud CDN/Memorystore によるキャッシュ、Pub/Sub によるコンポーネント分離が設計されているか。</t>
        </is>
      </c>
      <c r="F86" s="4" t="inlineStr">
        <is>
          <t>想定ピーク負荷の見積りと負荷テスト結果があり、自動スケーリング設定・グローバル負荷分散・キャッシュ戦略が構成として確認できる。</t>
        </is>
      </c>
      <c r="G86" s="4" t="inlineStr">
        <is>
          <t>ピーク設計を欠くと需要急増時に推論APIが飽和し、機会損失と過剰プロビジョニングの両方を招く。</t>
        </is>
      </c>
      <c r="H86" s="4" t="inlineStr">
        <is>
          <t>Well-Architected Framework: AI and ML perspective - Operational excellence &gt; Design for scalability &gt; Prepare for peak events</t>
        </is>
      </c>
      <c r="I86" s="4" t="inlineStr">
        <is>
          <t>GCP-DELTA</t>
        </is>
      </c>
      <c r="J86" s="4" t="inlineStr">
        <is>
          <t>Google Cloud採用時に、CLOUD-COMMONで未評価の固有差分へ適用。</t>
        </is>
      </c>
      <c r="K86" s="4" t="inlineStr">
        <is>
          <t>SRC-PRACTICE</t>
        </is>
      </c>
      <c r="L86" s="4" t="inlineStr"/>
      <c r="M86" s="4" t="n"/>
      <c r="N86" s="4" t="n"/>
      <c r="O86" s="4" t="n"/>
      <c r="P86" s="4" t="n"/>
      <c r="Q86" s="4" t="n"/>
      <c r="R86" s="4" t="n"/>
      <c r="S86" s="4" t="n"/>
      <c r="T86" s="4" t="n"/>
      <c r="U86" s="4" t="n"/>
      <c r="V86" s="4" t="n"/>
      <c r="W86" s="4" t="n"/>
    </row>
    <row r="87">
      <c r="A87" s="5" t="inlineStr">
        <is>
          <t>GCP-210</t>
        </is>
      </c>
      <c r="B87" s="5" t="inlineStr">
        <is>
          <t>WAF</t>
        </is>
      </c>
      <c r="C87" s="4" t="inlineStr">
        <is>
          <t>AI/ML: 運用の卓越性</t>
        </is>
      </c>
      <c r="D87" s="10" t="inlineStr">
        <is>
          <t>Medium</t>
        </is>
      </c>
      <c r="E87" s="4" t="inlineStr">
        <is>
          <t>学習時とサービング時の特徴量の一貫性を保つため Vertex AI Feature Store が利用され、特徴量が集中管理されているか。</t>
        </is>
      </c>
      <c r="F87" s="4" t="inlineStr">
        <is>
          <t>本番モデルの特徴量が Feature Store で定義・管理され、オンライン/オフラインで同一の特徴量定義が使われている。</t>
        </is>
      </c>
      <c r="G87" s="4" t="inlineStr">
        <is>
          <t>学習・サービング間の特徴量スキューは本番精度を静かに劣化させ、原因究明を困難にする。</t>
        </is>
      </c>
      <c r="H87" s="4" t="inlineStr">
        <is>
          <t>Well-Architected Framework: AI and ML perspective - Operational excellence &gt; Build a robust foundation for model development &gt; Set up version control(Feature Store)</t>
        </is>
      </c>
      <c r="I87" s="4" t="inlineStr">
        <is>
          <t>GCP-DELTA</t>
        </is>
      </c>
      <c r="J87" s="4" t="inlineStr">
        <is>
          <t>Google Cloud採用時に、CLOUD-COMMONで未評価の固有差分へ適用。</t>
        </is>
      </c>
      <c r="K87" s="4" t="inlineStr">
        <is>
          <t>SRC-PRACTICE</t>
        </is>
      </c>
      <c r="L87" s="4" t="inlineStr"/>
      <c r="M87" s="4" t="n"/>
      <c r="N87" s="4" t="n"/>
      <c r="O87" s="4" t="n"/>
      <c r="P87" s="4" t="n"/>
      <c r="Q87" s="4" t="n"/>
      <c r="R87" s="4" t="n"/>
      <c r="S87" s="4" t="n"/>
      <c r="T87" s="4" t="n"/>
      <c r="U87" s="4" t="n"/>
      <c r="V87" s="4" t="n"/>
      <c r="W87" s="4" t="n"/>
    </row>
    <row r="88">
      <c r="A88" s="5" t="inlineStr">
        <is>
          <t>GCP-211</t>
        </is>
      </c>
      <c r="B88" s="5" t="inlineStr">
        <is>
          <t>WAF</t>
        </is>
      </c>
      <c r="C88" s="4" t="inlineStr">
        <is>
          <t>AI/ML: セキュリティ</t>
        </is>
      </c>
      <c r="D88" s="8" t="inlineStr">
        <is>
          <t>Critical</t>
        </is>
      </c>
      <c r="E88" s="4" t="inlineStr">
        <is>
          <t>学習・チューニングに使うデータはデータ最小化原則に従い、Sensitive Data Protection 等で機密データの検出・仮名化・一般化・匿名化が行われているか。</t>
        </is>
      </c>
      <c r="F88" s="4" t="inlineStr">
        <is>
          <t>収集データが目的に必要な範囲に限定されていることが文書化され、機密データのスキャン結果と変換(仮名化/匿名化/合成データ利用)の適用が確認できる。</t>
        </is>
      </c>
      <c r="G88" s="4" t="inlineStr">
        <is>
          <t>不要な機密データの取り込みは、モデル経由の情報漏えい(モデル反転等)と規制違反のリスクを直結で高める。</t>
        </is>
      </c>
      <c r="H88" s="4" t="inlineStr">
        <is>
          <t>Well-Architected Framework: AI and ML perspective - Security &gt; Keep data secure and prevent loss or mishandling &gt; Adhere to data minimization principles</t>
        </is>
      </c>
      <c r="I88" s="4" t="inlineStr">
        <is>
          <t>GCP-DELTA</t>
        </is>
      </c>
      <c r="J88" s="4" t="inlineStr">
        <is>
          <t>Google Cloud採用時に、CLOUD-COMMONで未評価の固有差分へ適用。</t>
        </is>
      </c>
      <c r="K88" s="4" t="inlineStr">
        <is>
          <t>SRC-PRACTICE</t>
        </is>
      </c>
      <c r="L88" s="4" t="inlineStr"/>
      <c r="M88" s="4" t="n"/>
      <c r="N88" s="4" t="n"/>
      <c r="O88" s="4" t="n"/>
      <c r="P88" s="4" t="n"/>
      <c r="Q88" s="4" t="n"/>
      <c r="R88" s="4" t="n"/>
      <c r="S88" s="4" t="n"/>
      <c r="T88" s="4" t="n"/>
      <c r="U88" s="4" t="n"/>
      <c r="V88" s="4" t="n"/>
      <c r="W88" s="4" t="n"/>
    </row>
    <row r="89">
      <c r="A89" s="5" t="inlineStr">
        <is>
          <t>GCP-212</t>
        </is>
      </c>
      <c r="B89" s="5" t="inlineStr">
        <is>
          <t>WAF</t>
        </is>
      </c>
      <c r="C89" s="4" t="inlineStr">
        <is>
          <t>AI/ML: セキュリティ</t>
        </is>
      </c>
      <c r="D89" s="8" t="inlineStr">
        <is>
          <t>Critical</t>
        </is>
      </c>
      <c r="E89" s="4" t="inlineStr">
        <is>
          <t>学習データ・特徴量・モデルへのアクセスが IAM の最小権限で制御され、BigQuery のデータセット/行/列レベル制御、IAM Conditions、Principal Access Boundary、Privileged Access Manager 等が必要に応じて適用されているか。</t>
        </is>
      </c>
      <c r="F89" s="4" t="inlineStr">
        <is>
          <t>AI/ML リソースの IAM ポリシーがロール別に最小権限で定義され、機密データに行/列レベル制御が設定されている。過剰な basic ロール付与がない。</t>
        </is>
      </c>
      <c r="G89" s="4" t="inlineStr">
        <is>
          <t>広すぎる権限は学習データの持ち出し・改ざんやモデル窃取の直接経路になる。</t>
        </is>
      </c>
      <c r="H89" s="4" t="inlineStr">
        <is>
          <t>Well-Architected Framework: AI and ML perspective - Security &gt; Keep data secure and prevent loss or mishandling &gt; Implement role-based access controls with least privilege</t>
        </is>
      </c>
      <c r="I89" s="4" t="inlineStr">
        <is>
          <t>GCP-DELTA</t>
        </is>
      </c>
      <c r="J89" s="4" t="inlineStr">
        <is>
          <t>Google Cloud採用時に、CLOUD-COMMONで未評価の固有差分へ適用。</t>
        </is>
      </c>
      <c r="K89" s="4" t="inlineStr">
        <is>
          <t>SRC-PRACTICE</t>
        </is>
      </c>
      <c r="L89" s="4" t="inlineStr">
        <is>
          <t>SEC-IAM</t>
        </is>
      </c>
      <c r="M89" s="4" t="n"/>
      <c r="N89" s="4" t="n"/>
      <c r="O89" s="4" t="n"/>
      <c r="P89" s="4" t="n"/>
      <c r="Q89" s="4" t="n"/>
      <c r="R89" s="4" t="n"/>
      <c r="S89" s="4" t="n"/>
      <c r="T89" s="4" t="n"/>
      <c r="U89" s="4" t="n"/>
      <c r="V89" s="4" t="n"/>
      <c r="W89" s="4" t="n"/>
    </row>
    <row r="90">
      <c r="A90" s="5" t="inlineStr">
        <is>
          <t>GCP-213</t>
        </is>
      </c>
      <c r="B90" s="5" t="inlineStr">
        <is>
          <t>WAF</t>
        </is>
      </c>
      <c r="C90" s="4" t="inlineStr">
        <is>
          <t>AI/ML: セキュリティ</t>
        </is>
      </c>
      <c r="D90" s="9" t="inlineStr">
        <is>
          <t>High</t>
        </is>
      </c>
      <c r="E90" s="4" t="inlineStr">
        <is>
          <t>学習データとモデル成果物が Cloud KMS の顧客管理鍵(CMEK)で暗号化され、API 通信は HTTPS が強制されているか。</t>
        </is>
      </c>
      <c r="F90" s="4" t="inlineStr">
        <is>
          <t>要件に応じ Cloud Storage/BigQuery/Cloud SQL 等の対象リソースに CMEK が設定され、鍵のローテーションとアクセス制御が確認できる。全通信が TLS。</t>
        </is>
      </c>
      <c r="G90" s="4" t="inlineStr">
        <is>
          <t>暗号化と鍵管理の不備は、ストレージ侵害時にデータとモデルの一括漏えいを許す。</t>
        </is>
      </c>
      <c r="H90" s="4" t="inlineStr">
        <is>
          <t>Well-Architected Framework: AI and ML perspective - Security &gt; Keep data secure and prevent loss or mishandling &gt; Implement security measures for data movement</t>
        </is>
      </c>
      <c r="I90" s="4" t="inlineStr">
        <is>
          <t>GCP-DELTA</t>
        </is>
      </c>
      <c r="J90" s="4" t="inlineStr">
        <is>
          <t>Google Cloud採用時に、CLOUD-COMMONで未評価の固有差分へ適用。</t>
        </is>
      </c>
      <c r="K90" s="4" t="inlineStr">
        <is>
          <t>SRC-PRACTICE</t>
        </is>
      </c>
      <c r="L90" s="4" t="inlineStr">
        <is>
          <t>SEC-CRYPTO</t>
        </is>
      </c>
      <c r="M90" s="4" t="n"/>
      <c r="N90" s="4" t="n"/>
      <c r="O90" s="4" t="n"/>
      <c r="P90" s="4" t="n"/>
      <c r="Q90" s="4" t="n"/>
      <c r="R90" s="4" t="n"/>
      <c r="S90" s="4" t="n"/>
      <c r="T90" s="4" t="n"/>
      <c r="U90" s="4" t="n"/>
      <c r="V90" s="4" t="n"/>
      <c r="W90" s="4" t="n"/>
    </row>
    <row r="91">
      <c r="A91" s="5" t="inlineStr">
        <is>
          <t>GCP-214</t>
        </is>
      </c>
      <c r="B91" s="5" t="inlineStr">
        <is>
          <t>WAF</t>
        </is>
      </c>
      <c r="C91" s="4" t="inlineStr">
        <is>
          <t>AI/ML: セキュリティ</t>
        </is>
      </c>
      <c r="D91" s="9" t="inlineStr">
        <is>
          <t>High</t>
        </is>
      </c>
      <c r="E91" s="4" t="inlineStr">
        <is>
          <t>AI/ML リソース(BigQuery、Cloud Storage、Vertex AI 等)の周囲に VPC Service Controls のサービス境界が設定され、データ持ち出し(exfiltration)経路が制限されているか。</t>
        </is>
      </c>
      <c r="F91" s="4" t="inlineStr">
        <is>
          <t>本番 AI/ML プロジェクトがサービス境界内にあり、境界外へのデータコピーが原則遮断、例外はアクセスレベルとして明示的に管理されている。</t>
        </is>
      </c>
      <c r="G91" s="4" t="inlineStr">
        <is>
          <t>境界防御がないと、窃取された認証情報1つで学習データ・モデルの外部流出が可能になる。</t>
        </is>
      </c>
      <c r="H91" s="4" t="inlineStr">
        <is>
          <t>Well-Architected Framework: AI and ML perspective - Security &gt; Keep data secure and prevent loss or mishandling &gt; Implement security measures for data movement(VPC Service Controls)</t>
        </is>
      </c>
      <c r="I91" s="4" t="inlineStr">
        <is>
          <t>GCP-DELTA</t>
        </is>
      </c>
      <c r="J91" s="4" t="inlineStr">
        <is>
          <t>Google Cloud採用時に、CLOUD-COMMONで未評価の固有差分へ適用。</t>
        </is>
      </c>
      <c r="K91" s="4" t="inlineStr">
        <is>
          <t>SRC-PRACTICE</t>
        </is>
      </c>
      <c r="L91" s="4" t="inlineStr"/>
      <c r="M91" s="4" t="n"/>
      <c r="N91" s="4" t="n"/>
      <c r="O91" s="4" t="n"/>
      <c r="P91" s="4" t="n"/>
      <c r="Q91" s="4" t="n"/>
      <c r="R91" s="4" t="n"/>
      <c r="S91" s="4" t="n"/>
      <c r="T91" s="4" t="n"/>
      <c r="U91" s="4" t="n"/>
      <c r="V91" s="4" t="n"/>
      <c r="W91" s="4" t="n"/>
    </row>
    <row r="92">
      <c r="A92" s="5" t="inlineStr">
        <is>
          <t>GCP-215</t>
        </is>
      </c>
      <c r="B92" s="5" t="inlineStr">
        <is>
          <t>WAF</t>
        </is>
      </c>
      <c r="C92" s="4" t="inlineStr">
        <is>
          <t>AI/ML: セキュリティ</t>
        </is>
      </c>
      <c r="D92" s="8" t="inlineStr">
        <is>
          <t>Critical</t>
        </is>
      </c>
      <c r="E92" s="4" t="inlineStr">
        <is>
          <t>データポイズニング対策として、学習前のデータ検証、統計的異常検知(BigQuery 異常検知等)、データパイプラインの監視・アラート、学習データの人手レビューが実装されているか。</t>
        </is>
      </c>
      <c r="F92" s="4" t="inlineStr">
        <is>
          <t>学習パイプラインに投入前検証ゲートがあり、異常検知の閾値・アラートと重要データセットのレビュープロセスが文書化されている。</t>
        </is>
      </c>
      <c r="G92" s="4" t="inlineStr">
        <is>
          <t>汚染データの混入はモデルの判断を攻撃者の意図どおりに歪め、検出が極めて困難な侵害となる。</t>
        </is>
      </c>
      <c r="H92" s="4" t="inlineStr">
        <is>
          <t>Well-Architected Framework: AI and ML perspective - Security &gt; Keep data secure and prevent loss or mishandling &gt; Guard against data poisoning</t>
        </is>
      </c>
      <c r="I92" s="4" t="inlineStr">
        <is>
          <t>GCP-DELTA</t>
        </is>
      </c>
      <c r="J92" s="4" t="inlineStr">
        <is>
          <t>Google Cloud採用時に、CLOUD-COMMONで未評価の固有差分へ適用。</t>
        </is>
      </c>
      <c r="K92" s="4" t="inlineStr">
        <is>
          <t>SRC-ISO-GENERAL</t>
        </is>
      </c>
      <c r="L92" s="4" t="inlineStr">
        <is>
          <t>OPS-OBSERVABILITY</t>
        </is>
      </c>
      <c r="M92" s="4" t="n"/>
      <c r="N92" s="4" t="n"/>
      <c r="O92" s="4" t="n"/>
      <c r="P92" s="4" t="n"/>
      <c r="Q92" s="4" t="n"/>
      <c r="R92" s="4" t="n"/>
      <c r="S92" s="4" t="n"/>
      <c r="T92" s="4" t="n"/>
      <c r="U92" s="4" t="n"/>
      <c r="V92" s="4" t="n"/>
      <c r="W92" s="4" t="n"/>
    </row>
    <row r="93">
      <c r="A93" s="5" t="inlineStr">
        <is>
          <t>GCP-216</t>
        </is>
      </c>
      <c r="B93" s="5" t="inlineStr">
        <is>
          <t>WAF</t>
        </is>
      </c>
      <c r="C93" s="4" t="inlineStr">
        <is>
          <t>AI/ML: セキュリティ</t>
        </is>
      </c>
      <c r="D93" s="8" t="inlineStr">
        <is>
          <t>Critical</t>
        </is>
      </c>
      <c r="E93" s="4" t="inlineStr">
        <is>
          <t>生成AIアプリケーションで Model Armor 等によるプロンプト/レスポンスのスクリーニング(プロンプトインジェクション検知、有害コンテンツ、PII 露出、ポリシー違反)が入出力の両方に適用されているか。</t>
        </is>
      </c>
      <c r="F93" s="4" t="inlineStr">
        <is>
          <t>本番の LLM 入出力経路に Model Armor またはそれに相当する多層フィルタが挿入され、遮断・記録ポリシーが設定されている。</t>
        </is>
      </c>
      <c r="G93" s="4" t="inlineStr">
        <is>
          <t>入出力の未検査は、プロンプトインジェクションによる情報漏えいと有害出力のユーザー到達を直接許す。</t>
        </is>
      </c>
      <c r="H93" s="4" t="inlineStr">
        <is>
          <t>Well-Architected Framework: AI and ML perspective - Security &gt; Verify and protect inputs / Monitor, evaluate, and prepare to respond to outputs(Model Armor)</t>
        </is>
      </c>
      <c r="I93" s="4" t="inlineStr">
        <is>
          <t>GCP-DELTA</t>
        </is>
      </c>
      <c r="J93" s="4" t="inlineStr">
        <is>
          <t>Google Cloud採用時に、CLOUD-COMMONで未評価の固有差分へ適用。</t>
        </is>
      </c>
      <c r="K93" s="4" t="inlineStr">
        <is>
          <t>SRC-PRACTICE</t>
        </is>
      </c>
      <c r="L93" s="4" t="inlineStr">
        <is>
          <t>PRIVACY;AI-PROMPT-SEC</t>
        </is>
      </c>
      <c r="M93" s="4" t="n"/>
      <c r="N93" s="4" t="n"/>
      <c r="O93" s="4" t="n"/>
      <c r="P93" s="4" t="n"/>
      <c r="Q93" s="4" t="n"/>
      <c r="R93" s="4" t="n"/>
      <c r="S93" s="4" t="n"/>
      <c r="T93" s="4" t="n"/>
      <c r="U93" s="4" t="n"/>
      <c r="V93" s="4" t="n"/>
      <c r="W93" s="4" t="n"/>
    </row>
    <row r="94">
      <c r="A94" s="5" t="inlineStr">
        <is>
          <t>GCP-217</t>
        </is>
      </c>
      <c r="B94" s="5" t="inlineStr">
        <is>
          <t>WAF</t>
        </is>
      </c>
      <c r="C94" s="4" t="inlineStr">
        <is>
          <t>AI/ML: セキュリティ</t>
        </is>
      </c>
      <c r="D94" s="9" t="inlineStr">
        <is>
          <t>High</t>
        </is>
      </c>
      <c r="E94" s="4" t="inlineStr">
        <is>
          <t>AI 成果物のサプライチェーンが SLSA ガイドラインに沿って保護されているか(Cloud Build によるビルドと由来(provenance)メタデータ生成、成果物署名、Artifact Analysis による脆弱性スキャン、Binary Authorization によるデプロイ制限)。</t>
        </is>
      </c>
      <c r="F94" s="4" t="inlineStr">
        <is>
          <t>モデルサービング用コンテナが Cloud Build でビルドされ由来情報を持ち、Artifact Registry で脆弱性スキャンされ、Binary Authorization で署名済みイメージのみデプロイ可能になっている。</t>
        </is>
      </c>
      <c r="G94" s="4" t="inlineStr">
        <is>
          <t>供給網の検証を欠くと、改ざんされたモデルや悪意あるコンテナが本番に混入し得る。</t>
        </is>
      </c>
      <c r="H94" s="4" t="inlineStr">
        <is>
          <t>Well-Architected Framework: AI and ML perspective - Security &gt; Deploy on secure systems with secure tools and artifacts &gt; Follow SLSA guidelines for AI artifacts / Use validated prebuilt container images</t>
        </is>
      </c>
      <c r="I94" s="4" t="inlineStr">
        <is>
          <t>GCP-DELTA</t>
        </is>
      </c>
      <c r="J94" s="4" t="inlineStr">
        <is>
          <t>Google Cloud採用時に、CLOUD-COMMONで未評価の固有差分へ適用。</t>
        </is>
      </c>
      <c r="K94" s="4" t="inlineStr">
        <is>
          <t>SRC-PRACTICE</t>
        </is>
      </c>
      <c r="L94" s="4" t="inlineStr">
        <is>
          <t>SEC-SUPPLY-CHAIN</t>
        </is>
      </c>
      <c r="M94" s="4" t="n"/>
      <c r="N94" s="4" t="n"/>
      <c r="O94" s="4" t="n"/>
      <c r="P94" s="4" t="n"/>
      <c r="Q94" s="4" t="n"/>
      <c r="R94" s="4" t="n"/>
      <c r="S94" s="4" t="n"/>
      <c r="T94" s="4" t="n"/>
      <c r="U94" s="4" t="n"/>
      <c r="V94" s="4" t="n"/>
      <c r="W94" s="4" t="n"/>
    </row>
    <row r="95">
      <c r="A95" s="5" t="inlineStr">
        <is>
          <t>GCP-218</t>
        </is>
      </c>
      <c r="B95" s="5" t="inlineStr">
        <is>
          <t>WAF</t>
        </is>
      </c>
      <c r="C95" s="4" t="inlineStr">
        <is>
          <t>AI/ML: セキュリティ</t>
        </is>
      </c>
      <c r="D95" s="9" t="inlineStr">
        <is>
          <t>High</t>
        </is>
      </c>
      <c r="E95" s="4" t="inlineStr">
        <is>
          <t>パイプラインとモデル成果物が改ざんから保護されているか(Model Registry での署名付き管理、Cloud Storage のアクセス制御、パイプライン専用の最小権限サービスアカウント)。</t>
        </is>
      </c>
      <c r="F95" s="4" t="inlineStr">
        <is>
          <t>モデル成果物の格納先に最小権限のアクセス制御が設定され、パイプラインごとに専用サービスアカウントが分離されている。デフォルトサービスアカウントを使用していない。</t>
        </is>
      </c>
      <c r="G95" s="4" t="inlineStr">
        <is>
          <t>パイプライン権限の共有・過剰付与は、1箇所の侵害で全モデルの改ざんを可能にする。</t>
        </is>
      </c>
      <c r="H95" s="4" t="inlineStr">
        <is>
          <t>Well-Architected Framework: AI and ML perspective - Security &gt; Keep AI pipelines secure and robust against tampering &gt; Protect pipelines and model artifacts from unauthorized access</t>
        </is>
      </c>
      <c r="I95" s="4" t="inlineStr">
        <is>
          <t>GCP-DELTA</t>
        </is>
      </c>
      <c r="J95" s="4" t="inlineStr">
        <is>
          <t>Google Cloud採用時に、CLOUD-COMMONで未評価の固有差分へ適用。</t>
        </is>
      </c>
      <c r="K95" s="4" t="inlineStr">
        <is>
          <t>SRC-PRACTICE</t>
        </is>
      </c>
      <c r="L95" s="4" t="inlineStr">
        <is>
          <t>SEC-IAM</t>
        </is>
      </c>
      <c r="M95" s="4" t="n"/>
      <c r="N95" s="4" t="n"/>
      <c r="O95" s="4" t="n"/>
      <c r="P95" s="4" t="n"/>
      <c r="Q95" s="4" t="n"/>
      <c r="R95" s="4" t="n"/>
      <c r="S95" s="4" t="n"/>
      <c r="T95" s="4" t="n"/>
      <c r="U95" s="4" t="n"/>
      <c r="V95" s="4" t="n"/>
      <c r="W95" s="4" t="n"/>
    </row>
    <row r="96">
      <c r="A96" s="5" t="inlineStr">
        <is>
          <t>GCP-219</t>
        </is>
      </c>
      <c r="B96" s="5" t="inlineStr">
        <is>
          <t>WAF</t>
        </is>
      </c>
      <c r="C96" s="4" t="inlineStr">
        <is>
          <t>AI/ML: セキュリティ</t>
        </is>
      </c>
      <c r="D96" s="9" t="inlineStr">
        <is>
          <t>High</t>
        </is>
      </c>
      <c r="E96" s="4" t="inlineStr">
        <is>
          <t>モデル・データセット・成果物のリネージが Vertex ML Metadata / Knowledge Catalog で追跡され、Cloud Audit Logs で管理操作・モデルデプロイ・データアクセスの監査ログが有効化されているか。</t>
        </is>
      </c>
      <c r="F96" s="4" t="inlineStr">
        <is>
          <t>データソース・変換・学習パラメータのメタデータが記録され、監査ログ(管理アクティビティ+必要なデータアクセスログ)が有効で保持期間が定義されている。</t>
        </is>
      </c>
      <c r="G96" s="4" t="inlineStr">
        <is>
          <t>系譜と監査証跡がないと、インシデント時に影響範囲の特定と説明責任の遂行ができない。</t>
        </is>
      </c>
      <c r="H96" s="4" t="inlineStr">
        <is>
          <t>Well-Architected Framework: AI and ML perspective - Security &gt; Keep AI pipelines secure and robust against tampering &gt; Enforce lineage and tracking</t>
        </is>
      </c>
      <c r="I96" s="4" t="inlineStr">
        <is>
          <t>GCP-DELTA</t>
        </is>
      </c>
      <c r="J96" s="4" t="inlineStr">
        <is>
          <t>Google Cloud採用時に、CLOUD-COMMONで未評価の固有差分へ適用。</t>
        </is>
      </c>
      <c r="K96" s="4" t="inlineStr">
        <is>
          <t>SRC-PRACTICE</t>
        </is>
      </c>
      <c r="L96" s="4" t="inlineStr">
        <is>
          <t>OPS-OBSERVABILITY</t>
        </is>
      </c>
      <c r="M96" s="4" t="n"/>
      <c r="N96" s="4" t="n"/>
      <c r="O96" s="4" t="n"/>
      <c r="P96" s="4" t="n"/>
      <c r="Q96" s="4" t="n"/>
      <c r="R96" s="4" t="n"/>
      <c r="S96" s="4" t="n"/>
      <c r="T96" s="4" t="n"/>
      <c r="U96" s="4" t="n"/>
      <c r="V96" s="4" t="n"/>
      <c r="W96" s="4" t="n"/>
    </row>
    <row r="97">
      <c r="A97" s="5" t="inlineStr">
        <is>
          <t>GCP-220</t>
        </is>
      </c>
      <c r="B97" s="5" t="inlineStr">
        <is>
          <t>WAF</t>
        </is>
      </c>
      <c r="C97" s="4" t="inlineStr">
        <is>
          <t>AI/ML: セキュリティ</t>
        </is>
      </c>
      <c r="D97" s="9" t="inlineStr">
        <is>
          <t>High</t>
        </is>
      </c>
      <c r="E97" s="4" t="inlineStr">
        <is>
          <t>学習・デプロイ環境が分離されているか(専用プロジェクト/VPC、Shielded VM、Private Service Connect・プライベートIPによる非公開通信、GKE Sandbox 等のワークロード分離)。</t>
        </is>
      </c>
      <c r="F97" s="4" t="inlineStr">
        <is>
          <t>学習ジョブがプライベートIP/専用境界内で実行され、本番・実験環境がプロジェクトレベルで分離されている。推論エンドポイントの公開範囲が要件どおり。</t>
        </is>
      </c>
      <c r="G97" s="4" t="inlineStr">
        <is>
          <t>環境分離の欠如は、実験環境の脆弱性から本番データ・モデルへの横展開を許す。</t>
        </is>
      </c>
      <c r="H97" s="4" t="inlineStr">
        <is>
          <t>Well-Architected Framework: AI and ML perspective - Security &gt; Deploy on secure systems with secure tools and artifacts &gt; Train and deploy models in a secure environment</t>
        </is>
      </c>
      <c r="I97" s="4" t="inlineStr">
        <is>
          <t>GCP-DELTA</t>
        </is>
      </c>
      <c r="J97" s="4" t="inlineStr">
        <is>
          <t>Google Cloud採用時に、CLOUD-COMMONで未評価の固有差分へ適用。</t>
        </is>
      </c>
      <c r="K97" s="4" t="inlineStr">
        <is>
          <t>SRC-PRACTICE</t>
        </is>
      </c>
      <c r="L97" s="4" t="inlineStr"/>
      <c r="M97" s="4" t="n"/>
      <c r="N97" s="4" t="n"/>
      <c r="O97" s="4" t="n"/>
      <c r="P97" s="4" t="n"/>
      <c r="Q97" s="4" t="n"/>
      <c r="R97" s="4" t="n"/>
      <c r="S97" s="4" t="n"/>
      <c r="T97" s="4" t="n"/>
      <c r="U97" s="4" t="n"/>
      <c r="V97" s="4" t="n"/>
      <c r="W97" s="4" t="n"/>
    </row>
    <row r="98">
      <c r="A98" s="5" t="inlineStr">
        <is>
          <t>GCP-221</t>
        </is>
      </c>
      <c r="B98" s="5" t="inlineStr">
        <is>
          <t>WAF</t>
        </is>
      </c>
      <c r="C98" s="4" t="inlineStr">
        <is>
          <t>AI/ML: セキュリティ</t>
        </is>
      </c>
      <c r="D98" s="11" t="inlineStr">
        <is>
          <t>Low</t>
        </is>
      </c>
      <c r="E98" s="4" t="inlineStr">
        <is>
          <t>高機密データを扱う学習/推論で、処理中データの暗号化(Confidential VM、Confidential GKE Nodes、GPU 対応の機密計算)とアテステーション検証が検討・適用されているか。</t>
        </is>
      </c>
      <c r="F98" s="4" t="inlineStr">
        <is>
          <t>データ機密性要件の評価記録があり、該当ワークロードに機密計算の採否と根拠が文書化されている。適用時はアテステーション検証手順がある。</t>
        </is>
      </c>
      <c r="G98" s="4" t="inlineStr">
        <is>
          <t>使用中データの保護を怠ると、ホスト侵害時にメモリ上の機密データ・モデルが露出する。</t>
        </is>
      </c>
      <c r="H98" s="4" t="inlineStr">
        <is>
          <t>Well-Architected Framework: AI and ML perspective - Security &gt; Deploy on secure systems with secure tools and artifacts &gt; Consider confidential computing for GPUs</t>
        </is>
      </c>
      <c r="I98" s="4" t="inlineStr">
        <is>
          <t>GCP-DELTA</t>
        </is>
      </c>
      <c r="J98" s="4" t="inlineStr">
        <is>
          <t>Google Cloud採用時に、CLOUD-COMMONで未評価の固有差分へ適用。</t>
        </is>
      </c>
      <c r="K98" s="4" t="inlineStr">
        <is>
          <t>SRC-PRACTICE</t>
        </is>
      </c>
      <c r="L98" s="4" t="inlineStr">
        <is>
          <t>SEC-CRYPTO</t>
        </is>
      </c>
      <c r="M98" s="4" t="n"/>
      <c r="N98" s="4" t="n"/>
      <c r="O98" s="4" t="n"/>
      <c r="P98" s="4" t="n"/>
      <c r="Q98" s="4" t="n"/>
      <c r="R98" s="4" t="n"/>
      <c r="S98" s="4" t="n"/>
      <c r="T98" s="4" t="n"/>
      <c r="U98" s="4" t="n"/>
      <c r="V98" s="4" t="n"/>
      <c r="W98" s="4" t="n"/>
    </row>
    <row r="99">
      <c r="A99" s="5" t="inlineStr">
        <is>
          <t>GCP-222</t>
        </is>
      </c>
      <c r="B99" s="5" t="inlineStr">
        <is>
          <t>WAF</t>
        </is>
      </c>
      <c r="C99" s="4" t="inlineStr">
        <is>
          <t>AI/ML: セキュリティ</t>
        </is>
      </c>
      <c r="D99" s="9" t="inlineStr">
        <is>
          <t>High</t>
        </is>
      </c>
      <c r="E99" s="4" t="inlineStr">
        <is>
          <t>Security Command Center で AI 資産のインベントリ把握・脆弱性検出・セキュリティポスチャのドリフト監視が行われているか(AI Protection 等の活用を含む)。</t>
        </is>
      </c>
      <c r="F99" s="4" t="inlineStr">
        <is>
          <t>SCC が組織/プロジェクトで有効化され、AI/ML 関連の検出結果のトリアージ手順と対応 SLA が定義されている。</t>
        </is>
      </c>
      <c r="G99" s="4" t="inlineStr">
        <is>
          <t>AI 資産の可視性がないと、設定ミスや脆弱性が発見されないまま攻撃面として残る。</t>
        </is>
      </c>
      <c r="H99" s="4" t="inlineStr">
        <is>
          <t>Well-Architected Framework: AI and ML perspective - Security &gt; Define clear goals and requirements / Keep AI pipelines secure(Security Command Center)</t>
        </is>
      </c>
      <c r="I99" s="4" t="inlineStr">
        <is>
          <t>GCP-DELTA</t>
        </is>
      </c>
      <c r="J99" s="4" t="inlineStr">
        <is>
          <t>Google Cloud採用時に、CLOUD-COMMONで未評価の固有差分へ適用。</t>
        </is>
      </c>
      <c r="K99" s="4" t="inlineStr">
        <is>
          <t>SRC-PRACTICE</t>
        </is>
      </c>
      <c r="L99" s="4" t="inlineStr">
        <is>
          <t>OPS-OBSERVABILITY;SEC-SUPPLY-CHAIN</t>
        </is>
      </c>
      <c r="M99" s="4" t="n"/>
      <c r="N99" s="4" t="n"/>
      <c r="O99" s="4" t="n"/>
      <c r="P99" s="4" t="n"/>
      <c r="Q99" s="4" t="n"/>
      <c r="R99" s="4" t="n"/>
      <c r="S99" s="4" t="n"/>
      <c r="T99" s="4" t="n"/>
      <c r="U99" s="4" t="n"/>
      <c r="V99" s="4" t="n"/>
      <c r="W99" s="4" t="n"/>
    </row>
    <row r="100">
      <c r="A100" s="5" t="inlineStr">
        <is>
          <t>GCP-223</t>
        </is>
      </c>
      <c r="B100" s="5" t="inlineStr">
        <is>
          <t>WAF</t>
        </is>
      </c>
      <c r="C100" s="4" t="inlineStr">
        <is>
          <t>AI/ML: セキュリティ</t>
        </is>
      </c>
      <c r="D100" s="9" t="inlineStr">
        <is>
          <t>High</t>
        </is>
      </c>
      <c r="E100" s="4" t="inlineStr">
        <is>
          <t>生成AIシステムに対するレッドチームテストと、不正・不正形式・悪意ある入力(PII/インジェクション類)に対する堅牢性テストがパイプラインに自動化されて組み込まれているか。</t>
        </is>
      </c>
      <c r="F100" s="4" t="inlineStr">
        <is>
          <t>リリース前のレッドチーム演習記録と、CI に組み込まれた敵対的テスト(ファズテスト含む)の実行結果が存在する。</t>
        </is>
      </c>
      <c r="G100" s="4" t="inlineStr">
        <is>
          <t>攻撃者視点の検証を欠くと、公開後に初めてジェイルブレイクや誤動作が発覚する。</t>
        </is>
      </c>
      <c r="H100" s="4" t="inlineStr">
        <is>
          <t>Well-Architected Framework: AI and ML perspective - Security &gt; Verify and protect inputs &gt; Implement practices to secure generative AI systems</t>
        </is>
      </c>
      <c r="I100" s="4" t="inlineStr">
        <is>
          <t>GCP-DELTA</t>
        </is>
      </c>
      <c r="J100" s="4" t="inlineStr">
        <is>
          <t>Google Cloud採用時に、CLOUD-COMMONで未評価の固有差分へ適用。</t>
        </is>
      </c>
      <c r="K100" s="4" t="inlineStr">
        <is>
          <t>SRC-PRACTICE</t>
        </is>
      </c>
      <c r="L100" s="4" t="inlineStr">
        <is>
          <t>PRIVACY</t>
        </is>
      </c>
      <c r="M100" s="4" t="n"/>
      <c r="N100" s="4" t="n"/>
      <c r="O100" s="4" t="n"/>
      <c r="P100" s="4" t="n"/>
      <c r="Q100" s="4" t="n"/>
      <c r="R100" s="4" t="n"/>
      <c r="S100" s="4" t="n"/>
      <c r="T100" s="4" t="n"/>
      <c r="U100" s="4" t="n"/>
      <c r="V100" s="4" t="n"/>
      <c r="W100" s="4" t="n"/>
    </row>
    <row r="101">
      <c r="A101" s="5" t="inlineStr">
        <is>
          <t>GCP-224</t>
        </is>
      </c>
      <c r="B101" s="5" t="inlineStr">
        <is>
          <t>WAF</t>
        </is>
      </c>
      <c r="C101" s="4" t="inlineStr">
        <is>
          <t>AI/ML: セキュリティ</t>
        </is>
      </c>
      <c r="D101" s="9" t="inlineStr">
        <is>
          <t>High</t>
        </is>
      </c>
      <c r="E101" s="4" t="inlineStr">
        <is>
          <t>モデル出力の監視とインシデント対応準備が整っているか(出力異常・改ざん兆候の検知アラート、侵害モデルのロールバック手順、通知プロトコルを含むプレイブック)。</t>
        </is>
      </c>
      <c r="F101" s="4" t="inlineStr">
        <is>
          <t>AI 固有インシデント(有害出力、モデル改ざん、ポイズニング疑い)のプレイブックが存在し、ロールバック手順が演習済み。</t>
        </is>
      </c>
      <c r="G101" s="4" t="inlineStr">
        <is>
          <t>対応手順がないと、有害出力や侵害の発覚後も被害の拡大を止められない。</t>
        </is>
      </c>
      <c r="H101" s="4" t="inlineStr">
        <is>
          <t>Well-Architected Framework: AI and ML perspective - Security &gt; Monitor, evaluate, and prepare to respond to outputs &gt; Prepare incident response procedures</t>
        </is>
      </c>
      <c r="I101" s="4" t="inlineStr">
        <is>
          <t>GCP-DELTA</t>
        </is>
      </c>
      <c r="J101" s="4" t="inlineStr">
        <is>
          <t>Google Cloud採用時に、CLOUD-COMMONで未評価の固有差分へ適用。</t>
        </is>
      </c>
      <c r="K101" s="4" t="inlineStr">
        <is>
          <t>SRC-PRACTICE</t>
        </is>
      </c>
      <c r="L101" s="4" t="inlineStr">
        <is>
          <t>OPS-OBSERVABILITY</t>
        </is>
      </c>
      <c r="M101" s="4" t="n"/>
      <c r="N101" s="4" t="n"/>
      <c r="O101" s="4" t="n"/>
      <c r="P101" s="4" t="n"/>
      <c r="Q101" s="4" t="n"/>
      <c r="R101" s="4" t="n"/>
      <c r="S101" s="4" t="n"/>
      <c r="T101" s="4" t="n"/>
      <c r="U101" s="4" t="n"/>
      <c r="V101" s="4" t="n"/>
      <c r="W101" s="4" t="n"/>
    </row>
    <row r="102">
      <c r="A102" s="5" t="inlineStr">
        <is>
          <t>GCP-225</t>
        </is>
      </c>
      <c r="B102" s="5" t="inlineStr">
        <is>
          <t>WAF</t>
        </is>
      </c>
      <c r="C102" s="4" t="inlineStr">
        <is>
          <t>AI/ML: 信頼性</t>
        </is>
      </c>
      <c r="D102" s="9" t="inlineStr">
        <is>
          <t>High</t>
        </is>
      </c>
      <c r="E102" s="4" t="inlineStr">
        <is>
          <t>推論エンドポイントに自動スケーリングが構成されているか(Vertex AI エンドポイントの最小/最大レプリカ、GKE クラスタオートスケーラ/ノード自動プロビジョニング、Cloud Run のインスタンス上限)。</t>
        </is>
      </c>
      <c r="F102" s="4" t="inlineStr">
        <is>
          <t>本番エンドポイントに最小レプリカ2以上(可用性要件に応じ)と最大レプリカが設定され、負荷テストでスケール動作が検証済み。</t>
        </is>
      </c>
      <c r="G102" s="4" t="inlineStr">
        <is>
          <t>固定キャパシティは需要変動時の停止か恒常的な過剰コストのどちらかを招く。</t>
        </is>
      </c>
      <c r="H102" s="4" t="inlineStr">
        <is>
          <t>Well-Architected Framework: AI and ML perspective - Reliability &gt; Ensure that infrastructure is scalable and highly available &gt; Automatic and dynamic scaling</t>
        </is>
      </c>
      <c r="I102" s="4" t="inlineStr">
        <is>
          <t>GCP-DELTA</t>
        </is>
      </c>
      <c r="J102" s="4" t="inlineStr">
        <is>
          <t>Google Cloud採用時に、CLOUD-COMMONで未評価の固有差分へ適用。</t>
        </is>
      </c>
      <c r="K102" s="4" t="inlineStr">
        <is>
          <t>SRC-PRACTICE</t>
        </is>
      </c>
      <c r="L102" s="4" t="inlineStr"/>
      <c r="M102" s="4" t="n"/>
      <c r="N102" s="4" t="n"/>
      <c r="O102" s="4" t="n"/>
      <c r="P102" s="4" t="n"/>
      <c r="Q102" s="4" t="n"/>
      <c r="R102" s="4" t="n"/>
      <c r="S102" s="4" t="n"/>
      <c r="T102" s="4" t="n"/>
      <c r="U102" s="4" t="n"/>
      <c r="V102" s="4" t="n"/>
      <c r="W102" s="4" t="n"/>
    </row>
    <row r="103">
      <c r="A103" s="5" t="inlineStr">
        <is>
          <t>GCP-226</t>
        </is>
      </c>
      <c r="B103" s="5" t="inlineStr">
        <is>
          <t>WAF</t>
        </is>
      </c>
      <c r="C103" s="4" t="inlineStr">
        <is>
          <t>AI/ML: 信頼性</t>
        </is>
      </c>
      <c r="D103" s="9" t="inlineStr">
        <is>
          <t>High</t>
        </is>
      </c>
      <c r="E103" s="4" t="inlineStr">
        <is>
          <t>可用性要件に応じたマルチゾーン/マルチリージョン設計になっているか(複数リージョンの Vertex AI エンドポイント、GKE リージョナルクラスタ、Cloud Storage マルチリージョン/デュアルリージョンバケット、Cloud SQL リードレプリカ)。</t>
        </is>
      </c>
      <c r="F103" s="4" t="inlineStr">
        <is>
          <t>モデルサービングとデータセットの冗長化構成が可用性目標(SLO)と対応付けて文書化され、フェイルオーバーが検証されている。</t>
        </is>
      </c>
      <c r="G103" s="4" t="inlineStr">
        <is>
          <t>単一ゾーン/リージョン構成は、障害時に AI サービス全体の停止に直結する。</t>
        </is>
      </c>
      <c r="H103" s="4" t="inlineStr">
        <is>
          <t>Well-Architected Framework: AI and ML perspective - Reliability &gt; Ensure that infrastructure is scalable and highly available &gt; Design for HA and fault tolerance</t>
        </is>
      </c>
      <c r="I103" s="4" t="inlineStr">
        <is>
          <t>GCP-DELTA</t>
        </is>
      </c>
      <c r="J103" s="4" t="inlineStr">
        <is>
          <t>Google Cloud採用時に、CLOUD-COMMONで未評価の固有差分へ適用。</t>
        </is>
      </c>
      <c r="K103" s="4" t="inlineStr">
        <is>
          <t>SRC-PRACTICE</t>
        </is>
      </c>
      <c r="L103" s="4" t="inlineStr">
        <is>
          <t>RELIABILITY-HA</t>
        </is>
      </c>
      <c r="M103" s="4" t="n"/>
      <c r="N103" s="4" t="n"/>
      <c r="O103" s="4" t="n"/>
      <c r="P103" s="4" t="n"/>
      <c r="Q103" s="4" t="n"/>
      <c r="R103" s="4" t="n"/>
      <c r="S103" s="4" t="n"/>
      <c r="T103" s="4" t="n"/>
      <c r="U103" s="4" t="n"/>
      <c r="V103" s="4" t="n"/>
      <c r="W103" s="4" t="n"/>
    </row>
    <row r="104">
      <c r="A104" s="5" t="inlineStr">
        <is>
          <t>GCP-227</t>
        </is>
      </c>
      <c r="B104" s="5" t="inlineStr">
        <is>
          <t>WAF</t>
        </is>
      </c>
      <c r="C104" s="4" t="inlineStr">
        <is>
          <t>AI/ML: 信頼性</t>
        </is>
      </c>
      <c r="D104" s="10" t="inlineStr">
        <is>
          <t>Medium</t>
        </is>
      </c>
      <c r="E104" s="4" t="inlineStr">
        <is>
          <t>GPU/TPU の確保戦略が定義されているか(安定稼働分は確約利用割引/予約、耐障害バッチは Spot VM、バッチ学習は Dynamic Workload Scheduler の Flex-Start/Calendar モード)。</t>
        </is>
      </c>
      <c r="F104" s="4" t="inlineStr">
        <is>
          <t>ワークロード種別ごとの調達モード(オンデマンド/Spot/予約/DWS)の使い分け方針が文書化され、実際の構成と一致している。</t>
        </is>
      </c>
      <c r="G104" s="4" t="inlineStr">
        <is>
          <t>アクセラレータの在庫切れ(stock-out)対策がないと、学習・推論が予期せず実行不能になる。</t>
        </is>
      </c>
      <c r="H104" s="4" t="inlineStr">
        <is>
          <t>Well-Architected Framework: AI and ML perspective - Reliability &gt; Ensure that infrastructure is scalable and highly available &gt; Resource management and obtainability</t>
        </is>
      </c>
      <c r="I104" s="4" t="inlineStr">
        <is>
          <t>GCP-DELTA</t>
        </is>
      </c>
      <c r="J104" s="4" t="inlineStr">
        <is>
          <t>Google Cloud採用時に、CLOUD-COMMONで未評価の固有差分へ適用。</t>
        </is>
      </c>
      <c r="K104" s="4" t="inlineStr">
        <is>
          <t>SRC-PRACTICE</t>
        </is>
      </c>
      <c r="L104" s="4" t="inlineStr"/>
      <c r="M104" s="4" t="n"/>
      <c r="N104" s="4" t="n"/>
      <c r="O104" s="4" t="n"/>
      <c r="P104" s="4" t="n"/>
      <c r="Q104" s="4" t="n"/>
      <c r="R104" s="4" t="n"/>
      <c r="S104" s="4" t="n"/>
      <c r="T104" s="4" t="n"/>
      <c r="U104" s="4" t="n"/>
      <c r="V104" s="4" t="n"/>
      <c r="W104" s="4" t="n"/>
    </row>
    <row r="105">
      <c r="A105" s="5" t="inlineStr">
        <is>
          <t>GCP-228</t>
        </is>
      </c>
      <c r="B105" s="5" t="inlineStr">
        <is>
          <t>WAF</t>
        </is>
      </c>
      <c r="C105" s="4" t="inlineStr">
        <is>
          <t>AI/ML: 信頼性</t>
        </is>
      </c>
      <c r="D105" s="10" t="inlineStr">
        <is>
          <t>Medium</t>
        </is>
      </c>
      <c r="E105" s="4" t="inlineStr">
        <is>
          <t>推論トラフィックの負荷分散が適切か(GKE Inference Gateway のモデル認識ルーティングとヘルスチェック、グローバル外部アプリケーションロードバランサ、GPU/CPU バックエンドへのコンテンツベースルーティング、長時間生成リクエストへの WebSocket/gRPC 採用)。</t>
        </is>
      </c>
      <c r="F105" s="4" t="inlineStr">
        <is>
          <t>推論経路のロードバランサ構成とヘルスチェックが定義され、生成AIの長時間リクエストがタイムアウト設計と整合している。</t>
        </is>
      </c>
      <c r="G105" s="4" t="inlineStr">
        <is>
          <t>不適切な負荷分散は特定レプリカの飽和・接続切断を招き、体感品質を大きく損なう。</t>
        </is>
      </c>
      <c r="H105" s="4" t="inlineStr">
        <is>
          <t>Well-Architected Framework: AI and ML perspective - Reliability &gt; Ensure that infrastructure is scalable and highly available &gt; Load balancing</t>
        </is>
      </c>
      <c r="I105" s="4" t="inlineStr">
        <is>
          <t>GCP-DELTA</t>
        </is>
      </c>
      <c r="J105" s="4" t="inlineStr">
        <is>
          <t>Google Cloud採用時に、CLOUD-COMMONで未評価の固有差分へ適用。</t>
        </is>
      </c>
      <c r="K105" s="4" t="inlineStr">
        <is>
          <t>SRC-PRACTICE</t>
        </is>
      </c>
      <c r="L105" s="4" t="inlineStr"/>
      <c r="M105" s="4" t="n"/>
      <c r="N105" s="4" t="n"/>
      <c r="O105" s="4" t="n"/>
      <c r="P105" s="4" t="n"/>
      <c r="Q105" s="4" t="n"/>
      <c r="R105" s="4" t="n"/>
      <c r="S105" s="4" t="n"/>
      <c r="T105" s="4" t="n"/>
      <c r="U105" s="4" t="n"/>
      <c r="V105" s="4" t="n"/>
      <c r="W105" s="4" t="n"/>
    </row>
    <row r="106">
      <c r="A106" s="5" t="inlineStr">
        <is>
          <t>GCP-229</t>
        </is>
      </c>
      <c r="B106" s="5" t="inlineStr">
        <is>
          <t>WAF</t>
        </is>
      </c>
      <c r="C106" s="4" t="inlineStr">
        <is>
          <t>AI/ML: 信頼性</t>
        </is>
      </c>
      <c r="D106" s="10" t="inlineStr">
        <is>
          <t>Medium</t>
        </is>
      </c>
      <c r="E106" s="4" t="inlineStr">
        <is>
          <t>分散学習に非同期チェックポイントが実装され、GPU の Xid エラー等ハードウェア障害の監視と是正アクションが定義されているか。</t>
        </is>
      </c>
      <c r="F106" s="4" t="inlineStr">
        <is>
          <t>長時間学習ジョブが定期チェックポイントから再開可能で、GPU エラー検知時のノード交換/再スケジュールの仕組みが確認できる。</t>
        </is>
      </c>
      <c r="G106" s="4" t="inlineStr">
        <is>
          <t>チェックポイントがないと、障害1回で数日分の学習と高額なアクセラレータ費用を失う。</t>
        </is>
      </c>
      <c r="H106" s="4" t="inlineStr">
        <is>
          <t>Well-Architected Framework: AI and ML perspective - Reliability &gt; Design for graceful degradation / HA and fault tolerance(asynchronous checkpointing, Xid errors)</t>
        </is>
      </c>
      <c r="I106" s="4" t="inlineStr">
        <is>
          <t>GCP-DELTA</t>
        </is>
      </c>
      <c r="J106" s="4" t="inlineStr">
        <is>
          <t>Google Cloud採用時に、CLOUD-COMMONで未評価の固有差分へ適用。</t>
        </is>
      </c>
      <c r="K106" s="4" t="inlineStr">
        <is>
          <t>SRC-PRACTICE</t>
        </is>
      </c>
      <c r="L106" s="4" t="inlineStr">
        <is>
          <t>OPS-OBSERVABILITY</t>
        </is>
      </c>
      <c r="M106" s="4" t="n"/>
      <c r="N106" s="4" t="n"/>
      <c r="O106" s="4" t="n"/>
      <c r="P106" s="4" t="n"/>
      <c r="Q106" s="4" t="n"/>
      <c r="R106" s="4" t="n"/>
      <c r="S106" s="4" t="n"/>
      <c r="T106" s="4" t="n"/>
      <c r="U106" s="4" t="n"/>
      <c r="V106" s="4" t="n"/>
      <c r="W106" s="4" t="n"/>
    </row>
    <row r="107">
      <c r="A107" s="5" t="inlineStr">
        <is>
          <t>GCP-230</t>
        </is>
      </c>
      <c r="B107" s="5" t="inlineStr">
        <is>
          <t>WAF</t>
        </is>
      </c>
      <c r="C107" s="4" t="inlineStr">
        <is>
          <t>AI/ML: 信頼性</t>
        </is>
      </c>
      <c r="D107" s="10" t="inlineStr">
        <is>
          <t>Medium</t>
        </is>
      </c>
      <c r="E107" s="4" t="inlineStr">
        <is>
          <t>AI/ML インフラ(GKE の GPU/TPU ノードプール、Vertex AI エンドポイント、Cloud Storage バケット等)が Terraform/Cluster Toolkit/Config Connector による IaC で管理され、dev→staging→prod の昇格が自動化されているか。</t>
        </is>
      </c>
      <c r="F107" s="4" t="inlineStr">
        <is>
          <t>本番 AI インフラが IaC 定義から再現可能で、変更が CI/CD(Cloud Build)経由でレビュー・適用されている。</t>
        </is>
      </c>
      <c r="G107" s="4" t="inlineStr">
        <is>
          <t>手作業構築の環境は再現不能で、障害復旧と環境間の一貫性維持が困難になる。</t>
        </is>
      </c>
      <c r="H107" s="4" t="inlineStr">
        <is>
          <t>Well-Architected Framework: AI and ML perspective - Reliability &gt; Adopt an automated end-to-end MLOps platform &gt; Manage infrastructure as code</t>
        </is>
      </c>
      <c r="I107" s="4" t="inlineStr">
        <is>
          <t>GCP-DELTA</t>
        </is>
      </c>
      <c r="J107" s="4" t="inlineStr">
        <is>
          <t>Google Cloud採用時に、CLOUD-COMMONで未評価の固有差分へ適用。</t>
        </is>
      </c>
      <c r="K107" s="4" t="inlineStr">
        <is>
          <t>SRC-PRACTICE</t>
        </is>
      </c>
      <c r="L107" s="4" t="inlineStr">
        <is>
          <t>OPS-IAC</t>
        </is>
      </c>
      <c r="M107" s="4" t="n"/>
      <c r="N107" s="4" t="n"/>
      <c r="O107" s="4" t="n"/>
      <c r="P107" s="4" t="n"/>
      <c r="Q107" s="4" t="n"/>
      <c r="R107" s="4" t="n"/>
      <c r="S107" s="4" t="n"/>
      <c r="T107" s="4" t="n"/>
      <c r="U107" s="4" t="n"/>
      <c r="V107" s="4" t="n"/>
      <c r="W107" s="4" t="n"/>
    </row>
    <row r="108">
      <c r="A108" s="5" t="inlineStr">
        <is>
          <t>GCP-231</t>
        </is>
      </c>
      <c r="B108" s="5" t="inlineStr">
        <is>
          <t>WAF</t>
        </is>
      </c>
      <c r="C108" s="4" t="inlineStr">
        <is>
          <t>AI/ML: 信頼性</t>
        </is>
      </c>
      <c r="D108" s="9" t="inlineStr">
        <is>
          <t>High</t>
        </is>
      </c>
      <c r="E108" s="4" t="inlineStr">
        <is>
          <t>パイプラインの入力データ・設定・ファイルの自動検証が実装されているか(TFDV/BigQuery/Dataflow によるデータ品質・分布チェック、jsonschema による設定検証、チェックサムによるファイル整合性検証)。</t>
        </is>
      </c>
      <c r="F108" s="4" t="inlineStr">
        <is>
          <t>学習・推論パイプラインの入口に検証ステップが存在し、検証失敗時の停止・通知と、分布変化検知時の再学習トリガーが構成されている。</t>
        </is>
      </c>
      <c r="G108" s="4" t="inlineStr">
        <is>
          <t>未検証の入力は不良モデルの学習やパイプライン障害を誘発し、下流の全成果物を汚染する。</t>
        </is>
      </c>
      <c r="H108" s="4" t="inlineStr">
        <is>
          <t>Well-Architected Framework: AI and ML perspective - Reliability &gt; Adopt an automated end-to-end MLOps platform &gt; Validate inputs and outputs</t>
        </is>
      </c>
      <c r="I108" s="4" t="inlineStr">
        <is>
          <t>GCP-DELTA</t>
        </is>
      </c>
      <c r="J108" s="4" t="inlineStr">
        <is>
          <t>Google Cloud採用時に、CLOUD-COMMONで未評価の固有差分へ適用。</t>
        </is>
      </c>
      <c r="K108" s="4" t="inlineStr">
        <is>
          <t>SRC-PRACTICE</t>
        </is>
      </c>
      <c r="L108" s="4" t="inlineStr"/>
      <c r="M108" s="4" t="n"/>
      <c r="N108" s="4" t="n"/>
      <c r="O108" s="4" t="n"/>
      <c r="P108" s="4" t="n"/>
      <c r="Q108" s="4" t="n"/>
      <c r="R108" s="4" t="n"/>
      <c r="S108" s="4" t="n"/>
      <c r="T108" s="4" t="n"/>
      <c r="U108" s="4" t="n"/>
      <c r="V108" s="4" t="n"/>
      <c r="W108" s="4" t="n"/>
    </row>
    <row r="109">
      <c r="A109" s="5" t="inlineStr">
        <is>
          <t>GCP-232</t>
        </is>
      </c>
      <c r="B109" s="5" t="inlineStr">
        <is>
          <t>WAF</t>
        </is>
      </c>
      <c r="C109" s="4" t="inlineStr">
        <is>
          <t>AI/ML: 信頼性</t>
        </is>
      </c>
      <c r="D109" s="10" t="inlineStr">
        <is>
          <t>Medium</t>
        </is>
      </c>
      <c r="E109" s="4" t="inlineStr">
        <is>
          <t>RAG システムのベクトルデータベースがマルチゾーンまたはマルチリージョンで冗長化されているか。</t>
        </is>
      </c>
      <c r="F109" s="4" t="inlineStr">
        <is>
          <t>ベクトル検索基盤(Vector Search 等)の冗長構成と復旧手順が文書化され、ゾーン障害時も検索機能が継続することが確認できる。</t>
        </is>
      </c>
      <c r="G109" s="4" t="inlineStr">
        <is>
          <t>ベクトルDBの単一障害点は、グラウンディング機能全体の停止=生成品質の急落を招く。</t>
        </is>
      </c>
      <c r="H109" s="4" t="inlineStr">
        <is>
          <t>Well-Architected Framework: AI and ML perspective - Reliability &gt; Ensure that infrastructure is scalable and highly available &gt; Design for HA and fault tolerance(vector databases for RAG)</t>
        </is>
      </c>
      <c r="I109" s="4" t="inlineStr">
        <is>
          <t>GCP-DELTA</t>
        </is>
      </c>
      <c r="J109" s="4" t="inlineStr">
        <is>
          <t>Google Cloud採用時に、CLOUD-COMMONで未評価の固有差分へ適用。</t>
        </is>
      </c>
      <c r="K109" s="4" t="inlineStr">
        <is>
          <t>SRC-PRACTICE</t>
        </is>
      </c>
      <c r="L109" s="4" t="inlineStr">
        <is>
          <t>RELIABILITY-HA</t>
        </is>
      </c>
      <c r="M109" s="4" t="n"/>
      <c r="N109" s="4" t="n"/>
      <c r="O109" s="4" t="n"/>
      <c r="P109" s="4" t="n"/>
      <c r="Q109" s="4" t="n"/>
      <c r="R109" s="4" t="n"/>
      <c r="S109" s="4" t="n"/>
      <c r="T109" s="4" t="n"/>
      <c r="U109" s="4" t="n"/>
      <c r="V109" s="4" t="n"/>
      <c r="W109" s="4" t="n"/>
    </row>
    <row r="110">
      <c r="A110" s="5" t="inlineStr">
        <is>
          <t>GCP-233</t>
        </is>
      </c>
      <c r="B110" s="5" t="inlineStr">
        <is>
          <t>WAF</t>
        </is>
      </c>
      <c r="C110" s="4" t="inlineStr">
        <is>
          <t>AI/ML: 信頼性</t>
        </is>
      </c>
      <c r="D110" s="10" t="inlineStr">
        <is>
          <t>Medium</t>
        </is>
      </c>
      <c r="E110" s="4" t="inlineStr">
        <is>
          <t>AI サービスに SLO とエラーバジェットが定義され、レイテンシ・スループット・GPU 使用率・モデルドリフト等の AI 固有メトリクスが監視されているか。また障害時のフォールバック(サーキットブレーカー、代替応答)が設計されているか。</t>
        </is>
      </c>
      <c r="F110" s="4" t="inlineStr">
        <is>
          <t>SLO/SLI 定義書が存在し、エラーバジェット消費の監視と、依存障害時のサーキットブレーカー/フォールバック実装が確認できる。</t>
        </is>
      </c>
      <c r="G110" s="4" t="inlineStr">
        <is>
          <t>SLO と縮退設計がないと、部分障害が連鎖して全面停止に発展し、信頼性の議論も感覚頼みになる。</t>
        </is>
      </c>
      <c r="H110" s="4" t="inlineStr">
        <is>
          <t>Well-Architected Framework: AI and ML perspective - Reliability &gt; Use a modular and loosely coupled architecture &gt; Plan for graceful degradation</t>
        </is>
      </c>
      <c r="I110" s="4" t="inlineStr">
        <is>
          <t>GCP-DELTA</t>
        </is>
      </c>
      <c r="J110" s="4" t="inlineStr">
        <is>
          <t>Google Cloud採用時に、CLOUD-COMMONで未評価の固有差分へ適用。</t>
        </is>
      </c>
      <c r="K110" s="4" t="inlineStr">
        <is>
          <t>SRC-PRACTICE</t>
        </is>
      </c>
      <c r="L110" s="4" t="inlineStr">
        <is>
          <t>OPS-OBSERVABILITY</t>
        </is>
      </c>
      <c r="M110" s="4" t="n"/>
      <c r="N110" s="4" t="n"/>
      <c r="O110" s="4" t="n"/>
      <c r="P110" s="4" t="n"/>
      <c r="Q110" s="4" t="n"/>
      <c r="R110" s="4" t="n"/>
      <c r="S110" s="4" t="n"/>
      <c r="T110" s="4" t="n"/>
      <c r="U110" s="4" t="n"/>
      <c r="V110" s="4" t="n"/>
      <c r="W110" s="4" t="n"/>
    </row>
    <row r="111">
      <c r="A111" s="5" t="inlineStr">
        <is>
          <t>GCP-234</t>
        </is>
      </c>
      <c r="B111" s="5" t="inlineStr">
        <is>
          <t>WAF</t>
        </is>
      </c>
      <c r="C111" s="4" t="inlineStr">
        <is>
          <t>AI/ML: 信頼性</t>
        </is>
      </c>
      <c r="D111" s="9" t="inlineStr">
        <is>
          <t>High</t>
        </is>
      </c>
      <c r="E111" s="4" t="inlineStr">
        <is>
          <t>デプロイ前にエンドポイントで予測の正当性・レイテンシ・スループットがテストされ、性能閾値違反時の自動ロールバックが構成されているか(Vertex AI エンドポイントのローリングデプロイ/トラフィック分割、GKE カナリアデプロイ)。</t>
        </is>
      </c>
      <c r="F111" s="4" t="inlineStr">
        <is>
          <t>デプロイパイプラインに事前テストゲートと、閾値違反時の自動ロールバック設定が存在する。</t>
        </is>
      </c>
      <c r="G111" s="4" t="inlineStr">
        <is>
          <t>検証なしの昇格と手動ロールバック頼みでは、劣化モデルの本番滞留時間が長期化する。</t>
        </is>
      </c>
      <c r="H111" s="4" t="inlineStr">
        <is>
          <t>Well-Architected Framework: AI and ML perspective - Reliability &gt; Adopt an automated end-to-end MLOps platform &gt; Automate deployment and continuous monitoring</t>
        </is>
      </c>
      <c r="I111" s="4" t="inlineStr">
        <is>
          <t>GCP-DELTA</t>
        </is>
      </c>
      <c r="J111" s="4" t="inlineStr">
        <is>
          <t>Google Cloud採用時に、CLOUD-COMMONで未評価の固有差分へ適用。</t>
        </is>
      </c>
      <c r="K111" s="4" t="inlineStr">
        <is>
          <t>SRC-PRACTICE</t>
        </is>
      </c>
      <c r="L111" s="4" t="inlineStr"/>
      <c r="M111" s="4" t="n"/>
      <c r="N111" s="4" t="n"/>
      <c r="O111" s="4" t="n"/>
      <c r="P111" s="4" t="n"/>
      <c r="Q111" s="4" t="n"/>
      <c r="R111" s="4" t="n"/>
      <c r="S111" s="4" t="n"/>
      <c r="T111" s="4" t="n"/>
      <c r="U111" s="4" t="n"/>
      <c r="V111" s="4" t="n"/>
      <c r="W111" s="4" t="n"/>
    </row>
    <row r="112">
      <c r="A112" s="5" t="inlineStr">
        <is>
          <t>GCP-235</t>
        </is>
      </c>
      <c r="B112" s="5" t="inlineStr">
        <is>
          <t>WAF</t>
        </is>
      </c>
      <c r="C112" s="4" t="inlineStr">
        <is>
          <t>AI/ML: コスト最適化</t>
        </is>
      </c>
      <c r="D112" s="10" t="inlineStr">
        <is>
          <t>Medium</t>
        </is>
      </c>
      <c r="E112" s="4" t="inlineStr">
        <is>
          <t>AI/ML リソースに意味のあるラベル(プロジェクト、チーム、環境、モデル名、データセット、ユースケース)が付与され、課金データの BigQuery エクスポートと Cloud Billing の異常検知ダッシュボードで分析されているか。</t>
        </is>
      </c>
      <c r="F112" s="4" t="inlineStr">
        <is>
          <t>ラベル付与規約が存在し、課金エクスポートによるモデル/チーム単位のコスト配分レポートが定期的に共有されている。</t>
        </is>
      </c>
      <c r="G112" s="4" t="inlineStr">
        <is>
          <t>コストの内訳が見えないと、GPU/推論費用の暴走を検知できず最適化の打ち手も選べない。</t>
        </is>
      </c>
      <c r="H112" s="4" t="inlineStr">
        <is>
          <t>Well-Architected Framework: AI and ML perspective - Cost optimization &gt; Define and measure costs and returns &gt; Manage billing data / Monitor resources continuously</t>
        </is>
      </c>
      <c r="I112" s="4" t="inlineStr">
        <is>
          <t>GCP-DELTA</t>
        </is>
      </c>
      <c r="J112" s="4" t="inlineStr">
        <is>
          <t>Google Cloud採用時に、CLOUD-COMMONで未評価の固有差分へ適用。</t>
        </is>
      </c>
      <c r="K112" s="4" t="inlineStr">
        <is>
          <t>SRC-PRACTICE</t>
        </is>
      </c>
      <c r="L112" s="4" t="inlineStr">
        <is>
          <t>COST</t>
        </is>
      </c>
      <c r="M112" s="4" t="n"/>
      <c r="N112" s="4" t="n"/>
      <c r="O112" s="4" t="n"/>
      <c r="P112" s="4" t="n"/>
      <c r="Q112" s="4" t="n"/>
      <c r="R112" s="4" t="n"/>
      <c r="S112" s="4" t="n"/>
      <c r="T112" s="4" t="n"/>
      <c r="U112" s="4" t="n"/>
      <c r="V112" s="4" t="n"/>
      <c r="W112" s="4" t="n"/>
    </row>
    <row r="113">
      <c r="A113" s="5" t="inlineStr">
        <is>
          <t>GCP-236</t>
        </is>
      </c>
      <c r="B113" s="5" t="inlineStr">
        <is>
          <t>WAF</t>
        </is>
      </c>
      <c r="C113" s="4" t="inlineStr">
        <is>
          <t>AI/ML: コスト最適化</t>
        </is>
      </c>
      <c r="D113" s="10" t="inlineStr">
        <is>
          <t>Medium</t>
        </is>
      </c>
      <c r="E113" s="4" t="inlineStr">
        <is>
          <t>小さく始める原則が適用されているか(Vertex AI Workbench/Colab Enterprise での小規模実験、代表サブセットでの学習、構造化データでの BigQuery ML 活用、性能要件に応じた段階的スケール)。</t>
        </is>
      </c>
      <c r="F113" s="4" t="inlineStr">
        <is>
          <t>本格構築前の小規模実験(データサブセット・小型モデル)の記録があり、スケールアップの判断根拠(性能/コスト実測)が文書化されている。</t>
        </is>
      </c>
      <c r="G113" s="4" t="inlineStr">
        <is>
          <t>最初から大規模構成にすると、仮説検証前に高額な学習・インフラ費用が沈没する。</t>
        </is>
      </c>
      <c r="H113" s="4" t="inlineStr">
        <is>
          <t>Well-Architected Framework: AI and ML perspective - Cost optimization &gt; Optimize resource allocation &gt; Start with small models and datasets</t>
        </is>
      </c>
      <c r="I113" s="4" t="inlineStr">
        <is>
          <t>GCP-DELTA</t>
        </is>
      </c>
      <c r="J113" s="4" t="inlineStr">
        <is>
          <t>Google Cloud採用時に、CLOUD-COMMONで未評価の固有差分へ適用。</t>
        </is>
      </c>
      <c r="K113" s="4" t="inlineStr">
        <is>
          <t>SRC-PRACTICE</t>
        </is>
      </c>
      <c r="L113" s="4" t="inlineStr">
        <is>
          <t>COST</t>
        </is>
      </c>
      <c r="M113" s="4" t="n"/>
      <c r="N113" s="4" t="n"/>
      <c r="O113" s="4" t="n"/>
      <c r="P113" s="4" t="n"/>
      <c r="Q113" s="4" t="n"/>
      <c r="R113" s="4" t="n"/>
      <c r="S113" s="4" t="n"/>
      <c r="T113" s="4" t="n"/>
      <c r="U113" s="4" t="n"/>
      <c r="V113" s="4" t="n"/>
      <c r="W113" s="4" t="n"/>
    </row>
    <row r="114">
      <c r="A114" s="5" t="inlineStr">
        <is>
          <t>GCP-237</t>
        </is>
      </c>
      <c r="B114" s="5" t="inlineStr">
        <is>
          <t>WAF</t>
        </is>
      </c>
      <c r="C114" s="4" t="inlineStr">
        <is>
          <t>AI/ML: コスト最適化</t>
        </is>
      </c>
      <c r="D114" s="10" t="inlineStr">
        <is>
          <t>Medium</t>
        </is>
      </c>
      <c r="E114" s="4" t="inlineStr">
        <is>
          <t>ゼロからの学習の前に、Model Garden の事前学習モデル(Gemini/Gemma/オープンモデル/サードパーティ)や AI API(Vision、Natural Language、Speech-to-Text、Document AI 等)、転移学習・アダプタチューニング等のパラメータ効率チューニングが検討されているか。</t>
        </is>
      </c>
      <c r="F114" s="4" t="inlineStr">
        <is>
          <t>モデル選定記録に「既存モデル/API 利用」対「独自学習」の比較評価があり、チューニング方式(PEFT/教師ありファインチューニング)の選定根拠が示されている。</t>
        </is>
      </c>
      <c r="G114" s="4" t="inlineStr">
        <is>
          <t>既存資産を無視した独自開発は、開発期間と学習コストを桁違いに増大させる。</t>
        </is>
      </c>
      <c r="H114" s="4" t="inlineStr">
        <is>
          <t>Well-Architected Framework: AI and ML perspective - Cost optimization &gt; Use managed services and pre-trained models &gt; Start with existing and pre-trained models</t>
        </is>
      </c>
      <c r="I114" s="4" t="inlineStr">
        <is>
          <t>GCP-DELTA</t>
        </is>
      </c>
      <c r="J114" s="4" t="inlineStr">
        <is>
          <t>Google Cloud採用時に、CLOUD-COMMONで未評価の固有差分へ適用。</t>
        </is>
      </c>
      <c r="K114" s="4" t="inlineStr">
        <is>
          <t>SRC-PRACTICE</t>
        </is>
      </c>
      <c r="L114" s="4" t="inlineStr">
        <is>
          <t>COST</t>
        </is>
      </c>
      <c r="M114" s="4" t="n"/>
      <c r="N114" s="4" t="n"/>
      <c r="O114" s="4" t="n"/>
      <c r="P114" s="4" t="n"/>
      <c r="Q114" s="4" t="n"/>
      <c r="R114" s="4" t="n"/>
      <c r="S114" s="4" t="n"/>
      <c r="T114" s="4" t="n"/>
      <c r="U114" s="4" t="n"/>
      <c r="V114" s="4" t="n"/>
      <c r="W114" s="4" t="n"/>
    </row>
    <row r="115">
      <c r="A115" s="5" t="inlineStr">
        <is>
          <t>GCP-238</t>
        </is>
      </c>
      <c r="B115" s="5" t="inlineStr">
        <is>
          <t>WAF</t>
        </is>
      </c>
      <c r="C115" s="4" t="inlineStr">
        <is>
          <t>AI/ML: コスト最適化</t>
        </is>
      </c>
      <c r="D115" s="10" t="inlineStr">
        <is>
          <t>Medium</t>
        </is>
      </c>
      <c r="E115" s="4" t="inlineStr">
        <is>
          <t>推論リソースのライトサイジングと自動スケーリングが実測に基づき調整されているか(Vertex AI Inference/GKE のレプリカ・マシンタイプ・アクセラレータ選定、リクエスト率/レイテンシ/使用率に基づくスケール、収穫逓減の閾値定義)。</t>
        </is>
      </c>
      <c r="F115" s="4" t="inlineStr">
        <is>
          <t>使用率・コスト・性能(学習時間、レイテンシ、精度)の実験記録に基づくリソース構成の根拠があり、遊休リソースの検出・是正が行われている。</t>
        </is>
      </c>
      <c r="G115" s="4" t="inlineStr">
        <is>
          <t>過剰プロビジョニングされた GPU/TPU は最大級の無駄なクラウド支出源になる。</t>
        </is>
      </c>
      <c r="H115" s="4" t="inlineStr">
        <is>
          <t>Well-Architected Framework: AI and ML perspective - Cost optimization &gt; Optimize resource allocation &gt; Use autoscaling / Discover resource requirements through experimentation</t>
        </is>
      </c>
      <c r="I115" s="4" t="inlineStr">
        <is>
          <t>GCP-DELTA</t>
        </is>
      </c>
      <c r="J115" s="4" t="inlineStr">
        <is>
          <t>Google Cloud採用時に、CLOUD-COMMONで未評価の固有差分へ適用。</t>
        </is>
      </c>
      <c r="K115" s="4" t="inlineStr">
        <is>
          <t>SRC-PRACTICE</t>
        </is>
      </c>
      <c r="L115" s="4" t="inlineStr">
        <is>
          <t>COST</t>
        </is>
      </c>
      <c r="M115" s="4" t="n"/>
      <c r="N115" s="4" t="n"/>
      <c r="O115" s="4" t="n"/>
      <c r="P115" s="4" t="n"/>
      <c r="Q115" s="4" t="n"/>
      <c r="R115" s="4" t="n"/>
      <c r="S115" s="4" t="n"/>
      <c r="T115" s="4" t="n"/>
      <c r="U115" s="4" t="n"/>
      <c r="V115" s="4" t="n"/>
      <c r="W115" s="4" t="n"/>
    </row>
    <row r="116">
      <c r="A116" s="5" t="inlineStr">
        <is>
          <t>GCP-239</t>
        </is>
      </c>
      <c r="B116" s="5" t="inlineStr">
        <is>
          <t>WAF</t>
        </is>
      </c>
      <c r="C116" s="4" t="inlineStr">
        <is>
          <t>AI/ML: コスト最適化</t>
        </is>
      </c>
      <c r="D116" s="10" t="inlineStr">
        <is>
          <t>Medium</t>
        </is>
      </c>
      <c r="E116" s="4" t="inlineStr">
        <is>
          <t>データ・特徴量の再利用基盤が整備されているか(Knowledge Catalog によるデータガバナンスと発見性、BigQuery sharing/データクリーンルーム、Feature Store による特徴量共有、Cloud Storage+BigQuery オブジェクトテーブル)。</t>
        </is>
      </c>
      <c r="F116" s="4" t="inlineStr">
        <is>
          <t>主要データセット・特徴量がカタログに公開され、複数プロジェクト/チームでの再利用実績または方針が確認できる。</t>
        </is>
      </c>
      <c r="G116" s="4" t="inlineStr">
        <is>
          <t>重複したデータエンジニアリングはストレージ・処理コストと品質不整合を組織全体に増殖させる。</t>
        </is>
      </c>
      <c r="H116" s="4" t="inlineStr">
        <is>
          <t>Well-Architected Framework: AI and ML perspective - Cost optimization &gt; Enforce data management and governance practices &gt; Make datasets and features reusable</t>
        </is>
      </c>
      <c r="I116" s="4" t="inlineStr">
        <is>
          <t>GCP-DELTA</t>
        </is>
      </c>
      <c r="J116" s="4" t="inlineStr">
        <is>
          <t>Google Cloud採用時に、CLOUD-COMMONで未評価の固有差分へ適用。</t>
        </is>
      </c>
      <c r="K116" s="4" t="inlineStr">
        <is>
          <t>SRC-PRACTICE</t>
        </is>
      </c>
      <c r="L116" s="4" t="inlineStr">
        <is>
          <t>COST</t>
        </is>
      </c>
      <c r="M116" s="4" t="n"/>
      <c r="N116" s="4" t="n"/>
      <c r="O116" s="4" t="n"/>
      <c r="P116" s="4" t="n"/>
      <c r="Q116" s="4" t="n"/>
      <c r="R116" s="4" t="n"/>
      <c r="S116" s="4" t="n"/>
      <c r="T116" s="4" t="n"/>
      <c r="U116" s="4" t="n"/>
      <c r="V116" s="4" t="n"/>
      <c r="W116" s="4" t="n"/>
    </row>
    <row r="117">
      <c r="A117" s="5" t="inlineStr">
        <is>
          <t>GCP-240</t>
        </is>
      </c>
      <c r="B117" s="5" t="inlineStr">
        <is>
          <t>WAF</t>
        </is>
      </c>
      <c r="C117" s="4" t="inlineStr">
        <is>
          <t>AI/ML: コスト最適化</t>
        </is>
      </c>
      <c r="D117" s="10" t="inlineStr">
        <is>
          <t>Medium</t>
        </is>
      </c>
      <c r="E117" s="4" t="inlineStr">
        <is>
          <t>FinOps 原則に基づき、各 AI/ML プロジェクトにコスト見積り・予算・アラート(Cloud Billing 予算とアラート)とコスト/便益のオーナーシップが割り当てられ、ビジネス KPI(ROI)と対比されているか。</t>
        </is>
      </c>
      <c r="F117" s="4" t="inlineStr">
        <is>
          <t>プロジェクトごとの予算・アラート設定と、コスト対効果(業界 KPI: 収益向上、コスト削減等)の定期レビュー記録が存在する。</t>
        </is>
      </c>
      <c r="G117" s="4" t="inlineStr">
        <is>
          <t>ROI 測定なしの AI 投資は、価値を生まないワークロードへの支出を放置する。</t>
        </is>
      </c>
      <c r="H117" s="4" t="inlineStr">
        <is>
          <t>Well-Architected Framework: AI and ML perspective - Cost optimization &gt; Define and measure costs and returns &gt; Establish business goals and KPIs / Foster a culture of cost awareness</t>
        </is>
      </c>
      <c r="I117" s="4" t="inlineStr">
        <is>
          <t>GCP-DELTA</t>
        </is>
      </c>
      <c r="J117" s="4" t="inlineStr">
        <is>
          <t>Google Cloud採用時に、CLOUD-COMMONで未評価の固有差分へ適用。</t>
        </is>
      </c>
      <c r="K117" s="4" t="inlineStr">
        <is>
          <t>SRC-PRACTICE</t>
        </is>
      </c>
      <c r="L117" s="4" t="inlineStr">
        <is>
          <t>OPS-OBSERVABILITY;COST</t>
        </is>
      </c>
      <c r="M117" s="4" t="n"/>
      <c r="N117" s="4" t="n"/>
      <c r="O117" s="4" t="n"/>
      <c r="P117" s="4" t="n"/>
      <c r="Q117" s="4" t="n"/>
      <c r="R117" s="4" t="n"/>
      <c r="S117" s="4" t="n"/>
      <c r="T117" s="4" t="n"/>
      <c r="U117" s="4" t="n"/>
      <c r="V117" s="4" t="n"/>
      <c r="W117" s="4" t="n"/>
    </row>
    <row r="118">
      <c r="A118" s="5" t="inlineStr">
        <is>
          <t>GCP-241</t>
        </is>
      </c>
      <c r="B118" s="5" t="inlineStr">
        <is>
          <t>WAF</t>
        </is>
      </c>
      <c r="C118" s="4" t="inlineStr">
        <is>
          <t>AI/ML: パフォーマンス最適化</t>
        </is>
      </c>
      <c r="D118" s="10" t="inlineStr">
        <is>
          <t>Medium</t>
        </is>
      </c>
      <c r="E118" s="4" t="inlineStr">
        <is>
          <t>実験・学習の性能が体系的に追跡されているか(Vertex AI Experiments+Vertex AI TensorBoard による実験・メトリクス追跡、Ops Agent+NVIDIA DCGM による GPU プロファイリング)。</t>
        </is>
      </c>
      <c r="F118" s="4" t="inlineStr">
        <is>
          <t>実験ごとにパラメータ・コード/データセットバージョン・結果が記録され、GPU 使用率等のプロファイル結果からボトルネック分析が行われている。</t>
        </is>
      </c>
      <c r="G118" s="4" t="inlineStr">
        <is>
          <t>実験追跡がないと結果を再現できず、高価なアクセラレータの低使用率にも気づけない。</t>
        </is>
      </c>
      <c r="H118" s="4" t="inlineStr">
        <is>
          <t>Well-Architected Framework: AI and ML perspective - Performance optimization &gt; Establish performance objectives and evaluation methods &gt; Monitor performance across lifecycle stages</t>
        </is>
      </c>
      <c r="I118" s="4" t="inlineStr">
        <is>
          <t>GCP-DELTA</t>
        </is>
      </c>
      <c r="J118" s="4" t="inlineStr">
        <is>
          <t>Google Cloud採用時に、CLOUD-COMMONで未評価の固有差分へ適用。</t>
        </is>
      </c>
      <c r="K118" s="4" t="inlineStr">
        <is>
          <t>SRC-PRACTICE</t>
        </is>
      </c>
      <c r="L118" s="4" t="inlineStr">
        <is>
          <t>OPS-OBSERVABILITY</t>
        </is>
      </c>
      <c r="M118" s="4" t="n"/>
      <c r="N118" s="4" t="n"/>
      <c r="O118" s="4" t="n"/>
      <c r="P118" s="4" t="n"/>
      <c r="Q118" s="4" t="n"/>
      <c r="R118" s="4" t="n"/>
      <c r="S118" s="4" t="n"/>
      <c r="T118" s="4" t="n"/>
      <c r="U118" s="4" t="n"/>
      <c r="V118" s="4" t="n"/>
      <c r="W118" s="4" t="n"/>
    </row>
    <row r="119">
      <c r="A119" s="5" t="inlineStr">
        <is>
          <t>GCP-242</t>
        </is>
      </c>
      <c r="B119" s="5" t="inlineStr">
        <is>
          <t>WAF</t>
        </is>
      </c>
      <c r="C119" s="4" t="inlineStr">
        <is>
          <t>AI/ML: パフォーマンス最適化</t>
        </is>
      </c>
      <c r="D119" s="10" t="inlineStr">
        <is>
          <t>Medium</t>
        </is>
      </c>
      <c r="E119" s="4" t="inlineStr">
        <is>
          <t>LLM サービングで生成AI固有のメトリクス(time-to-first-token 等)が Metrics Explorer/モデル可観測性ダッシュボードで監視され、バッチ推論は Model Monitoring v2 とバッチメトリクスで追跡されているか。</t>
        </is>
      </c>
      <c r="F119" s="4" t="inlineStr">
        <is>
          <t>TTFT・スループット等の LLM サービング指標に目標値とダッシュボードが存在し、劣化時のアラートが設定されている。</t>
        </is>
      </c>
      <c r="G119" s="4" t="inlineStr">
        <is>
          <t>従来のレイテンシ指標だけでは生成AIの体感品質劣化を捉えられない。</t>
        </is>
      </c>
      <c r="H119" s="4" t="inlineStr">
        <is>
          <t>Well-Architected Framework: AI and ML perspective - Performance optimization &gt; Establish performance objectives and evaluation methods &gt; Monitor performance across lifecycle stages(serving)</t>
        </is>
      </c>
      <c r="I119" s="4" t="inlineStr">
        <is>
          <t>GCP-DELTA</t>
        </is>
      </c>
      <c r="J119" s="4" t="inlineStr">
        <is>
          <t>Google Cloud採用時に、CLOUD-COMMONで未評価の固有差分へ適用。</t>
        </is>
      </c>
      <c r="K119" s="4" t="inlineStr">
        <is>
          <t>SRC-PRACTICE</t>
        </is>
      </c>
      <c r="L119" s="4" t="inlineStr">
        <is>
          <t>OPS-OBSERVABILITY</t>
        </is>
      </c>
      <c r="M119" s="4" t="n"/>
      <c r="N119" s="4" t="n"/>
      <c r="O119" s="4" t="n"/>
      <c r="P119" s="4" t="n"/>
      <c r="Q119" s="4" t="n"/>
      <c r="R119" s="4" t="n"/>
      <c r="S119" s="4" t="n"/>
      <c r="T119" s="4" t="n"/>
      <c r="U119" s="4" t="n"/>
      <c r="V119" s="4" t="n"/>
      <c r="W119" s="4" t="n"/>
    </row>
    <row r="120">
      <c r="A120" s="5" t="inlineStr">
        <is>
          <t>GCP-243</t>
        </is>
      </c>
      <c r="B120" s="5" t="inlineStr">
        <is>
          <t>WAF</t>
        </is>
      </c>
      <c r="C120" s="4" t="inlineStr">
        <is>
          <t>AI/ML: パフォーマンス最適化</t>
        </is>
      </c>
      <c r="D120" s="10" t="inlineStr">
        <is>
          <t>Medium</t>
        </is>
      </c>
      <c r="E120" s="4" t="inlineStr">
        <is>
          <t>大規模学習で goodput 指標(スケジューリング/ランタイム/プログラム goodput)が採用され、自動チェックポイント、コンテナ高速ロード(Image streaming、セカンダリブートディスク)、コンパイルキャッシュの Cloud Storage 保存等で中断影響が最小化されているか。</t>
        </is>
      </c>
      <c r="F120" s="4" t="inlineStr">
        <is>
          <t>MFU 等の稼働率だけでなくジョブ全体の進捗効率が計測され、中断からの再開時間を短縮する施策(チェックポイント間隔、キャッシュ)が構成されている。</t>
        </is>
      </c>
      <c r="G120" s="4" t="inlineStr">
        <is>
          <t>リソースが「忙しい」だけの計測では、中断・再初期化で失われる実効学習時間を見逃す。</t>
        </is>
      </c>
      <c r="H120" s="4" t="inlineStr">
        <is>
          <t>Well-Architected Framework: AI and ML perspective - Performance optimization &gt; Match your design choices to your performance requirements &gt; Goodput metrics(scheduling/runtime/program goodput)</t>
        </is>
      </c>
      <c r="I120" s="4" t="inlineStr">
        <is>
          <t>GCP-DELTA</t>
        </is>
      </c>
      <c r="J120" s="4" t="inlineStr">
        <is>
          <t>Google Cloud採用時に、CLOUD-COMMONで未評価の固有差分へ適用。</t>
        </is>
      </c>
      <c r="K120" s="4" t="inlineStr">
        <is>
          <t>SRC-PRACTICE</t>
        </is>
      </c>
      <c r="L120" s="4" t="inlineStr">
        <is>
          <t>OPS-OBSERVABILITY</t>
        </is>
      </c>
      <c r="M120" s="4" t="n"/>
      <c r="N120" s="4" t="n"/>
      <c r="O120" s="4" t="n"/>
      <c r="P120" s="4" t="n"/>
      <c r="Q120" s="4" t="n"/>
      <c r="R120" s="4" t="n"/>
      <c r="S120" s="4" t="n"/>
      <c r="T120" s="4" t="n"/>
      <c r="U120" s="4" t="n"/>
      <c r="V120" s="4" t="n"/>
      <c r="W120" s="4" t="n"/>
    </row>
    <row r="121">
      <c r="A121" s="5" t="inlineStr">
        <is>
          <t>GCP-244</t>
        </is>
      </c>
      <c r="B121" s="5" t="inlineStr">
        <is>
          <t>WAF</t>
        </is>
      </c>
      <c r="C121" s="4" t="inlineStr">
        <is>
          <t>AI/ML: パフォーマンス最適化</t>
        </is>
      </c>
      <c r="D121" s="10" t="inlineStr">
        <is>
          <t>Medium</t>
        </is>
      </c>
      <c r="E121" s="4" t="inlineStr">
        <is>
          <t>実験環境と本番環境が分離されているか(dev/staging/prod の個別プロジェクト、ワークロード別サービスアカウント、個別の Cloud Storage バケット/BigQuery データセット、VPC/VPC Service Controls による分離)。</t>
        </is>
      </c>
      <c r="F121" s="4" t="inlineStr">
        <is>
          <t>環境ごとのプロジェクト分離とデータ分離が構成されており、実験ワークロードが本番リソース・データに影響し得ないことが確認できる。</t>
        </is>
      </c>
      <c r="G121" s="4" t="inlineStr">
        <is>
          <t>環境混在は本番データの汚損と、実験負荷による本番性能劣化を招く。</t>
        </is>
      </c>
      <c r="H121" s="4" t="inlineStr">
        <is>
          <t>Well-Architected Framework: AI and ML perspective - Performance optimization &gt; Run and track frequent experiments &gt; Treat data as a service(resource/data isolation)</t>
        </is>
      </c>
      <c r="I121" s="4" t="inlineStr">
        <is>
          <t>GCP-DELTA</t>
        </is>
      </c>
      <c r="J121" s="4" t="inlineStr">
        <is>
          <t>Google Cloud採用時に、CLOUD-COMMONで未評価の固有差分へ適用。</t>
        </is>
      </c>
      <c r="K121" s="4" t="inlineStr">
        <is>
          <t>SRC-ISO-GENERAL</t>
        </is>
      </c>
      <c r="L121" s="4" t="inlineStr"/>
      <c r="M121" s="4" t="n"/>
      <c r="N121" s="4" t="n"/>
      <c r="O121" s="4" t="n"/>
      <c r="P121" s="4" t="n"/>
      <c r="Q121" s="4" t="n"/>
      <c r="R121" s="4" t="n"/>
      <c r="S121" s="4" t="n"/>
      <c r="T121" s="4" t="n"/>
      <c r="U121" s="4" t="n"/>
      <c r="V121" s="4" t="n"/>
      <c r="W121" s="4" t="n"/>
    </row>
    <row r="122">
      <c r="A122" s="5" t="inlineStr">
        <is>
          <t>GCP-245</t>
        </is>
      </c>
      <c r="B122" s="5" t="inlineStr">
        <is>
          <t>WAF</t>
        </is>
      </c>
      <c r="C122" s="4" t="inlineStr">
        <is>
          <t>AI/ML: パフォーマンス最適化</t>
        </is>
      </c>
      <c r="D122" s="10" t="inlineStr">
        <is>
          <t>Medium</t>
        </is>
      </c>
      <c r="E122" s="4" t="inlineStr">
        <is>
          <t>モデル評価パイプラインが標準化・自動化されているか(Vertex AI evaluation service/Gen AI evaluation service、AutoSxS によるモデル対比較、golden dataset・本番フィードバック・LLM-as-a-judge の使い分け)。</t>
        </is>
      </c>
      <c r="F122" s="4" t="inlineStr">
        <is>
          <t>評価指標(計算ベース+LLM 判定)とデータソースの選定基準が文書化され、再現可能な評価パイプラインとして実装されている。</t>
        </is>
      </c>
      <c r="G122" s="4" t="inlineStr">
        <is>
          <t>その場しのぎの評価はモデル間比較を無効にし、劣化した候補の採用を許す。</t>
        </is>
      </c>
      <c r="H122" s="4" t="inlineStr">
        <is>
          <t>Well-Architected Framework: AI and ML perspective - Performance optimization &gt; Establish performance objectives and evaluation methods &gt; Automate evaluation for reproducibility</t>
        </is>
      </c>
      <c r="I122" s="4" t="inlineStr">
        <is>
          <t>GCP-DELTA</t>
        </is>
      </c>
      <c r="J122" s="4" t="inlineStr">
        <is>
          <t>Google Cloud採用時に、CLOUD-COMMONで未評価の固有差分へ適用。</t>
        </is>
      </c>
      <c r="K122" s="4" t="inlineStr">
        <is>
          <t>SRC-PRACTICE</t>
        </is>
      </c>
      <c r="L122" s="4" t="inlineStr"/>
      <c r="M122" s="4" t="n"/>
      <c r="N122" s="4" t="n"/>
      <c r="O122" s="4" t="n"/>
      <c r="P122" s="4" t="n"/>
      <c r="Q122" s="4" t="n"/>
      <c r="R122" s="4" t="n"/>
      <c r="S122" s="4" t="n"/>
      <c r="T122" s="4" t="n"/>
      <c r="U122" s="4" t="n"/>
      <c r="V122" s="4" t="n"/>
      <c r="W122" s="4" t="n"/>
    </row>
    <row r="123">
      <c r="A123" s="5" t="inlineStr">
        <is>
          <t>GCP-246</t>
        </is>
      </c>
      <c r="B123" s="5" t="inlineStr">
        <is>
          <t>WAF</t>
        </is>
      </c>
      <c r="C123" s="4" t="inlineStr">
        <is>
          <t>AI/ML: パフォーマンス最適化</t>
        </is>
      </c>
      <c r="D123" s="10" t="inlineStr">
        <is>
          <t>Medium</t>
        </is>
      </c>
      <c r="E123" s="4" t="inlineStr">
        <is>
          <t>サービングの性能最適化が行われているか(低レイテンシ向け専用プライベートエンドポイント、単一VMへの複数モデルデプロイによる利用率向上、適切なマシンタイプ選定、Cloud Run の GPU 自動スケーリング)。</t>
        </is>
      </c>
      <c r="F123" s="4" t="inlineStr">
        <is>
          <t>レイテンシ/スループット要件とエンドポイント種別・マシン構成の対応が文書化され、実測により検証済み。</t>
        </is>
      </c>
      <c r="G123" s="4" t="inlineStr">
        <is>
          <t>サービング構成の初期値放置は、レイテンシ要件未達か過剰コストのどちらかを固定化する。</t>
        </is>
      </c>
      <c r="H123" s="4" t="inlineStr">
        <is>
          <t>Well-Architected Framework: AI and ML perspective - Performance optimization &gt; Build and automate training and serving infrastructure &gt; Use specialized infrastructure for prediction</t>
        </is>
      </c>
      <c r="I123" s="4" t="inlineStr">
        <is>
          <t>GCP-DELTA</t>
        </is>
      </c>
      <c r="J123" s="4" t="inlineStr">
        <is>
          <t>Google Cloud採用時に、CLOUD-COMMONで未評価の固有差分へ適用。</t>
        </is>
      </c>
      <c r="K123" s="4" t="inlineStr">
        <is>
          <t>SRC-PRACTICE</t>
        </is>
      </c>
      <c r="L123" s="4" t="inlineStr"/>
      <c r="M123" s="4" t="n"/>
      <c r="N123" s="4" t="n"/>
      <c r="O123" s="4" t="n"/>
      <c r="P123" s="4" t="n"/>
      <c r="Q123" s="4" t="n"/>
      <c r="R123" s="4" t="n"/>
      <c r="S123" s="4" t="n"/>
      <c r="T123" s="4" t="n"/>
      <c r="U123" s="4" t="n"/>
      <c r="V123" s="4" t="n"/>
      <c r="W123" s="4" t="n"/>
    </row>
  </sheetData>
  <autoFilter ref="A1:W123"/>
  <conditionalFormatting sqref="O2:O2000">
    <cfRule type="cellIs" priority="1" operator="equal" dxfId="0">
      <formula>"Fail"</formula>
    </cfRule>
    <cfRule type="cellIs" priority="2" operator="equal" dxfId="1">
      <formula>"Pass"</formula>
    </cfRule>
    <cfRule type="cellIs" priority="4" operator="equal" dxfId="0">
      <formula>"Fail"</formula>
    </cfRule>
    <cfRule type="cellIs" priority="5" operator="equal" dxfId="1">
      <formula>"Pass"</formula>
    </cfRule>
    <cfRule type="cellIs" priority="7" operator="equal" dxfId="0">
      <formula>"Fail"</formula>
    </cfRule>
    <cfRule type="cellIs" priority="8" operator="equal" dxfId="1">
      <formula>"Pass"</formula>
    </cfRule>
    <cfRule type="cellIs" priority="10" operator="equal" dxfId="0">
      <formula>"Fail"</formula>
    </cfRule>
    <cfRule type="cellIs" priority="11" operator="equal" dxfId="1">
      <formula>"Pass"</formula>
    </cfRule>
    <cfRule type="cellIs" priority="13" operator="equal" dxfId="0">
      <formula>"Fail"</formula>
    </cfRule>
    <cfRule type="cellIs" priority="14" operator="equal" dxfId="1">
      <formula>"Pass"</formula>
    </cfRule>
  </conditionalFormatting>
  <conditionalFormatting sqref="N2:N2000">
    <cfRule type="cellIs" priority="3" operator="equal" dxfId="2">
      <formula>"N/A"</formula>
    </cfRule>
    <cfRule type="cellIs" priority="6" operator="equal" dxfId="2">
      <formula>"N/A"</formula>
    </cfRule>
    <cfRule type="cellIs" priority="9" operator="equal" dxfId="2">
      <formula>"N/A"</formula>
    </cfRule>
    <cfRule type="cellIs" priority="12" operator="equal" dxfId="2">
      <formula>"N/A"</formula>
    </cfRule>
    <cfRule type="cellIs" priority="15" operator="equal" dxfId="2">
      <formula>"N/A"</formula>
    </cfRule>
  </conditionalFormatting>
  <dataValidations count="20">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s>
  <pageMargins left="0.75" right="0.75" top="1" bottom="1" header="0.5" footer="0.5"/>
  <pageSetup orientation="landscape" fitToWidth="1"/>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W152"/>
  <sheetViews>
    <sheetView workbookViewId="0">
      <pane xSplit="4" ySplit="1" topLeftCell="E2"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4" customWidth="1" min="1" max="1"/>
    <col width="14" customWidth="1" min="2" max="2"/>
    <col width="28" customWidth="1" min="3" max="3"/>
    <col width="12" customWidth="1" min="4" max="4"/>
    <col width="46" customWidth="1" min="5" max="5"/>
    <col width="52" customWidth="1" min="6" max="6"/>
    <col width="48" customWidth="1" min="7" max="7"/>
    <col width="46" customWidth="1" min="8" max="8"/>
    <col width="18" customWidth="1" min="9" max="9"/>
    <col width="38" customWidth="1" min="10" max="10"/>
    <col width="28" customWidth="1" min="11" max="11"/>
    <col width="25" customWidth="1" min="12" max="12"/>
    <col width="13" customWidth="1" min="13" max="13"/>
    <col width="12" customWidth="1" min="14" max="14"/>
    <col width="12" customWidth="1" min="15" max="15"/>
    <col width="38" customWidth="1" min="16" max="16"/>
    <col width="24" customWidth="1" min="17" max="17"/>
    <col width="30" customWidth="1" min="18" max="18"/>
    <col width="23" customWidth="1" min="19" max="19"/>
    <col width="15" customWidth="1" min="20" max="20"/>
    <col width="18" customWidth="1" min="21" max="21"/>
    <col width="15" customWidth="1" min="22" max="22"/>
    <col width="15" customWidth="1" min="23" max="23"/>
  </cols>
  <sheetData>
    <row r="1">
      <c r="A1" s="3" t="inlineStr">
        <is>
          <t>ID</t>
        </is>
      </c>
      <c r="B1" s="3" t="inlineStr">
        <is>
          <t>区分</t>
        </is>
      </c>
      <c r="C1" s="3" t="inlineStr">
        <is>
          <t>カテゴリ</t>
        </is>
      </c>
      <c r="D1" s="3" t="inlineStr">
        <is>
          <t>基準重要度</t>
        </is>
      </c>
      <c r="E1" s="3" t="inlineStr">
        <is>
          <t>チェック項目</t>
        </is>
      </c>
      <c r="F1" s="3" t="inlineStr">
        <is>
          <t>合格基準</t>
        </is>
      </c>
      <c r="G1" s="3" t="inlineStr">
        <is>
          <t>意図(なぜ確認するか)</t>
        </is>
      </c>
      <c r="H1" s="3" t="inlineStr">
        <is>
          <t>対象ドキュメント(参照箇所)</t>
        </is>
      </c>
      <c r="I1" s="21" t="inlineStr">
        <is>
          <t>適用プロファイル</t>
        </is>
      </c>
      <c r="J1" s="21" t="inlineStr">
        <is>
          <t>適用条件</t>
        </is>
      </c>
      <c r="K1" s="21" t="inlineStr">
        <is>
          <t>出典ID</t>
        </is>
      </c>
      <c r="L1" s="21" t="inlineStr">
        <is>
          <t>重複統制グループ</t>
        </is>
      </c>
      <c r="M1" s="21" t="inlineStr">
        <is>
          <t>案件重要度</t>
        </is>
      </c>
      <c r="N1" s="21" t="inlineStr">
        <is>
          <t>適用判定</t>
        </is>
      </c>
      <c r="O1" s="21" t="inlineStr">
        <is>
          <t>判定</t>
        </is>
      </c>
      <c r="P1" s="21" t="inlineStr">
        <is>
          <t>証跡・参照箇所</t>
        </is>
      </c>
      <c r="Q1" s="21" t="inlineStr">
        <is>
          <t>指摘・Issue ID</t>
        </is>
      </c>
      <c r="R1" s="21" t="inlineStr">
        <is>
          <t>対応方針</t>
        </is>
      </c>
      <c r="S1" s="21" t="inlineStr">
        <is>
          <t>例外・リスク受容承認者</t>
        </is>
      </c>
      <c r="T1" s="21" t="inlineStr">
        <is>
          <t>是正期限</t>
        </is>
      </c>
      <c r="U1" s="21" t="inlineStr">
        <is>
          <t>レビュアー</t>
        </is>
      </c>
      <c r="V1" s="21" t="inlineStr">
        <is>
          <t>レビュー日</t>
        </is>
      </c>
      <c r="W1" s="21" t="inlineStr">
        <is>
          <t>再確認結果</t>
        </is>
      </c>
    </row>
    <row r="2">
      <c r="A2" s="5" t="inlineStr">
        <is>
          <t>AZR-001</t>
        </is>
      </c>
      <c r="B2" s="5" t="inlineStr">
        <is>
          <t>WAF</t>
        </is>
      </c>
      <c r="C2" s="4" t="inlineStr">
        <is>
          <t>信頼性 / Reliability</t>
        </is>
      </c>
      <c r="D2" s="8" t="inlineStr">
        <is>
          <t>Critical</t>
        </is>
      </c>
      <c r="E2" s="4" t="inlineStr">
        <is>
          <t>クリティカルフローを支えるコンピューティング(VMSS/App Service等)が可用性ゾーン(Availability Zones)またはゾーン冗長構成でデプロイされている</t>
        </is>
      </c>
      <c r="F2" s="4" t="inlineStr">
        <is>
          <t>本番のクリティカルコンポーネントについてゾーン冗長SKU/構成(例: Virtual Machine Scale Setsのゾーン分散)が設計書とIaCで確認できる</t>
        </is>
      </c>
      <c r="G2" s="4" t="inlineStr">
        <is>
          <t>単一データセンター障害で全停止するのを防ぐ。ゾーン冗長がないと1施設の障害が全面停止に直結する。</t>
        </is>
      </c>
      <c r="H2" s="4" t="inlineStr">
        <is>
          <t>Azure Well-Architected Framework &gt; 信頼性の柱 &gt; RE:05 (Architecture Strategies for Designing for Redundancy &gt; Azure facilitation: availability zones / zone-redundant compute)</t>
        </is>
      </c>
      <c r="I2" s="4" t="inlineStr">
        <is>
          <t>AZURE-DELTA</t>
        </is>
      </c>
      <c r="J2" s="4" t="inlineStr">
        <is>
          <t>Azure採用時に、CLOUD-COMMONで未評価のAzure固有差分へ適用。</t>
        </is>
      </c>
      <c r="K2" s="4" t="inlineStr">
        <is>
          <t>SRC-AZR-WAF</t>
        </is>
      </c>
      <c r="L2" s="4" t="inlineStr">
        <is>
          <t>RELIABILITY-HA</t>
        </is>
      </c>
      <c r="M2" s="4" t="n"/>
      <c r="N2" s="4" t="n"/>
      <c r="O2" s="4" t="n"/>
      <c r="P2" s="4" t="n"/>
      <c r="Q2" s="4" t="n"/>
      <c r="R2" s="4" t="n"/>
      <c r="S2" s="4" t="n"/>
      <c r="T2" s="4" t="n"/>
      <c r="U2" s="4" t="n"/>
      <c r="V2" s="4" t="n"/>
      <c r="W2" s="4" t="n"/>
    </row>
    <row r="3">
      <c r="A3" s="5" t="inlineStr">
        <is>
          <t>AZR-002</t>
        </is>
      </c>
      <c r="B3" s="5" t="inlineStr">
        <is>
          <t>WAF</t>
        </is>
      </c>
      <c r="C3" s="4" t="inlineStr">
        <is>
          <t>信頼性 / Reliability</t>
        </is>
      </c>
      <c r="D3" s="9" t="inlineStr">
        <is>
          <t>High</t>
        </is>
      </c>
      <c r="E3" s="4" t="inlineStr">
        <is>
          <t>リージョン障害に備えたマルチリージョン戦略(active-active / active-passive warm・cold)が信頼性目標に基づき選択され、Azure Front Door等のグローバルルーティング(priority/latency/weighted)が構成されている</t>
        </is>
      </c>
      <c r="F3" s="4" t="inlineStr">
        <is>
          <t>採用したデプロイモデル(active-active at capacity / overprovisioned / warm spare / cold spare)と選定理由、Front Door等のルーティング方式が文書化されている</t>
        </is>
      </c>
      <c r="G3" s="4" t="inlineStr">
        <is>
          <t>リージョン規模の障害時にフェイルオーバーできず長時間停止するのを防ぐ。</t>
        </is>
      </c>
      <c r="H3" s="4" t="inlineStr">
        <is>
          <t>Azure Well-Architected Framework &gt; 信頼性の柱 &gt; RE:05 (Designing for Redundancy &gt; Achieve zero downtime through active-active redundancy / Use an active-passive architecture design)</t>
        </is>
      </c>
      <c r="I3" s="4" t="inlineStr">
        <is>
          <t>AZURE-DELTA</t>
        </is>
      </c>
      <c r="J3" s="4" t="inlineStr">
        <is>
          <t>Azure採用時に、CLOUD-COMMONで未評価のAzure固有差分へ適用。</t>
        </is>
      </c>
      <c r="K3" s="4" t="inlineStr">
        <is>
          <t>SRC-AZR-WAF</t>
        </is>
      </c>
      <c r="L3" s="4" t="inlineStr"/>
      <c r="M3" s="4" t="n"/>
      <c r="N3" s="4" t="n"/>
      <c r="O3" s="4" t="n"/>
      <c r="P3" s="4" t="n"/>
      <c r="Q3" s="4" t="n"/>
      <c r="R3" s="4" t="n"/>
      <c r="S3" s="4" t="n"/>
      <c r="T3" s="4" t="n"/>
      <c r="U3" s="4" t="n"/>
      <c r="V3" s="4" t="n"/>
      <c r="W3" s="4" t="n"/>
    </row>
    <row r="4">
      <c r="A4" s="5" t="inlineStr">
        <is>
          <t>AZR-003</t>
        </is>
      </c>
      <c r="B4" s="5" t="inlineStr">
        <is>
          <t>WAF</t>
        </is>
      </c>
      <c r="C4" s="4" t="inlineStr">
        <is>
          <t>信頼性 / Reliability</t>
        </is>
      </c>
      <c r="D4" s="8" t="inlineStr">
        <is>
          <t>Critical</t>
        </is>
      </c>
      <c r="E4" s="4" t="inlineStr">
        <is>
          <t>データ層の冗長化として、Azure SQL Databaseのactive geo-replication/自動フェールオーバーグループ、Cosmos DBのグローバル分散等、PaaSの自動フェイルオーバー機能が構成されている</t>
        </is>
      </c>
      <c r="F4" s="4" t="inlineStr">
        <is>
          <t>各データストアについてレプリケーション方式(同期/非同期)と自動フェイルオーバー設定がRPO/RTO要件と対応付けて確認できる</t>
        </is>
      </c>
      <c r="G4" s="4" t="inlineStr">
        <is>
          <t>データベース障害時の手動復旧による長時間停止・データ損失を防ぐ。</t>
        </is>
      </c>
      <c r="H4" s="4" t="inlineStr">
        <is>
          <t>Azure Well-Architected Framework &gt; 信頼性の柱 &gt; RE:05 (Designing for Redundancy &gt; Data resources / Azure facilitation: SQL Database active geo-replication, Cosmos DB global distribution)</t>
        </is>
      </c>
      <c r="I4" s="4" t="inlineStr">
        <is>
          <t>AZURE-DELTA</t>
        </is>
      </c>
      <c r="J4" s="4" t="inlineStr">
        <is>
          <t>Azure採用時に、CLOUD-COMMONで未評価のAzure固有差分へ適用。</t>
        </is>
      </c>
      <c r="K4" s="4" t="inlineStr">
        <is>
          <t>SRC-AZR-WAF</t>
        </is>
      </c>
      <c r="L4" s="4" t="inlineStr">
        <is>
          <t>RELIABILITY-HA</t>
        </is>
      </c>
      <c r="M4" s="4" t="n"/>
      <c r="N4" s="4" t="n"/>
      <c r="O4" s="4" t="n"/>
      <c r="P4" s="4" t="n"/>
      <c r="Q4" s="4" t="n"/>
      <c r="R4" s="4" t="n"/>
      <c r="S4" s="4" t="n"/>
      <c r="T4" s="4" t="n"/>
      <c r="U4" s="4" t="n"/>
      <c r="V4" s="4" t="n"/>
      <c r="W4" s="4" t="n"/>
    </row>
    <row r="5">
      <c r="A5" s="5" t="inlineStr">
        <is>
          <t>AZR-004</t>
        </is>
      </c>
      <c r="B5" s="5" t="inlineStr">
        <is>
          <t>WAF</t>
        </is>
      </c>
      <c r="C5" s="4" t="inlineStr">
        <is>
          <t>信頼性 / Reliability</t>
        </is>
      </c>
      <c r="D5" s="9" t="inlineStr">
        <is>
          <t>High</t>
        </is>
      </c>
      <c r="E5" s="4" t="inlineStr">
        <is>
          <t>Azure Storageの冗長オプション(LRS/ZRS/GRS等)がワークロードの信頼性目標に基づいて選定されている</t>
        </is>
      </c>
      <c r="F5" s="4" t="inlineStr">
        <is>
          <t>ストレージアカウントごとに冗長SKUの選定理由がRPO/RTOと紐づけて文書化されている</t>
        </is>
      </c>
      <c r="G5" s="4" t="inlineStr">
        <is>
          <t>既定のLRSのままではゾーン/リージョン障害時にデータへアクセスできず、復旧目標を満たせない。</t>
        </is>
      </c>
      <c r="H5" s="4" t="inlineStr">
        <is>
          <t>Azure Well-Architected Framework &gt; 信頼性の柱 &gt; RE:05 (Designing for Redundancy &gt; Related links: Azure Storage redundancy / Zone-redundant storage)</t>
        </is>
      </c>
      <c r="I5" s="4" t="inlineStr">
        <is>
          <t>AZURE-DELTA</t>
        </is>
      </c>
      <c r="J5" s="4" t="inlineStr">
        <is>
          <t>Azure採用時に、CLOUD-COMMONで未評価のAzure固有差分へ適用。</t>
        </is>
      </c>
      <c r="K5" s="4" t="inlineStr">
        <is>
          <t>SRC-AZR-WAF</t>
        </is>
      </c>
      <c r="L5" s="4" t="inlineStr">
        <is>
          <t>RELIABILITY-HA</t>
        </is>
      </c>
      <c r="M5" s="4" t="n"/>
      <c r="N5" s="4" t="n"/>
      <c r="O5" s="4" t="n"/>
      <c r="P5" s="4" t="n"/>
      <c r="Q5" s="4" t="n"/>
      <c r="R5" s="4" t="n"/>
      <c r="S5" s="4" t="n"/>
      <c r="T5" s="4" t="n"/>
      <c r="U5" s="4" t="n"/>
      <c r="V5" s="4" t="n"/>
      <c r="W5" s="4" t="n"/>
    </row>
    <row r="6">
      <c r="A6" s="5" t="inlineStr">
        <is>
          <t>AZR-005</t>
        </is>
      </c>
      <c r="B6" s="5" t="inlineStr">
        <is>
          <t>WAF</t>
        </is>
      </c>
      <c r="C6" s="4" t="inlineStr">
        <is>
          <t>信頼性 / Reliability</t>
        </is>
      </c>
      <c r="D6" s="10" t="inlineStr">
        <is>
          <t>Medium</t>
        </is>
      </c>
      <c r="E6" s="4" t="inlineStr">
        <is>
          <t>DNSの冗長性が確保されている(Azure DNSパブリック/プライベートゾーンの利用、ハイブリッド名前解決ではAzure DNS Private Resolverを複数リージョンに配置)</t>
        </is>
      </c>
      <c r="F6" s="4" t="inlineStr">
        <is>
          <t>名前解決経路の設計が文書化され、単一障害点となるDNSコンポーネントがない</t>
        </is>
      </c>
      <c r="G6" s="4" t="inlineStr">
        <is>
          <t>DNSが単一障害点になると、インフラが健全でもワークロード全体が到達不能になる。</t>
        </is>
      </c>
      <c r="H6" s="4" t="inlineStr">
        <is>
          <t>Azure Well-Architected Framework &gt; 信頼性の柱 &gt; RE:05 (Designing for Redundancy &gt; DNS-specific Azure facilitation)</t>
        </is>
      </c>
      <c r="I6" s="4" t="inlineStr">
        <is>
          <t>AZURE-DELTA</t>
        </is>
      </c>
      <c r="J6" s="4" t="inlineStr">
        <is>
          <t>Azure採用時に、CLOUD-COMMONで未評価のAzure固有差分へ適用。</t>
        </is>
      </c>
      <c r="K6" s="4" t="inlineStr">
        <is>
          <t>SRC-AZR-WAF</t>
        </is>
      </c>
      <c r="L6" s="4" t="inlineStr">
        <is>
          <t>RELIABILITY-HA</t>
        </is>
      </c>
      <c r="M6" s="4" t="n"/>
      <c r="N6" s="4" t="n"/>
      <c r="O6" s="4" t="n"/>
      <c r="P6" s="4" t="n"/>
      <c r="Q6" s="4" t="n"/>
      <c r="R6" s="4" t="n"/>
      <c r="S6" s="4" t="n"/>
      <c r="T6" s="4" t="n"/>
      <c r="U6" s="4" t="n"/>
      <c r="V6" s="4" t="n"/>
      <c r="W6" s="4" t="n"/>
    </row>
    <row r="7">
      <c r="A7" s="5" t="inlineStr">
        <is>
          <t>AZR-006</t>
        </is>
      </c>
      <c r="B7" s="5" t="inlineStr">
        <is>
          <t>WAF</t>
        </is>
      </c>
      <c r="C7" s="4" t="inlineStr">
        <is>
          <t>信頼性 / Reliability</t>
        </is>
      </c>
      <c r="D7" s="9" t="inlineStr">
        <is>
          <t>High</t>
        </is>
      </c>
      <c r="E7" s="4" t="inlineStr">
        <is>
          <t>冗長性を担う重要リソース(データストア、DNSゾーン、トラフィックルーティング層)にCanNotDeleteリソースロックが適用されている</t>
        </is>
      </c>
      <c r="F7" s="4" t="inlineStr">
        <is>
          <t>対象リソースへのロック適用がIaCまたはポータルで確認でき、ロック運用ルールが定義されている</t>
        </is>
      </c>
      <c r="G7" s="4" t="inlineStr">
        <is>
          <t>誤削除により冗長構成が崩壊し、フル復旧作業を強いられるのを防ぐ。</t>
        </is>
      </c>
      <c r="H7" s="4" t="inlineStr">
        <is>
          <t>Azure Well-Architected Framework &gt; 信頼性の柱 &gt; RE:05 (Designing for Redundancy &gt; Apply delete protection to preserve redundancy)</t>
        </is>
      </c>
      <c r="I7" s="4" t="inlineStr">
        <is>
          <t>AZURE-DELTA</t>
        </is>
      </c>
      <c r="J7" s="4" t="inlineStr">
        <is>
          <t>Azure採用時に、CLOUD-COMMONで未評価のAzure固有差分へ適用。</t>
        </is>
      </c>
      <c r="K7" s="4" t="inlineStr">
        <is>
          <t>SRC-AZR-WAF</t>
        </is>
      </c>
      <c r="L7" s="4" t="inlineStr">
        <is>
          <t>RELIABILITY-HA</t>
        </is>
      </c>
      <c r="M7" s="4" t="n"/>
      <c r="N7" s="4" t="n"/>
      <c r="O7" s="4" t="n"/>
      <c r="P7" s="4" t="n"/>
      <c r="Q7" s="4" t="n"/>
      <c r="R7" s="4" t="n"/>
      <c r="S7" s="4" t="n"/>
      <c r="T7" s="4" t="n"/>
      <c r="U7" s="4" t="n"/>
      <c r="V7" s="4" t="n"/>
      <c r="W7" s="4" t="n"/>
    </row>
    <row r="8">
      <c r="A8" s="5" t="inlineStr">
        <is>
          <t>AZR-007</t>
        </is>
      </c>
      <c r="B8" s="5" t="inlineStr">
        <is>
          <t>WAF</t>
        </is>
      </c>
      <c r="C8" s="4" t="inlineStr">
        <is>
          <t>信頼性 / Reliability</t>
        </is>
      </c>
      <c r="D8" s="10" t="inlineStr">
        <is>
          <t>Medium</t>
        </is>
      </c>
      <c r="E8" s="4" t="inlineStr">
        <is>
          <t>SNATポート枯渇対策としてAzure NAT GatewayまたはAzure Firewallによるアウトバウンド設計がされている</t>
        </is>
      </c>
      <c r="F8" s="4" t="inlineStr">
        <is>
          <t>大量のアウトバウンド接続を行うコンポーネントについてポート枯渇の検討記録と対策構成がある</t>
        </is>
      </c>
      <c r="G8" s="4" t="inlineStr">
        <is>
          <t>ポート枯渇によるアプリケーションの断続的な接続失敗・性能劣化を防ぐ。</t>
        </is>
      </c>
      <c r="H8" s="4" t="inlineStr">
        <is>
          <t>Azure Well-Architected Framework &gt; 信頼性の柱 &gt; RE:05 (Designing for Redundancy &gt; Azure facilitation: Mitigates port exhaustion via Azure NAT Gateway or Azure Firewall)</t>
        </is>
      </c>
      <c r="I8" s="4" t="inlineStr">
        <is>
          <t>AZURE-DELTA</t>
        </is>
      </c>
      <c r="J8" s="4" t="inlineStr">
        <is>
          <t>Azure採用時に、CLOUD-COMMONで未評価のAzure固有差分へ適用。</t>
        </is>
      </c>
      <c r="K8" s="4" t="inlineStr">
        <is>
          <t>SRC-AZR-WAF</t>
        </is>
      </c>
      <c r="L8" s="4" t="inlineStr"/>
      <c r="M8" s="4" t="n"/>
      <c r="N8" s="4" t="n"/>
      <c r="O8" s="4" t="n"/>
      <c r="P8" s="4" t="n"/>
      <c r="Q8" s="4" t="n"/>
      <c r="R8" s="4" t="n"/>
      <c r="S8" s="4" t="n"/>
      <c r="T8" s="4" t="n"/>
      <c r="U8" s="4" t="n"/>
      <c r="V8" s="4" t="n"/>
      <c r="W8" s="4" t="n"/>
    </row>
    <row r="9">
      <c r="A9" s="5" t="inlineStr">
        <is>
          <t>AZR-008</t>
        </is>
      </c>
      <c r="B9" s="5" t="inlineStr">
        <is>
          <t>WAF</t>
        </is>
      </c>
      <c r="C9" s="4" t="inlineStr">
        <is>
          <t>信頼性 / Reliability</t>
        </is>
      </c>
      <c r="D9" s="9" t="inlineStr">
        <is>
          <t>High</t>
        </is>
      </c>
      <c r="E9" s="4" t="inlineStr">
        <is>
          <t>Azure Monitor autoscale(またはAKS/Container AppsのKEDA)により、実際の負荷パターンに基づく自動スケールがスケジュール/メトリックで構成されている</t>
        </is>
      </c>
      <c r="F9" s="4" t="inlineStr">
        <is>
          <t>オートスケール規則(トリガーメトリック、閾値、スケジュール)がIaCで定義され、スケールアウトと対になるスケールインのトリガーも存在する</t>
        </is>
      </c>
      <c r="G9" s="4" t="inlineStr">
        <is>
          <t>需要急増時の容量不足による障害、および手動スケール運用の遅延・ミスを防ぐ。</t>
        </is>
      </c>
      <c r="H9" s="4" t="inlineStr">
        <is>
          <t>Azure Well-Architected Framework &gt; 信頼性の柱 &gt; RE:06 (Architecture strategies for designing a reliable scaling strategy &gt; Azure facilitation: Azure Monitor autoscale, KEDA on AKS/Container Apps)</t>
        </is>
      </c>
      <c r="I9" s="4" t="inlineStr">
        <is>
          <t>AZURE-DELTA</t>
        </is>
      </c>
      <c r="J9" s="4" t="inlineStr">
        <is>
          <t>Azure採用時に、CLOUD-COMMONで未評価のAzure固有差分へ適用。</t>
        </is>
      </c>
      <c r="K9" s="4" t="inlineStr">
        <is>
          <t>SRC-AZR-WAF</t>
        </is>
      </c>
      <c r="L9" s="4" t="inlineStr"/>
      <c r="M9" s="4" t="n"/>
      <c r="N9" s="4" t="n"/>
      <c r="O9" s="4" t="n"/>
      <c r="P9" s="4" t="n"/>
      <c r="Q9" s="4" t="n"/>
      <c r="R9" s="4" t="n"/>
      <c r="S9" s="4" t="n"/>
      <c r="T9" s="4" t="n"/>
      <c r="U9" s="4" t="n"/>
      <c r="V9" s="4" t="n"/>
      <c r="W9" s="4" t="n"/>
    </row>
    <row r="10">
      <c r="A10" s="5" t="inlineStr">
        <is>
          <t>AZR-009</t>
        </is>
      </c>
      <c r="B10" s="5" t="inlineStr">
        <is>
          <t>WAF</t>
        </is>
      </c>
      <c r="C10" s="4" t="inlineStr">
        <is>
          <t>信頼性 / Reliability</t>
        </is>
      </c>
      <c r="D10" s="10" t="inlineStr">
        <is>
          <t>Medium</t>
        </is>
      </c>
      <c r="E10" s="4" t="inlineStr">
        <is>
          <t>スケールアウトできないコンポーネント(シャーディング不可の大型RDB等)とAzureサービスのスケール制限が文書化され、監視されている</t>
        </is>
      </c>
      <c r="F10" s="4" t="inlineStr">
        <is>
          <t>スケール不可資源の一覧とサービス上限(クォータ)の記録、および上限接近を検知する監視が存在する</t>
        </is>
      </c>
      <c r="G10" s="4" t="inlineStr">
        <is>
          <t>気付かぬままサービス上限に達し、繁忙期にスケールできず停止するのを防ぐ。</t>
        </is>
      </c>
      <c r="H10" s="4" t="inlineStr">
        <is>
          <t>Azure Well-Architected Framework &gt; 信頼性の柱 &gt; RE:06 (Reliable scaling strategy &gt; Adapt scaling strategies to fit individual components or flows)</t>
        </is>
      </c>
      <c r="I10" s="4" t="inlineStr">
        <is>
          <t>AZURE-DELTA</t>
        </is>
      </c>
      <c r="J10" s="4" t="inlineStr">
        <is>
          <t>Azure採用時に、CLOUD-COMMONで未評価のAzure固有差分へ適用。</t>
        </is>
      </c>
      <c r="K10" s="4" t="inlineStr">
        <is>
          <t>SRC-AZR-WAF</t>
        </is>
      </c>
      <c r="L10" s="4" t="inlineStr">
        <is>
          <t>OPS-OBSERVABILITY</t>
        </is>
      </c>
      <c r="M10" s="4" t="n"/>
      <c r="N10" s="4" t="n"/>
      <c r="O10" s="4" t="n"/>
      <c r="P10" s="4" t="n"/>
      <c r="Q10" s="4" t="n"/>
      <c r="R10" s="4" t="n"/>
      <c r="S10" s="4" t="n"/>
      <c r="T10" s="4" t="n"/>
      <c r="U10" s="4" t="n"/>
      <c r="V10" s="4" t="n"/>
      <c r="W10" s="4" t="n"/>
    </row>
    <row r="11">
      <c r="A11" s="5" t="inlineStr">
        <is>
          <t>AZR-010</t>
        </is>
      </c>
      <c r="B11" s="5" t="inlineStr">
        <is>
          <t>WAF</t>
        </is>
      </c>
      <c r="C11" s="4" t="inlineStr">
        <is>
          <t>信頼性 / Reliability</t>
        </is>
      </c>
      <c r="D11" s="9" t="inlineStr">
        <is>
          <t>High</t>
        </is>
      </c>
      <c r="E11" s="4" t="inlineStr">
        <is>
          <t>自己復旧(self-healing)機構として、Azure Monitorアクショングループから Automation Runbook / Functions / Logic Apps 等を起動する自動修復アクションが構成されている</t>
        </is>
      </c>
      <c r="F11" s="4" t="inlineStr">
        <is>
          <t>主要な障害パターンに対する自動修復アクション(例: 応答しないApp Serviceの再起動)が定義・テストされている</t>
        </is>
      </c>
      <c r="G11" s="4" t="inlineStr">
        <is>
          <t>検知から復旧まで人手に依存すると、夜間・休日のインシデントで復旧が大幅に遅延する。</t>
        </is>
      </c>
      <c r="H11" s="4" t="inlineStr">
        <is>
          <t>Azure Well-Architected Framework &gt; 信頼性の柱 &gt; RE:07 (Architecture strategies for self-healing and self-preservation &gt; Azure facilitation: Azure Monitor action groups)</t>
        </is>
      </c>
      <c r="I11" s="4" t="inlineStr">
        <is>
          <t>AZURE-DELTA</t>
        </is>
      </c>
      <c r="J11" s="4" t="inlineStr">
        <is>
          <t>Azure採用時に、CLOUD-COMMONで未評価のAzure固有差分へ適用。</t>
        </is>
      </c>
      <c r="K11" s="4" t="inlineStr">
        <is>
          <t>SRC-AZR-WAF</t>
        </is>
      </c>
      <c r="L11" s="4" t="inlineStr"/>
      <c r="M11" s="4" t="n"/>
      <c r="N11" s="4" t="n"/>
      <c r="O11" s="4" t="n"/>
      <c r="P11" s="4" t="n"/>
      <c r="Q11" s="4" t="n"/>
      <c r="R11" s="4" t="n"/>
      <c r="S11" s="4" t="n"/>
      <c r="T11" s="4" t="n"/>
      <c r="U11" s="4" t="n"/>
      <c r="V11" s="4" t="n"/>
      <c r="W11" s="4" t="n"/>
    </row>
    <row r="12">
      <c r="A12" s="5" t="inlineStr">
        <is>
          <t>AZR-011</t>
        </is>
      </c>
      <c r="B12" s="5" t="inlineStr">
        <is>
          <t>WAF</t>
        </is>
      </c>
      <c r="C12" s="4" t="inlineStr">
        <is>
          <t>信頼性 / Reliability</t>
        </is>
      </c>
      <c r="D12" s="10" t="inlineStr">
        <is>
          <t>Medium</t>
        </is>
      </c>
      <c r="E12" s="4" t="inlineStr">
        <is>
          <t>非同期メッセージングでService Busのデッドレターキュー等を用い、不正メッセージが処理をブロックしない設計になっている</t>
        </is>
      </c>
      <c r="F12" s="4" t="inlineStr">
        <is>
          <t>キュー処理コンポーネントにDLQと再処理・退避手順が定義されている</t>
        </is>
      </c>
      <c r="G12" s="4" t="inlineStr">
        <is>
          <t>破損メッセージの無限再処理により後続メッセージ処理全体が停止するのを防ぐ。</t>
        </is>
      </c>
      <c r="H12" s="4" t="inlineStr">
        <is>
          <t>Azure Well-Architected Framework &gt; 信頼性の柱 &gt; RE:07 (Self-healing and self-preservation &gt; Application design guidance: dead-letter queue)</t>
        </is>
      </c>
      <c r="I12" s="4" t="inlineStr">
        <is>
          <t>AZURE-DELTA</t>
        </is>
      </c>
      <c r="J12" s="4" t="inlineStr">
        <is>
          <t>Azure採用時に、CLOUD-COMMONで未評価のAzure固有差分へ適用。</t>
        </is>
      </c>
      <c r="K12" s="4" t="inlineStr">
        <is>
          <t>SRC-AZR-WAF</t>
        </is>
      </c>
      <c r="L12" s="4" t="inlineStr"/>
      <c r="M12" s="4" t="n"/>
      <c r="N12" s="4" t="n"/>
      <c r="O12" s="4" t="n"/>
      <c r="P12" s="4" t="n"/>
      <c r="Q12" s="4" t="n"/>
      <c r="R12" s="4" t="n"/>
      <c r="S12" s="4" t="n"/>
      <c r="T12" s="4" t="n"/>
      <c r="U12" s="4" t="n"/>
      <c r="V12" s="4" t="n"/>
      <c r="W12" s="4" t="n"/>
    </row>
    <row r="13">
      <c r="A13" s="5" t="inlineStr">
        <is>
          <t>AZR-012</t>
        </is>
      </c>
      <c r="B13" s="5" t="inlineStr">
        <is>
          <t>WAF</t>
        </is>
      </c>
      <c r="C13" s="4" t="inlineStr">
        <is>
          <t>信頼性 / Reliability</t>
        </is>
      </c>
      <c r="D13" s="8" t="inlineStr">
        <is>
          <t>Critical</t>
        </is>
      </c>
      <c r="E13" s="4" t="inlineStr">
        <is>
          <t>DR計画がRTO/RPOに整合して文書化され、IaaSはAzure Site Recovery、PaaSは各サービスのDR機能(SQL Database自動フェールオーバーグループ等)で実装されている</t>
        </is>
      </c>
      <c r="F13" s="4" t="inlineStr">
        <is>
          <t>DR計画書に対象範囲・発動基準・手順・役割が記載され、使用するAzure DR機能が構成済みである</t>
        </is>
      </c>
      <c r="G13" s="4" t="inlineStr">
        <is>
          <t>災害時に計画なしでは復旧targetsを満たせず、事業停止が長期化する。</t>
        </is>
      </c>
      <c r="H13" s="4" t="inlineStr">
        <is>
          <t>Azure Well-Architected Framework &gt; 信頼性の柱 &gt; RE:09 (Architecture strategies for disaster recovery &gt; Azure facilitation: Azure Site Recovery, PaaS failover capabilities)</t>
        </is>
      </c>
      <c r="I13" s="4" t="inlineStr">
        <is>
          <t>AZURE-DELTA</t>
        </is>
      </c>
      <c r="J13" s="4" t="inlineStr">
        <is>
          <t>Azure採用時に、CLOUD-COMMONで未評価のAzure固有差分へ適用。</t>
        </is>
      </c>
      <c r="K13" s="4" t="inlineStr">
        <is>
          <t>SRC-AZR-WAF</t>
        </is>
      </c>
      <c r="L13" s="4" t="inlineStr">
        <is>
          <t>CONTINUITY-DR</t>
        </is>
      </c>
      <c r="M13" s="4" t="n"/>
      <c r="N13" s="4" t="n"/>
      <c r="O13" s="4" t="n"/>
      <c r="P13" s="4" t="n"/>
      <c r="Q13" s="4" t="n"/>
      <c r="R13" s="4" t="n"/>
      <c r="S13" s="4" t="n"/>
      <c r="T13" s="4" t="n"/>
      <c r="U13" s="4" t="n"/>
      <c r="V13" s="4" t="n"/>
      <c r="W13" s="4" t="n"/>
    </row>
    <row r="14">
      <c r="A14" s="5" t="inlineStr">
        <is>
          <t>AZR-013</t>
        </is>
      </c>
      <c r="B14" s="5" t="inlineStr">
        <is>
          <t>WAF</t>
        </is>
      </c>
      <c r="C14" s="4" t="inlineStr">
        <is>
          <t>信頼性 / Reliability</t>
        </is>
      </c>
      <c r="D14" s="8" t="inlineStr">
        <is>
          <t>Critical</t>
        </is>
      </c>
      <c r="E14" s="4" t="inlineStr">
        <is>
          <t>Azure Backup(VM/AKS/Azure Files等)とPaaSのポイントインタイムリストアによるバックアップが構成され、リストアテストが定期実施されている</t>
        </is>
      </c>
      <c r="F14" s="4" t="inlineStr">
        <is>
          <t>バックアップ対象・保持期間の一覧があり、直近のリストアテスト実施記録が存在する</t>
        </is>
      </c>
      <c r="G14" s="4" t="inlineStr">
        <is>
          <t>バックアップ未取得または復元不能なバックアップにより、障害・ランサムウェア時にデータを恒久喪失する。</t>
        </is>
      </c>
      <c r="H14" s="4" t="inlineStr">
        <is>
          <t>Azure Well-Architected Framework &gt; 信頼性の柱 &gt; RE:09 (Disaster recovery &gt; Implement robust backup strategies / Azure facilitation: Azure Backup)</t>
        </is>
      </c>
      <c r="I14" s="4" t="inlineStr">
        <is>
          <t>AZURE-DELTA</t>
        </is>
      </c>
      <c r="J14" s="4" t="inlineStr">
        <is>
          <t>Azure採用時に、CLOUD-COMMONで未評価のAzure固有差分へ適用。</t>
        </is>
      </c>
      <c r="K14" s="4" t="inlineStr">
        <is>
          <t>SRC-AZR-WAF</t>
        </is>
      </c>
      <c r="L14" s="4" t="inlineStr">
        <is>
          <t>CONTINUITY-BACKUP</t>
        </is>
      </c>
      <c r="M14" s="4" t="n"/>
      <c r="N14" s="4" t="n"/>
      <c r="O14" s="4" t="n"/>
      <c r="P14" s="4" t="n"/>
      <c r="Q14" s="4" t="n"/>
      <c r="R14" s="4" t="n"/>
      <c r="S14" s="4" t="n"/>
      <c r="T14" s="4" t="n"/>
      <c r="U14" s="4" t="n"/>
      <c r="V14" s="4" t="n"/>
      <c r="W14" s="4" t="n"/>
    </row>
    <row r="15">
      <c r="A15" s="5" t="inlineStr">
        <is>
          <t>AZR-014</t>
        </is>
      </c>
      <c r="B15" s="5" t="inlineStr">
        <is>
          <t>WAF</t>
        </is>
      </c>
      <c r="C15" s="4" t="inlineStr">
        <is>
          <t>信頼性 / Reliability</t>
        </is>
      </c>
      <c r="D15" s="9" t="inlineStr">
        <is>
          <t>High</t>
        </is>
      </c>
      <c r="E15" s="4" t="inlineStr">
        <is>
          <t>DR訓練(机上演習・非本番でのドライラン・本番レベル訓練)の手順と実施サイクルがDR計画に含まれ、RTO/RPO達成が検証されている</t>
        </is>
      </c>
      <c r="F15" s="4" t="inlineStr">
        <is>
          <t>訓練の種類別サイクルが定義され、直近の訓練結果とRTO/RPO実測値が記録されている</t>
        </is>
      </c>
      <c r="G15" s="4" t="inlineStr">
        <is>
          <t>未検証のDR計画は本番災害時に機能せず、想定外の復旧遅延を招く。</t>
        </is>
      </c>
      <c r="H15" s="4" t="inlineStr">
        <is>
          <t>Azure Well-Architected Framework &gt; 信頼性の柱 &gt; RE:09 (Disaster recovery &gt; Practice with regular drills)</t>
        </is>
      </c>
      <c r="I15" s="4" t="inlineStr">
        <is>
          <t>AZURE-DELTA</t>
        </is>
      </c>
      <c r="J15" s="4" t="inlineStr">
        <is>
          <t>Azure採用時に、CLOUD-COMMONで未評価のAzure固有差分へ適用。</t>
        </is>
      </c>
      <c r="K15" s="4" t="inlineStr">
        <is>
          <t>SRC-AZR-WAF</t>
        </is>
      </c>
      <c r="L15" s="4" t="inlineStr">
        <is>
          <t>CONTINUITY-DR</t>
        </is>
      </c>
      <c r="M15" s="4" t="n"/>
      <c r="N15" s="4" t="n"/>
      <c r="O15" s="4" t="n"/>
      <c r="P15" s="4" t="n"/>
      <c r="Q15" s="4" t="n"/>
      <c r="R15" s="4" t="n"/>
      <c r="S15" s="4" t="n"/>
      <c r="T15" s="4" t="n"/>
      <c r="U15" s="4" t="n"/>
      <c r="V15" s="4" t="n"/>
      <c r="W15" s="4" t="n"/>
    </row>
    <row r="16">
      <c r="A16" s="5" t="inlineStr">
        <is>
          <t>AZR-015</t>
        </is>
      </c>
      <c r="B16" s="5" t="inlineStr">
        <is>
          <t>WAF</t>
        </is>
      </c>
      <c r="C16" s="4" t="inlineStr">
        <is>
          <t>セキュリティ / Security</t>
        </is>
      </c>
      <c r="D16" s="8" t="inlineStr">
        <is>
          <t>Critical</t>
        </is>
      </c>
      <c r="E16" s="4" t="inlineStr">
        <is>
          <t>すべての人・システムのID管理をMicrosoft Entra ID(IdP)に集約し、独自認証基盤を実装していない</t>
        </is>
      </c>
      <c r="F16" s="4" t="inlineStr">
        <is>
          <t>認証・認可がEntra ID(OAuth2/OpenID Connect等の標準プロトコル)経由で行われ、カスタム認証実装が存在しない</t>
        </is>
      </c>
      <c r="G16" s="4" t="inlineStr">
        <is>
          <t>独自実装の認証は最新の攻撃手法に追随できず、認証破りによる全面侵害の起点になる。</t>
        </is>
      </c>
      <c r="H16" s="4" t="inlineStr">
        <is>
          <t>Azure Well-Architected Framework &gt; セキュリティの柱 &gt; SE:05 (Architecture strategies for identity and access management &gt; The role of an identity provider / Azure facilitation: Microsoft Entra ID)</t>
        </is>
      </c>
      <c r="I16" s="4" t="inlineStr">
        <is>
          <t>AZURE-DELTA</t>
        </is>
      </c>
      <c r="J16" s="4" t="inlineStr">
        <is>
          <t>Azure採用時に、CLOUD-COMMONで未評価のAzure固有差分へ適用。</t>
        </is>
      </c>
      <c r="K16" s="4" t="inlineStr">
        <is>
          <t>SRC-AZR-WAF</t>
        </is>
      </c>
      <c r="L16" s="4" t="inlineStr">
        <is>
          <t>SEC-IAM</t>
        </is>
      </c>
      <c r="M16" s="4" t="n"/>
      <c r="N16" s="4" t="n"/>
      <c r="O16" s="4" t="n"/>
      <c r="P16" s="4" t="n"/>
      <c r="Q16" s="4" t="n"/>
      <c r="R16" s="4" t="n"/>
      <c r="S16" s="4" t="n"/>
      <c r="T16" s="4" t="n"/>
      <c r="U16" s="4" t="n"/>
      <c r="V16" s="4" t="n"/>
      <c r="W16" s="4" t="n"/>
    </row>
    <row r="17">
      <c r="A17" s="5" t="inlineStr">
        <is>
          <t>AZR-016</t>
        </is>
      </c>
      <c r="B17" s="5" t="inlineStr">
        <is>
          <t>WAF</t>
        </is>
      </c>
      <c r="C17" s="4" t="inlineStr">
        <is>
          <t>セキュリティ / Security</t>
        </is>
      </c>
      <c r="D17" s="8" t="inlineStr">
        <is>
          <t>Critical</t>
        </is>
      </c>
      <c r="E17" s="4" t="inlineStr">
        <is>
          <t>アプリケーションからAzureリソースへのアクセスに接続文字列やキーではなくマネージドID(managed identity)を使用している</t>
        </is>
      </c>
      <c r="F17" s="4" t="inlineStr">
        <is>
          <t>マネージドID対応サービスへのアクセスがすべてマネージドID経由であり、対応不可の場合のみサービスプリンシパルを使用し理由が記録されている</t>
        </is>
      </c>
      <c r="G17" s="4" t="inlineStr">
        <is>
          <t>埋め込まれた資格情報の漏えいがデータ侵害に直結する。マネージドIDで資格情報管理自体を排除する。</t>
        </is>
      </c>
      <c r="H17" s="4" t="inlineStr">
        <is>
          <t>Azure Well-Architected Framework &gt; セキュリティの柱 &gt; SE:05 (Identity and access management &gt; Workload identity / Resource identity: managed identities)</t>
        </is>
      </c>
      <c r="I17" s="4" t="inlineStr">
        <is>
          <t>AZURE-DELTA</t>
        </is>
      </c>
      <c r="J17" s="4" t="inlineStr">
        <is>
          <t>Azure採用時に、CLOUD-COMMONで未評価のAzure固有差分へ適用。</t>
        </is>
      </c>
      <c r="K17" s="4" t="inlineStr">
        <is>
          <t>SRC-AZR-WAF</t>
        </is>
      </c>
      <c r="L17" s="4" t="inlineStr"/>
      <c r="M17" s="4" t="n"/>
      <c r="N17" s="4" t="n"/>
      <c r="O17" s="4" t="n"/>
      <c r="P17" s="4" t="n"/>
      <c r="Q17" s="4" t="n"/>
      <c r="R17" s="4" t="n"/>
      <c r="S17" s="4" t="n"/>
      <c r="T17" s="4" t="n"/>
      <c r="U17" s="4" t="n"/>
      <c r="V17" s="4" t="n"/>
      <c r="W17" s="4" t="n"/>
    </row>
    <row r="18">
      <c r="A18" s="5" t="inlineStr">
        <is>
          <t>AZR-017</t>
        </is>
      </c>
      <c r="B18" s="5" t="inlineStr">
        <is>
          <t>WAF</t>
        </is>
      </c>
      <c r="C18" s="4" t="inlineStr">
        <is>
          <t>セキュリティ / Security</t>
        </is>
      </c>
      <c r="D18" s="9" t="inlineStr">
        <is>
          <t>High</t>
        </is>
      </c>
      <c r="E18" s="4" t="inlineStr">
        <is>
          <t>Azure RBACで最小権限が実装されている(組み込みロールを優先、個人でなくEntra IDグループへ割り当て、過剰なスコープの回避)</t>
        </is>
      </c>
      <c r="F18" s="4" t="inlineStr">
        <is>
          <t>ロール割り当ての棚卸しで、Owner/Contributor等の広範ロールの常時付与が正当化されているか、割り当てがグループ単位かを確認できる</t>
        </is>
      </c>
      <c r="G18" s="4" t="inlineStr">
        <is>
          <t>過剰権限のIDが侵害されると被害範囲(blast radius)が拡大する。</t>
        </is>
      </c>
      <c r="H18" s="4" t="inlineStr">
        <is>
          <t>Azure Well-Architected Framework &gt; セキュリティの柱 &gt; SE:05 (Identity and access management &gt; Provide role-based authorization / Azure RBAC / Group access management)</t>
        </is>
      </c>
      <c r="I18" s="4" t="inlineStr">
        <is>
          <t>AZURE-DELTA</t>
        </is>
      </c>
      <c r="J18" s="4" t="inlineStr">
        <is>
          <t>Azure採用時に、CLOUD-COMMONで未評価のAzure固有差分へ適用。</t>
        </is>
      </c>
      <c r="K18" s="4" t="inlineStr">
        <is>
          <t>SRC-AZR-WAF</t>
        </is>
      </c>
      <c r="L18" s="4" t="inlineStr">
        <is>
          <t>SEC-IAM</t>
        </is>
      </c>
      <c r="M18" s="4" t="n"/>
      <c r="N18" s="4" t="n"/>
      <c r="O18" s="4" t="n"/>
      <c r="P18" s="4" t="n"/>
      <c r="Q18" s="4" t="n"/>
      <c r="R18" s="4" t="n"/>
      <c r="S18" s="4" t="n"/>
      <c r="T18" s="4" t="n"/>
      <c r="U18" s="4" t="n"/>
      <c r="V18" s="4" t="n"/>
      <c r="W18" s="4" t="n"/>
    </row>
    <row r="19">
      <c r="A19" s="5" t="inlineStr">
        <is>
          <t>AZR-018</t>
        </is>
      </c>
      <c r="B19" s="5" t="inlineStr">
        <is>
          <t>WAF</t>
        </is>
      </c>
      <c r="C19" s="4" t="inlineStr">
        <is>
          <t>セキュリティ / Security</t>
        </is>
      </c>
      <c r="D19" s="9" t="inlineStr">
        <is>
          <t>High</t>
        </is>
      </c>
      <c r="E19" s="4" t="inlineStr">
        <is>
          <t>特権ロールへの常時アクセスを排し、Microsoft Entra Privileged Identity Management(PIM)による時間制限・承認ベースのJIT昇格を使用している</t>
        </is>
      </c>
      <c r="F19" s="4" t="inlineStr">
        <is>
          <t>高影響ロールがPIMのeligible割り当てで管理され、恒久的な特権割り当てが緊急用break glassアカウント以外に存在しない</t>
        </is>
      </c>
      <c r="G19" s="4" t="inlineStr">
        <is>
          <t>常設の特権アカウントは攻撃者にとって最大の標的であり、侵害時の被害が甚大になる。</t>
        </is>
      </c>
      <c r="H19" s="4" t="inlineStr">
        <is>
          <t>Azure Well-Architected Framework &gt; セキュリティの柱 &gt; SE:05 (Identity and access management &gt; Protect critical impact accounts / Azure RBAC: Privileged Identity Management)</t>
        </is>
      </c>
      <c r="I19" s="4" t="inlineStr">
        <is>
          <t>AZURE-DELTA</t>
        </is>
      </c>
      <c r="J19" s="4" t="inlineStr">
        <is>
          <t>Azure採用時に、CLOUD-COMMONで未評価のAzure固有差分へ適用。</t>
        </is>
      </c>
      <c r="K19" s="4" t="inlineStr">
        <is>
          <t>SRC-AZR-WAF</t>
        </is>
      </c>
      <c r="L19" s="4" t="inlineStr">
        <is>
          <t>SEC-IAM</t>
        </is>
      </c>
      <c r="M19" s="4" t="n"/>
      <c r="N19" s="4" t="n"/>
      <c r="O19" s="4" t="n"/>
      <c r="P19" s="4" t="n"/>
      <c r="Q19" s="4" t="n"/>
      <c r="R19" s="4" t="n"/>
      <c r="S19" s="4" t="n"/>
      <c r="T19" s="4" t="n"/>
      <c r="U19" s="4" t="n"/>
      <c r="V19" s="4" t="n"/>
      <c r="W19" s="4" t="n"/>
    </row>
    <row r="20">
      <c r="A20" s="5" t="inlineStr">
        <is>
          <t>AZR-019</t>
        </is>
      </c>
      <c r="B20" s="5" t="inlineStr">
        <is>
          <t>WAF</t>
        </is>
      </c>
      <c r="C20" s="4" t="inlineStr">
        <is>
          <t>セキュリティ / Security</t>
        </is>
      </c>
      <c r="D20" s="9" t="inlineStr">
        <is>
          <t>High</t>
        </is>
      </c>
      <c r="E20" s="4" t="inlineStr">
        <is>
          <t>Microsoft Entra条件付きアクセスポリシーで、ユーザー・場所・デバイス状態等に基づくアクセス制御(MFA強制を含む)が構成されている</t>
        </is>
      </c>
      <c r="F20" s="4" t="inlineStr">
        <is>
          <t>条件付きアクセスポリシーの一覧があり、管理者アクセスへのMFA/パスワードレス強制が確認できる</t>
        </is>
      </c>
      <c r="G20" s="4" t="inlineStr">
        <is>
          <t>パスワードのみの認証は資格情報窃取による不正アクセスを許す。</t>
        </is>
      </c>
      <c r="H20" s="4" t="inlineStr">
        <is>
          <t>Azure Well-Architected Framework &gt; セキュリティの柱 &gt; SE:05 (Identity and access management &gt; Make conditional access choices / Conditional access policies)</t>
        </is>
      </c>
      <c r="I20" s="4" t="inlineStr">
        <is>
          <t>AZURE-DELTA</t>
        </is>
      </c>
      <c r="J20" s="4" t="inlineStr">
        <is>
          <t>Azure採用時に、CLOUD-COMMONで未評価のAzure固有差分へ適用。</t>
        </is>
      </c>
      <c r="K20" s="4" t="inlineStr">
        <is>
          <t>SRC-AZR-WAF</t>
        </is>
      </c>
      <c r="L20" s="4" t="inlineStr"/>
      <c r="M20" s="4" t="n"/>
      <c r="N20" s="4" t="n"/>
      <c r="O20" s="4" t="n"/>
      <c r="P20" s="4" t="n"/>
      <c r="Q20" s="4" t="n"/>
      <c r="R20" s="4" t="n"/>
      <c r="S20" s="4" t="n"/>
      <c r="T20" s="4" t="n"/>
      <c r="U20" s="4" t="n"/>
      <c r="V20" s="4" t="n"/>
      <c r="W20" s="4" t="n"/>
    </row>
    <row r="21">
      <c r="A21" s="5" t="inlineStr">
        <is>
          <t>AZR-020</t>
        </is>
      </c>
      <c r="B21" s="5" t="inlineStr">
        <is>
          <t>WAF</t>
        </is>
      </c>
      <c r="C21" s="4" t="inlineStr">
        <is>
          <t>セキュリティ / Security</t>
        </is>
      </c>
      <c r="D21" s="9" t="inlineStr">
        <is>
          <t>High</t>
        </is>
      </c>
      <c r="E21" s="4" t="inlineStr">
        <is>
          <t>ハイブリッド構成でオンプレミスADの高特権アカウントをMicrosoft Entra IDへ同期していない(Entra Connect Syncの既定フィルタリングを変更していない)</t>
        </is>
      </c>
      <c r="F21" s="4" t="inlineStr">
        <is>
          <t>Entra Connect Syncの構成レビューで高特権アカウントの同期除外が確認できる</t>
        </is>
      </c>
      <c r="G21" s="4" t="inlineStr">
        <is>
          <t>オンプレ侵害がそのままクラウド全体の侵害へ波及するのを防ぐ。</t>
        </is>
      </c>
      <c r="H21" s="4" t="inlineStr">
        <is>
          <t>Azure Well-Architected Framework &gt; セキュリティの柱 &gt; SE:05 (Identity and access management &gt; Hybrid systems)</t>
        </is>
      </c>
      <c r="I21" s="4" t="inlineStr">
        <is>
          <t>AZURE-DELTA</t>
        </is>
      </c>
      <c r="J21" s="4" t="inlineStr">
        <is>
          <t>Azure採用時に、CLOUD-COMMONで未評価のAzure固有差分へ適用。</t>
        </is>
      </c>
      <c r="K21" s="4" t="inlineStr">
        <is>
          <t>SRC-AZR-WAF</t>
        </is>
      </c>
      <c r="L21" s="4" t="inlineStr">
        <is>
          <t>SEC-IAM</t>
        </is>
      </c>
      <c r="M21" s="4" t="n"/>
      <c r="N21" s="4" t="n"/>
      <c r="O21" s="4" t="n"/>
      <c r="P21" s="4" t="n"/>
      <c r="Q21" s="4" t="n"/>
      <c r="R21" s="4" t="n"/>
      <c r="S21" s="4" t="n"/>
      <c r="T21" s="4" t="n"/>
      <c r="U21" s="4" t="n"/>
      <c r="V21" s="4" t="n"/>
      <c r="W21" s="4" t="n"/>
    </row>
    <row r="22">
      <c r="A22" s="5" t="inlineStr">
        <is>
          <t>AZR-021</t>
        </is>
      </c>
      <c r="B22" s="5" t="inlineStr">
        <is>
          <t>WAF</t>
        </is>
      </c>
      <c r="C22" s="4" t="inlineStr">
        <is>
          <t>セキュリティ / Security</t>
        </is>
      </c>
      <c r="D22" s="9" t="inlineStr">
        <is>
          <t>High</t>
        </is>
      </c>
      <c r="E22" s="4" t="inlineStr">
        <is>
          <t>サブネット境界にネットワークセキュリティグループ(NSG)を適用し、必要なトラフィックのみ許可するルール(サービスタグ/ASG活用、既定の過剰許可の見直し)になっている</t>
        </is>
      </c>
      <c r="F22" s="4" t="inlineStr">
        <is>
          <t>全サブネットにNSGが適用され、ルールがプロトコル・送信元・宛先・ポートで最小化されている。NSGのないサブネットはAzure Policyで検出される</t>
        </is>
      </c>
      <c r="G22" s="4" t="inlineStr">
        <is>
          <t>サブネット内の水平移動(east-west)を許すと、1コンポーネントの侵害がワークロード全体に波及する。</t>
        </is>
      </c>
      <c r="H22" s="4" t="inlineStr">
        <is>
          <t>Azure Well-Architected Framework &gt; セキュリティの柱 &gt; SE:06 (Architecture strategies for networking and connectivity &gt; Network security groups)</t>
        </is>
      </c>
      <c r="I22" s="4" t="inlineStr">
        <is>
          <t>AZURE-DELTA</t>
        </is>
      </c>
      <c r="J22" s="4" t="inlineStr">
        <is>
          <t>Azure採用時に、CLOUD-COMMONで未評価のAzure固有差分へ適用。</t>
        </is>
      </c>
      <c r="K22" s="4" t="inlineStr">
        <is>
          <t>SRC-AZR-WAF</t>
        </is>
      </c>
      <c r="L22" s="4" t="inlineStr"/>
      <c r="M22" s="4" t="n"/>
      <c r="N22" s="4" t="n"/>
      <c r="O22" s="4" t="n"/>
      <c r="P22" s="4" t="n"/>
      <c r="Q22" s="4" t="n"/>
      <c r="R22" s="4" t="n"/>
      <c r="S22" s="4" t="n"/>
      <c r="T22" s="4" t="n"/>
      <c r="U22" s="4" t="n"/>
      <c r="V22" s="4" t="n"/>
      <c r="W22" s="4" t="n"/>
    </row>
    <row r="23">
      <c r="A23" s="5" t="inlineStr">
        <is>
          <t>AZR-022</t>
        </is>
      </c>
      <c r="B23" s="5" t="inlineStr">
        <is>
          <t>WAF</t>
        </is>
      </c>
      <c r="C23" s="4" t="inlineStr">
        <is>
          <t>セキュリティ / Security</t>
        </is>
      </c>
      <c r="D23" s="9" t="inlineStr">
        <is>
          <t>High</t>
        </is>
      </c>
      <c r="E23" s="4" t="inlineStr">
        <is>
          <t>インターネット向けアウトバウンド(egress)がAzure Firewall等の単一の管理された経路(強制トンネリング/UDR)を通過する設計になっている</t>
        </is>
      </c>
      <c r="F23" s="4" t="inlineStr">
        <is>
          <t>egress経路の設計図とUDR構成があり、Azure Firewallの診断設定(トラフィック/IDPS/DNSログ)が有効</t>
        </is>
      </c>
      <c r="G23" s="4" t="inlineStr">
        <is>
          <t>無統制なegressはマルウェアのC2通信・データ持ち出し(exfiltration)を検知・遮断できない。</t>
        </is>
      </c>
      <c r="H23" s="4" t="inlineStr">
        <is>
          <t>Azure Well-Architected Framework &gt; セキュリティの柱 &gt; SE:06 (Networking and connectivity &gt; Apply firewalls at the edge / Azure facilitation: Azure Firewall)</t>
        </is>
      </c>
      <c r="I23" s="4" t="inlineStr">
        <is>
          <t>AZURE-DELTA</t>
        </is>
      </c>
      <c r="J23" s="4" t="inlineStr">
        <is>
          <t>Azure採用時に、CLOUD-COMMONで未評価のAzure固有差分へ適用。</t>
        </is>
      </c>
      <c r="K23" s="4" t="inlineStr">
        <is>
          <t>SRC-AZR-WAF</t>
        </is>
      </c>
      <c r="L23" s="4" t="inlineStr">
        <is>
          <t>CONTINUITY-DR</t>
        </is>
      </c>
      <c r="M23" s="4" t="n"/>
      <c r="N23" s="4" t="n"/>
      <c r="O23" s="4" t="n"/>
      <c r="P23" s="4" t="n"/>
      <c r="Q23" s="4" t="n"/>
      <c r="R23" s="4" t="n"/>
      <c r="S23" s="4" t="n"/>
      <c r="T23" s="4" t="n"/>
      <c r="U23" s="4" t="n"/>
      <c r="V23" s="4" t="n"/>
      <c r="W23" s="4" t="n"/>
    </row>
    <row r="24">
      <c r="A24" s="5" t="inlineStr">
        <is>
          <t>AZR-023</t>
        </is>
      </c>
      <c r="B24" s="5" t="inlineStr">
        <is>
          <t>WAF</t>
        </is>
      </c>
      <c r="C24" s="4" t="inlineStr">
        <is>
          <t>セキュリティ / Security</t>
        </is>
      </c>
      <c r="D24" s="9" t="inlineStr">
        <is>
          <t>High</t>
        </is>
      </c>
      <c r="E24" s="4" t="inlineStr">
        <is>
          <t>公開HTTP/HTTPSエンドポイントの前段にAzure Web Application Firewall(Front DoorまたはApplication Gateway統合)が配置されている</t>
        </is>
      </c>
      <c r="F24" s="4" t="inlineStr">
        <is>
          <t>公開Webエンドポイントの一覧とWAFポリシー(OWASPルールセット、rate limiting等)の適用が確認できる</t>
        </is>
      </c>
      <c r="G24" s="4" t="inlineStr">
        <is>
          <t>SQLインジェクション・XSS等のOWASP Top 10攻撃がアプリケーションへ直接到達するのを防ぐ。</t>
        </is>
      </c>
      <c r="H24" s="4" t="inlineStr">
        <is>
          <t>Azure Well-Architected Framework &gt; セキュリティの柱 &gt; SE:06 (Networking and connectivity &gt; Azure facilitation: Azure Web Application Firewall)</t>
        </is>
      </c>
      <c r="I24" s="4" t="inlineStr">
        <is>
          <t>AZURE-DELTA</t>
        </is>
      </c>
      <c r="J24" s="4" t="inlineStr">
        <is>
          <t>Azure採用時に、CLOUD-COMMONで未評価のAzure固有差分へ適用。</t>
        </is>
      </c>
      <c r="K24" s="4" t="inlineStr">
        <is>
          <t>SRC-AZR-WAF</t>
        </is>
      </c>
      <c r="L24" s="4" t="inlineStr"/>
      <c r="M24" s="4" t="n"/>
      <c r="N24" s="4" t="n"/>
      <c r="O24" s="4" t="n"/>
      <c r="P24" s="4" t="n"/>
      <c r="Q24" s="4" t="n"/>
      <c r="R24" s="4" t="n"/>
      <c r="S24" s="4" t="n"/>
      <c r="T24" s="4" t="n"/>
      <c r="U24" s="4" t="n"/>
      <c r="V24" s="4" t="n"/>
      <c r="W24" s="4" t="n"/>
    </row>
    <row r="25">
      <c r="A25" s="5" t="inlineStr">
        <is>
          <t>AZR-024</t>
        </is>
      </c>
      <c r="B25" s="5" t="inlineStr">
        <is>
          <t>WAF</t>
        </is>
      </c>
      <c r="C25" s="4" t="inlineStr">
        <is>
          <t>セキュリティ / Security</t>
        </is>
      </c>
      <c r="D25" s="9" t="inlineStr">
        <is>
          <t>High</t>
        </is>
      </c>
      <c r="E25" s="4" t="inlineStr">
        <is>
          <t>PaaSサービスへの接続にプライベートエンドポイント(Private Link)とサービスファイアウォールを併用し、不要なパブリック公開を排除している</t>
        </is>
      </c>
      <c r="F25" s="4" t="inlineStr">
        <is>
          <t>PaaSリソースごとにパブリックアクセス無効化/プライベートエンドポイント構成が確認でき、Azure Policyで構成が強制されている</t>
        </is>
      </c>
      <c r="G25" s="4" t="inlineStr">
        <is>
          <t>パブリック経由のPaaSアクセスはインターネットからの攻撃面となり、認証情報漏えい時に直接侵害される。</t>
        </is>
      </c>
      <c r="H25" s="4" t="inlineStr">
        <is>
          <t>Azure Well-Architected Framework &gt; セキュリティの柱 &gt; SE:06 (Networking and connectivity &gt; Private endpoints / Azure service firewalls)</t>
        </is>
      </c>
      <c r="I25" s="4" t="inlineStr">
        <is>
          <t>AZURE-DELTA</t>
        </is>
      </c>
      <c r="J25" s="4" t="inlineStr">
        <is>
          <t>Azure採用時に、CLOUD-COMMONで未評価のAzure固有差分へ適用。</t>
        </is>
      </c>
      <c r="K25" s="4" t="inlineStr">
        <is>
          <t>SRC-AZR-WAF</t>
        </is>
      </c>
      <c r="L25" s="4" t="inlineStr"/>
      <c r="M25" s="4" t="n"/>
      <c r="N25" s="4" t="n"/>
      <c r="O25" s="4" t="n"/>
      <c r="P25" s="4" t="n"/>
      <c r="Q25" s="4" t="n"/>
      <c r="R25" s="4" t="n"/>
      <c r="S25" s="4" t="n"/>
      <c r="T25" s="4" t="n"/>
      <c r="U25" s="4" t="n"/>
      <c r="V25" s="4" t="n"/>
      <c r="W25" s="4" t="n"/>
    </row>
    <row r="26">
      <c r="A26" s="5" t="inlineStr">
        <is>
          <t>AZR-025</t>
        </is>
      </c>
      <c r="B26" s="5" t="inlineStr">
        <is>
          <t>WAF</t>
        </is>
      </c>
      <c r="C26" s="4" t="inlineStr">
        <is>
          <t>セキュリティ / Security</t>
        </is>
      </c>
      <c r="D26" s="9" t="inlineStr">
        <is>
          <t>High</t>
        </is>
      </c>
      <c r="E26" s="4" t="inlineStr">
        <is>
          <t>VMへの管理アクセス(RDP/SSH)はパブリックIPを付与せずAzure Bastion経由に限定されている</t>
        </is>
      </c>
      <c r="F26" s="4" t="inlineStr">
        <is>
          <t>パブリックIP付きVMでRDP/SSHポートを公開しているものが存在せず、Bastionの構成が確認できる</t>
        </is>
      </c>
      <c r="G26" s="4" t="inlineStr">
        <is>
          <t>公開RDP/SSHはブルートフォース攻撃の常套的な侵入口となる。</t>
        </is>
      </c>
      <c r="H26" s="4" t="inlineStr">
        <is>
          <t>Azure Well-Architected Framework &gt; セキュリティの柱 &gt; SE:06 (Networking and connectivity &gt; Azure Bastion)</t>
        </is>
      </c>
      <c r="I26" s="4" t="inlineStr">
        <is>
          <t>AZURE-DELTA</t>
        </is>
      </c>
      <c r="J26" s="4" t="inlineStr">
        <is>
          <t>Azure採用時に、CLOUD-COMMONで未評価のAzure固有差分へ適用。</t>
        </is>
      </c>
      <c r="K26" s="4" t="inlineStr">
        <is>
          <t>SRC-AZR-WAF</t>
        </is>
      </c>
      <c r="L26" s="4" t="inlineStr"/>
      <c r="M26" s="4" t="n"/>
      <c r="N26" s="4" t="n"/>
      <c r="O26" s="4" t="n"/>
      <c r="P26" s="4" t="n"/>
      <c r="Q26" s="4" t="n"/>
      <c r="R26" s="4" t="n"/>
      <c r="S26" s="4" t="n"/>
      <c r="T26" s="4" t="n"/>
      <c r="U26" s="4" t="n"/>
      <c r="V26" s="4" t="n"/>
      <c r="W26" s="4" t="n"/>
    </row>
    <row r="27">
      <c r="A27" s="5" t="inlineStr">
        <is>
          <t>AZR-026</t>
        </is>
      </c>
      <c r="B27" s="5" t="inlineStr">
        <is>
          <t>WAF</t>
        </is>
      </c>
      <c r="C27" s="4" t="inlineStr">
        <is>
          <t>セキュリティ / Security</t>
        </is>
      </c>
      <c r="D27" s="10" t="inlineStr">
        <is>
          <t>Medium</t>
        </is>
      </c>
      <c r="E27" s="4" t="inlineStr">
        <is>
          <t>公開エンドポイントを持つワークロードでAzure DDoS Protection(上位SKU)の適用要否が評価・決定されている</t>
        </is>
      </c>
      <c r="F27" s="4" t="inlineStr">
        <is>
          <t>DDoSリスク評価の記録と、採用時はDDoS Protectionプランの構成が確認できる</t>
        </is>
      </c>
      <c r="G27" s="4" t="inlineStr">
        <is>
          <t>基本保護のみではテレメトリ・アラートがなく、大規模DDoS時に迅速な対応ができない。</t>
        </is>
      </c>
      <c r="H27" s="4" t="inlineStr">
        <is>
          <t>Azure Well-Architected Framework &gt; セキュリティの柱 &gt; SE:06 (Networking and connectivity &gt; Azure DDoS Protection)</t>
        </is>
      </c>
      <c r="I27" s="4" t="inlineStr">
        <is>
          <t>AZURE-DELTA</t>
        </is>
      </c>
      <c r="J27" s="4" t="inlineStr">
        <is>
          <t>Azure採用時に、CLOUD-COMMONで未評価のAzure固有差分へ適用。</t>
        </is>
      </c>
      <c r="K27" s="4" t="inlineStr">
        <is>
          <t>SRC-AZR-WAF</t>
        </is>
      </c>
      <c r="L27" s="4" t="inlineStr"/>
      <c r="M27" s="4" t="n"/>
      <c r="N27" s="4" t="n"/>
      <c r="O27" s="4" t="n"/>
      <c r="P27" s="4" t="n"/>
      <c r="Q27" s="4" t="n"/>
      <c r="R27" s="4" t="n"/>
      <c r="S27" s="4" t="n"/>
      <c r="T27" s="4" t="n"/>
      <c r="U27" s="4" t="n"/>
      <c r="V27" s="4" t="n"/>
      <c r="W27" s="4" t="n"/>
    </row>
    <row r="28">
      <c r="A28" s="5" t="inlineStr">
        <is>
          <t>AZR-027</t>
        </is>
      </c>
      <c r="B28" s="5" t="inlineStr">
        <is>
          <t>WAF</t>
        </is>
      </c>
      <c r="C28" s="4" t="inlineStr">
        <is>
          <t>セキュリティ / Security</t>
        </is>
      </c>
      <c r="D28" s="9" t="inlineStr">
        <is>
          <t>High</t>
        </is>
      </c>
      <c r="E28" s="4" t="inlineStr">
        <is>
          <t>通信はTLS 1.2以上に統一され(HTTPS/HSTS)、証明書はKey Vaultで管理されライフサイクル(更新・失効)が自動化されている</t>
        </is>
      </c>
      <c r="F28" s="4" t="inlineStr">
        <is>
          <t>TLS 1.2未満を許容する構成が存在せず、証明書の保管場所と自動更新プロセスが確認できる</t>
        </is>
      </c>
      <c r="G28" s="4" t="inlineStr">
        <is>
          <t>古いTLSや失効管理されない証明書は中間者攻撃・なりすまし・突然の期限切れ停止を招く。</t>
        </is>
      </c>
      <c r="H28" s="4" t="inlineStr">
        <is>
          <t>Azure Well-Architected Framework &gt; セキュリティの柱 &gt; SE:07 (Architecture strategies for encryption &gt; Encrypt data in transit / Data-in-transit protection: Key Vault)</t>
        </is>
      </c>
      <c r="I28" s="4" t="inlineStr">
        <is>
          <t>AZURE-DELTA</t>
        </is>
      </c>
      <c r="J28" s="4" t="inlineStr">
        <is>
          <t>Azure採用時に、CLOUD-COMMONで未評価のAzure固有差分へ適用。</t>
        </is>
      </c>
      <c r="K28" s="4" t="inlineStr">
        <is>
          <t>SRC-AZR-WAF</t>
        </is>
      </c>
      <c r="L28" s="4" t="inlineStr">
        <is>
          <t>SEC-CRYPTO</t>
        </is>
      </c>
      <c r="M28" s="4" t="n"/>
      <c r="N28" s="4" t="n"/>
      <c r="O28" s="4" t="n"/>
      <c r="P28" s="4" t="n"/>
      <c r="Q28" s="4" t="n"/>
      <c r="R28" s="4" t="n"/>
      <c r="S28" s="4" t="n"/>
      <c r="T28" s="4" t="n"/>
      <c r="U28" s="4" t="n"/>
      <c r="V28" s="4" t="n"/>
      <c r="W28" s="4" t="n"/>
    </row>
    <row r="29">
      <c r="A29" s="5" t="inlineStr">
        <is>
          <t>AZR-028</t>
        </is>
      </c>
      <c r="B29" s="5" t="inlineStr">
        <is>
          <t>WAF</t>
        </is>
      </c>
      <c r="C29" s="4" t="inlineStr">
        <is>
          <t>セキュリティ / Security</t>
        </is>
      </c>
      <c r="D29" s="9" t="inlineStr">
        <is>
          <t>High</t>
        </is>
      </c>
      <c r="E29" s="4" t="inlineStr">
        <is>
          <t>保存データの暗号化にプラットフォームネイティブ機能(Storage暗号化、マネージドディスク暗号化、SQL TDE)を使用し、要件に応じてKey Vault / Managed HSMのカスタマーマネージドキー(CMK)を採用している</t>
        </is>
      </c>
      <c r="F29" s="4" t="inlineStr">
        <is>
          <t>データストアごとの暗号化方式(PMK/CMK)の選定記録があり、CMK採用時はキーとデータの分離保管・アクセス制御が確認できる</t>
        </is>
      </c>
      <c r="G29" s="4" t="inlineStr">
        <is>
          <t>暗号化の欠落や独自実装は、媒体・バックアップ経由の情報漏えいや規制違反を招く。</t>
        </is>
      </c>
      <c r="H29" s="4" t="inlineStr">
        <is>
          <t>Azure Well-Architected Framework &gt; セキュリティの柱 &gt; SE:07 (Encryption &gt; Use native encryption mechanisms / Choose an encryption keys approach / Azure facilitation: Customer-managed keys)</t>
        </is>
      </c>
      <c r="I29" s="4" t="inlineStr">
        <is>
          <t>AZURE-DELTA</t>
        </is>
      </c>
      <c r="J29" s="4" t="inlineStr">
        <is>
          <t>Azure採用時に、CLOUD-COMMONで未評価のAzure固有差分へ適用。</t>
        </is>
      </c>
      <c r="K29" s="4" t="inlineStr">
        <is>
          <t>SRC-AZR-WAF</t>
        </is>
      </c>
      <c r="L29" s="4" t="inlineStr">
        <is>
          <t>SEC-CRYPTO</t>
        </is>
      </c>
      <c r="M29" s="4" t="n"/>
      <c r="N29" s="4" t="n"/>
      <c r="O29" s="4" t="n"/>
      <c r="P29" s="4" t="n"/>
      <c r="Q29" s="4" t="n"/>
      <c r="R29" s="4" t="n"/>
      <c r="S29" s="4" t="n"/>
      <c r="T29" s="4" t="n"/>
      <c r="U29" s="4" t="n"/>
      <c r="V29" s="4" t="n"/>
      <c r="W29" s="4" t="n"/>
    </row>
    <row r="30">
      <c r="A30" s="5" t="inlineStr">
        <is>
          <t>AZR-029</t>
        </is>
      </c>
      <c r="B30" s="5" t="inlineStr">
        <is>
          <t>WAF</t>
        </is>
      </c>
      <c r="C30" s="4" t="inlineStr">
        <is>
          <t>セキュリティ / Security</t>
        </is>
      </c>
      <c r="D30" s="8" t="inlineStr">
        <is>
          <t>Critical</t>
        </is>
      </c>
      <c r="E30" s="4" t="inlineStr">
        <is>
          <t>シークレット(APIキー・接続文字列・証明書)はAzure Key Vaultに保管され、コード・設定ファイル・IaC・パイプラインにハードコードされていない</t>
        </is>
      </c>
      <c r="F30" s="4" t="inlineStr">
        <is>
          <t>シークレットスキャン(Defender for Cloud、GitHub Secret Scanner等)がCIに組み込まれ、検出ゼロまたは検出時の失効プロセスが確認できる</t>
        </is>
      </c>
      <c r="G30" s="4" t="inlineStr">
        <is>
          <t>ハードコードされたシークレットはリポジトリ閲覧者全員に露出し、漏えい即侵害につながる。</t>
        </is>
      </c>
      <c r="H30" s="4" t="inlineStr">
        <is>
          <t>Azure Well-Architected Framework &gt; セキュリティの柱 &gt; SE:09 (Architecture strategies for protecting application secrets &gt; Prevent hardcoding / Azure facilitation: Key Vault, Defender for Cloud secret scanning)</t>
        </is>
      </c>
      <c r="I30" s="4" t="inlineStr">
        <is>
          <t>AZURE-DELTA</t>
        </is>
      </c>
      <c r="J30" s="4" t="inlineStr">
        <is>
          <t>Azure採用時に、CLOUD-COMMONで未評価のAzure固有差分へ適用。</t>
        </is>
      </c>
      <c r="K30" s="4" t="inlineStr">
        <is>
          <t>SRC-AZR-WAF</t>
        </is>
      </c>
      <c r="L30" s="4" t="inlineStr">
        <is>
          <t>SEC-CRYPTO;OPS-IAC</t>
        </is>
      </c>
      <c r="M30" s="4" t="n"/>
      <c r="N30" s="4" t="n"/>
      <c r="O30" s="4" t="n"/>
      <c r="P30" s="4" t="n"/>
      <c r="Q30" s="4" t="n"/>
      <c r="R30" s="4" t="n"/>
      <c r="S30" s="4" t="n"/>
      <c r="T30" s="4" t="n"/>
      <c r="U30" s="4" t="n"/>
      <c r="V30" s="4" t="n"/>
      <c r="W30" s="4" t="n"/>
    </row>
    <row r="31">
      <c r="A31" s="5" t="inlineStr">
        <is>
          <t>AZR-030</t>
        </is>
      </c>
      <c r="B31" s="5" t="inlineStr">
        <is>
          <t>WAF</t>
        </is>
      </c>
      <c r="C31" s="4" t="inlineStr">
        <is>
          <t>セキュリティ / Security</t>
        </is>
      </c>
      <c r="D31" s="9" t="inlineStr">
        <is>
          <t>High</t>
        </is>
      </c>
      <c r="E31" s="4" t="inlineStr">
        <is>
          <t>シークレットのローテーションが自動化され、Key Vaultへのアクセスが監査ログで追跡されている</t>
        </is>
      </c>
      <c r="F31" s="4" t="inlineStr">
        <is>
          <t>各シークレットのローテーション周期・自動化方式と、緊急ローテーション手順が文書化されている</t>
        </is>
      </c>
      <c r="G31" s="4" t="inlineStr">
        <is>
          <t>長寿命の固定シークレットは漏えい時の悪用期間が無期限になる。</t>
        </is>
      </c>
      <c r="H31" s="4" t="inlineStr">
        <is>
          <t>Azure Well-Architected Framework &gt; セキュリティの柱 &gt; SE:09 (Protecting application secrets &gt; Secret rotation / Secret storage: auditing)</t>
        </is>
      </c>
      <c r="I31" s="4" t="inlineStr">
        <is>
          <t>AZURE-DELTA</t>
        </is>
      </c>
      <c r="J31" s="4" t="inlineStr">
        <is>
          <t>Azure採用時に、CLOUD-COMMONで未評価のAzure固有差分へ適用。</t>
        </is>
      </c>
      <c r="K31" s="4" t="inlineStr">
        <is>
          <t>SRC-AZR-WAF</t>
        </is>
      </c>
      <c r="L31" s="4" t="inlineStr">
        <is>
          <t>SEC-CRYPTO;OPS-OBSERVABILITY</t>
        </is>
      </c>
      <c r="M31" s="4" t="n"/>
      <c r="N31" s="4" t="n"/>
      <c r="O31" s="4" t="n"/>
      <c r="P31" s="4" t="n"/>
      <c r="Q31" s="4" t="n"/>
      <c r="R31" s="4" t="n"/>
      <c r="S31" s="4" t="n"/>
      <c r="T31" s="4" t="n"/>
      <c r="U31" s="4" t="n"/>
      <c r="V31" s="4" t="n"/>
      <c r="W31" s="4" t="n"/>
    </row>
    <row r="32">
      <c r="A32" s="5" t="inlineStr">
        <is>
          <t>AZR-031</t>
        </is>
      </c>
      <c r="B32" s="5" t="inlineStr">
        <is>
          <t>WAF</t>
        </is>
      </c>
      <c r="C32" s="4" t="inlineStr">
        <is>
          <t>セキュリティ / Security</t>
        </is>
      </c>
      <c r="D32" s="9" t="inlineStr">
        <is>
          <t>High</t>
        </is>
      </c>
      <c r="E32" s="4" t="inlineStr">
        <is>
          <t>Microsoft Defender for Cloudが有効化され、VM・データベース・コンテナ等のリソース種別に応じた脅威保護プランが適用されている</t>
        </is>
      </c>
      <c r="F32" s="4" t="inlineStr">
        <is>
          <t>対象サブスクリプションでDefenderプランの有効化状況とセキュアスコアの定期レビュー記録が確認できる</t>
        </is>
      </c>
      <c r="G32" s="4" t="inlineStr">
        <is>
          <t>脅威検知がないと侵害の兆候(既知の不正IP接続等)を見逃し、検知遅延が被害を拡大させる。</t>
        </is>
      </c>
      <c r="H32" s="4" t="inlineStr">
        <is>
          <t>Azure Well-Architected Framework &gt; セキュリティの柱 &gt; SE:10 (Architecture strategies for monitoring and threat detection &gt; Azure facilitation: Microsoft Defender for Cloud)</t>
        </is>
      </c>
      <c r="I32" s="4" t="inlineStr">
        <is>
          <t>AZURE-DELTA</t>
        </is>
      </c>
      <c r="J32" s="4" t="inlineStr">
        <is>
          <t>Azure採用時に、CLOUD-COMMONで未評価のAzure固有差分へ適用。</t>
        </is>
      </c>
      <c r="K32" s="4" t="inlineStr">
        <is>
          <t>SRC-AZR-WAF</t>
        </is>
      </c>
      <c r="L32" s="4" t="inlineStr"/>
      <c r="M32" s="4" t="n"/>
      <c r="N32" s="4" t="n"/>
      <c r="O32" s="4" t="n"/>
      <c r="P32" s="4" t="n"/>
      <c r="Q32" s="4" t="n"/>
      <c r="R32" s="4" t="n"/>
      <c r="S32" s="4" t="n"/>
      <c r="T32" s="4" t="n"/>
      <c r="U32" s="4" t="n"/>
      <c r="V32" s="4" t="n"/>
      <c r="W32" s="4" t="n"/>
    </row>
    <row r="33">
      <c r="A33" s="5" t="inlineStr">
        <is>
          <t>AZR-032</t>
        </is>
      </c>
      <c r="B33" s="5" t="inlineStr">
        <is>
          <t>WAF</t>
        </is>
      </c>
      <c r="C33" s="4" t="inlineStr">
        <is>
          <t>セキュリティ / Security</t>
        </is>
      </c>
      <c r="D33" s="9" t="inlineStr">
        <is>
          <t>High</t>
        </is>
      </c>
      <c r="E33" s="4" t="inlineStr">
        <is>
          <t>セキュリティログが診断設定でLog Analyticsに集約され、SIEM(Microsoft Sentinel等)でリソース横断の相関分析・アラートが行われる体制がある</t>
        </is>
      </c>
      <c r="F33" s="4" t="inlineStr">
        <is>
          <t>主要リソースの診断設定有効化、ログ保持期間の定義、SIEMへの接続(または代替の相関分析体制)が確認できる</t>
        </is>
      </c>
      <c r="G33" s="4" t="inlineStr">
        <is>
          <t>ログが分散・欠落していると侵害の検知も事後のフォレンジックも不可能になる。</t>
        </is>
      </c>
      <c r="H33" s="4" t="inlineStr">
        <is>
          <t>Azure Well-Architected Framework &gt; セキュリティの柱 &gt; SE:10 (Monitoring and threat detection &gt; Store, aggregate, and analyze data / Azure facilitation: Azure Monitor, Microsoft Sentinel)</t>
        </is>
      </c>
      <c r="I33" s="4" t="inlineStr">
        <is>
          <t>AZURE-DELTA</t>
        </is>
      </c>
      <c r="J33" s="4" t="inlineStr">
        <is>
          <t>Azure採用時に、CLOUD-COMMONで未評価のAzure固有差分へ適用。</t>
        </is>
      </c>
      <c r="K33" s="4" t="inlineStr">
        <is>
          <t>SRC-AZR-WAF</t>
        </is>
      </c>
      <c r="L33" s="4" t="inlineStr">
        <is>
          <t>OPS-OBSERVABILITY</t>
        </is>
      </c>
      <c r="M33" s="4" t="n"/>
      <c r="N33" s="4" t="n"/>
      <c r="O33" s="4" t="n"/>
      <c r="P33" s="4" t="n"/>
      <c r="Q33" s="4" t="n"/>
      <c r="R33" s="4" t="n"/>
      <c r="S33" s="4" t="n"/>
      <c r="T33" s="4" t="n"/>
      <c r="U33" s="4" t="n"/>
      <c r="V33" s="4" t="n"/>
      <c r="W33" s="4" t="n"/>
    </row>
    <row r="34">
      <c r="A34" s="5" t="inlineStr">
        <is>
          <t>AZR-033</t>
        </is>
      </c>
      <c r="B34" s="5" t="inlineStr">
        <is>
          <t>WAF</t>
        </is>
      </c>
      <c r="C34" s="4" t="inlineStr">
        <is>
          <t>セキュリティ / Security</t>
        </is>
      </c>
      <c r="D34" s="10" t="inlineStr">
        <is>
          <t>Medium</t>
        </is>
      </c>
      <c r="E34" s="4" t="inlineStr">
        <is>
          <t>仮想ネットワークフローログとNetwork Watcher traffic analyticsにより、異常トラフィック・不正フローの検知が構成されている</t>
        </is>
      </c>
      <c r="F34" s="4" t="inlineStr">
        <is>
          <t>フローログの有効化範囲・保持設定とtraffic analyticsの分析運用が確認できる</t>
        </is>
      </c>
      <c r="G34" s="4" t="inlineStr">
        <is>
          <t>ネットワークレベルの可視性がないと侵入や内部からの異常通信を検知できない。</t>
        </is>
      </c>
      <c r="H34" s="4" t="inlineStr">
        <is>
          <t>Azure Well-Architected Framework &gt; セキュリティの柱 &gt; SE:10 (Monitoring and threat detection &gt; Networking: Virtual network flow logs, traffic analytics)</t>
        </is>
      </c>
      <c r="I34" s="4" t="inlineStr">
        <is>
          <t>AZURE-DELTA</t>
        </is>
      </c>
      <c r="J34" s="4" t="inlineStr">
        <is>
          <t>Azure採用時に、CLOUD-COMMONで未評価のAzure固有差分へ適用。</t>
        </is>
      </c>
      <c r="K34" s="4" t="inlineStr">
        <is>
          <t>SRC-AZR-WAF</t>
        </is>
      </c>
      <c r="L34" s="4" t="inlineStr">
        <is>
          <t>OPS-OBSERVABILITY</t>
        </is>
      </c>
      <c r="M34" s="4" t="n"/>
      <c r="N34" s="4" t="n"/>
      <c r="O34" s="4" t="n"/>
      <c r="P34" s="4" t="n"/>
      <c r="Q34" s="4" t="n"/>
      <c r="R34" s="4" t="n"/>
      <c r="S34" s="4" t="n"/>
      <c r="T34" s="4" t="n"/>
      <c r="U34" s="4" t="n"/>
      <c r="V34" s="4" t="n"/>
      <c r="W34" s="4" t="n"/>
    </row>
    <row r="35">
      <c r="A35" s="5" t="inlineStr">
        <is>
          <t>AZR-034</t>
        </is>
      </c>
      <c r="B35" s="5" t="inlineStr">
        <is>
          <t>WAF</t>
        </is>
      </c>
      <c r="C35" s="4" t="inlineStr">
        <is>
          <t>セキュリティ / Security</t>
        </is>
      </c>
      <c r="D35" s="9" t="inlineStr">
        <is>
          <t>High</t>
        </is>
      </c>
      <c r="E35" s="4" t="inlineStr">
        <is>
          <t>Microsoft Entra ID Protectionでリスクベースのサインイン/ユーザーリスク検知が有効化され、リスクイベントの確認・修復プロセスがある</t>
        </is>
      </c>
      <c r="F35" s="4" t="inlineStr">
        <is>
          <t>Identity Protectionのリスクポリシー構成とリスクイベント対応手順が確認できる</t>
        </is>
      </c>
      <c r="G35" s="4" t="inlineStr">
        <is>
          <t>漏えい資格情報や異常サインインを放置すると、正規アカウント経由の静かな侵害が進行する。</t>
        </is>
      </c>
      <c r="H35" s="4" t="inlineStr">
        <is>
          <t>Azure Well-Architected Framework &gt; セキュリティの柱 &gt; SE:10 (Monitoring and threat detection &gt; Identity: Microsoft Entra ID Protection)</t>
        </is>
      </c>
      <c r="I35" s="4" t="inlineStr">
        <is>
          <t>AZURE-DELTA</t>
        </is>
      </c>
      <c r="J35" s="4" t="inlineStr">
        <is>
          <t>Azure採用時に、CLOUD-COMMONで未評価のAzure固有差分へ適用。</t>
        </is>
      </c>
      <c r="K35" s="4" t="inlineStr">
        <is>
          <t>SRC-AZR-WAF</t>
        </is>
      </c>
      <c r="L35" s="4" t="inlineStr"/>
      <c r="M35" s="4" t="n"/>
      <c r="N35" s="4" t="n"/>
      <c r="O35" s="4" t="n"/>
      <c r="P35" s="4" t="n"/>
      <c r="Q35" s="4" t="n"/>
      <c r="R35" s="4" t="n"/>
      <c r="S35" s="4" t="n"/>
      <c r="T35" s="4" t="n"/>
      <c r="U35" s="4" t="n"/>
      <c r="V35" s="4" t="n"/>
      <c r="W35" s="4" t="n"/>
    </row>
    <row r="36">
      <c r="A36" s="5" t="inlineStr">
        <is>
          <t>AZR-035</t>
        </is>
      </c>
      <c r="B36" s="5" t="inlineStr">
        <is>
          <t>WAF</t>
        </is>
      </c>
      <c r="C36" s="4" t="inlineStr">
        <is>
          <t>セキュリティ / Security</t>
        </is>
      </c>
      <c r="D36" s="10" t="inlineStr">
        <is>
          <t>Medium</t>
        </is>
      </c>
      <c r="E36" s="4" t="inlineStr">
        <is>
          <t>ネットワーク・ID・リソース組織を含む意図的なセグメンテーション戦略(VNet分離、サブネット分割、環境分離)が設計されている</t>
        </is>
      </c>
      <c r="F36" s="4" t="inlineStr">
        <is>
          <t>セグメンテーション設計書に境界と各境界の制御(NSG/Firewall/プライベートエンドポイント)が定義されている</t>
        </is>
      </c>
      <c r="G36" s="4" t="inlineStr">
        <is>
          <t>セグメント化されていない環境では単一の侵害が全体へ波及する。</t>
        </is>
      </c>
      <c r="H36" s="4" t="inlineStr">
        <is>
          <t>Azure Well-Architected Framework &gt; セキュリティの柱 &gt; SE:04 / SE:06 (Design review checklist for Security &gt; SE:04 Create intentional segmentation and perimeters; networking guide &gt; Design virtual network and subnet security)</t>
        </is>
      </c>
      <c r="I36" s="4" t="inlineStr">
        <is>
          <t>AZURE-DELTA</t>
        </is>
      </c>
      <c r="J36" s="4" t="inlineStr">
        <is>
          <t>Azure採用時に、CLOUD-COMMONで未評価のAzure固有差分へ適用。</t>
        </is>
      </c>
      <c r="K36" s="4" t="inlineStr">
        <is>
          <t>SRC-AZR-WAF</t>
        </is>
      </c>
      <c r="L36" s="4" t="inlineStr"/>
      <c r="M36" s="4" t="n"/>
      <c r="N36" s="4" t="n"/>
      <c r="O36" s="4" t="n"/>
      <c r="P36" s="4" t="n"/>
      <c r="Q36" s="4" t="n"/>
      <c r="R36" s="4" t="n"/>
      <c r="S36" s="4" t="n"/>
      <c r="T36" s="4" t="n"/>
      <c r="U36" s="4" t="n"/>
      <c r="V36" s="4" t="n"/>
      <c r="W36" s="4" t="n"/>
    </row>
    <row r="37">
      <c r="A37" s="5" t="inlineStr">
        <is>
          <t>AZR-036</t>
        </is>
      </c>
      <c r="B37" s="5" t="inlineStr">
        <is>
          <t>WAF</t>
        </is>
      </c>
      <c r="C37" s="4" t="inlineStr">
        <is>
          <t>コスト最適化 / Cost Optimization</t>
        </is>
      </c>
      <c r="D37" s="9" t="inlineStr">
        <is>
          <t>High</t>
        </is>
      </c>
      <c r="E37" s="4" t="inlineStr">
        <is>
          <t>Microsoft Cost Managementで日次のコストデータが収集され、実コスト(actual)と償却コスト(amortized)の両方でレビューされている</t>
        </is>
      </c>
      <c r="F37" s="4" t="inlineStr">
        <is>
          <t>Cost analysisでの定期レビュー運用(担当・頻度)が定義され、レビュー記録が存在する</t>
        </is>
      </c>
      <c r="G37" s="4" t="inlineStr">
        <is>
          <t>コストの可視化がないと予算超過や無駄な支出に気付くのが請求後になる。</t>
        </is>
      </c>
      <c r="H37" s="4" t="inlineStr">
        <is>
          <t>Azure Well-Architected Framework &gt; コスト最適化の柱 &gt; CO:03 (Architecture strategies for collecting and reviewing cost data &gt; Azure facilitation: Cost Management / Cost analysis)</t>
        </is>
      </c>
      <c r="I37" s="4" t="inlineStr">
        <is>
          <t>AZURE-DELTA</t>
        </is>
      </c>
      <c r="J37" s="4" t="inlineStr">
        <is>
          <t>Azure採用時に、CLOUD-COMMONで未評価のAzure固有差分へ適用。</t>
        </is>
      </c>
      <c r="K37" s="4" t="inlineStr">
        <is>
          <t>SRC-AZR-WAF</t>
        </is>
      </c>
      <c r="L37" s="4" t="inlineStr">
        <is>
          <t>COST</t>
        </is>
      </c>
      <c r="M37" s="4" t="n"/>
      <c r="N37" s="4" t="n"/>
      <c r="O37" s="4" t="n"/>
      <c r="P37" s="4" t="n"/>
      <c r="Q37" s="4" t="n"/>
      <c r="R37" s="4" t="n"/>
      <c r="S37" s="4" t="n"/>
      <c r="T37" s="4" t="n"/>
      <c r="U37" s="4" t="n"/>
      <c r="V37" s="4" t="n"/>
      <c r="W37" s="4" t="n"/>
    </row>
    <row r="38">
      <c r="A38" s="5" t="inlineStr">
        <is>
          <t>AZR-037</t>
        </is>
      </c>
      <c r="B38" s="5" t="inlineStr">
        <is>
          <t>WAF</t>
        </is>
      </c>
      <c r="C38" s="4" t="inlineStr">
        <is>
          <t>コスト最適化 / Cost Optimization</t>
        </is>
      </c>
      <c r="D38" s="9" t="inlineStr">
        <is>
          <t>High</t>
        </is>
      </c>
      <c r="E38" s="4" t="inlineStr">
        <is>
          <t>予算(Budget)がサブスクリプション/リソースグループ単位で設定され、90%・100%・110%の閾値アラートと予測(forecast)アラートが構成されている</t>
        </is>
      </c>
      <c r="F38" s="4" t="inlineStr">
        <is>
          <t>Budgetsの設定値・閾値・通知先(アクショングループ)が確認できる</t>
        </is>
      </c>
      <c r="G38" s="4" t="inlineStr">
        <is>
          <t>アラートがないと想定外の課金(リソース削除漏れ、攻撃による大量消費)を早期検知できない。</t>
        </is>
      </c>
      <c r="H38" s="4" t="inlineStr">
        <is>
          <t>Azure Well-Architected Framework &gt; コスト最適化の柱 &gt; CO:03 (Collecting and reviewing cost data &gt; Automate cost alerts / Azure facilitation: budgets, budget alerts)</t>
        </is>
      </c>
      <c r="I38" s="4" t="inlineStr">
        <is>
          <t>AZURE-DELTA</t>
        </is>
      </c>
      <c r="J38" s="4" t="inlineStr">
        <is>
          <t>Azure採用時に、CLOUD-COMMONで未評価のAzure固有差分へ適用。</t>
        </is>
      </c>
      <c r="K38" s="4" t="inlineStr">
        <is>
          <t>SRC-AZR-WAF</t>
        </is>
      </c>
      <c r="L38" s="4" t="inlineStr">
        <is>
          <t>OPS-OBSERVABILITY;COST</t>
        </is>
      </c>
      <c r="M38" s="4" t="n"/>
      <c r="N38" s="4" t="n"/>
      <c r="O38" s="4" t="n"/>
      <c r="P38" s="4" t="n"/>
      <c r="Q38" s="4" t="n"/>
      <c r="R38" s="4" t="n"/>
      <c r="S38" s="4" t="n"/>
      <c r="T38" s="4" t="n"/>
      <c r="U38" s="4" t="n"/>
      <c r="V38" s="4" t="n"/>
      <c r="W38" s="4" t="n"/>
    </row>
    <row r="39">
      <c r="A39" s="5" t="inlineStr">
        <is>
          <t>AZR-038</t>
        </is>
      </c>
      <c r="B39" s="5" t="inlineStr">
        <is>
          <t>WAF</t>
        </is>
      </c>
      <c r="C39" s="4" t="inlineStr">
        <is>
          <t>コスト最適化 / Cost Optimization</t>
        </is>
      </c>
      <c r="D39" s="10" t="inlineStr">
        <is>
          <t>Medium</t>
        </is>
      </c>
      <c r="E39" s="4" t="inlineStr">
        <is>
          <t>Cost analysisの異常検知(anomaly detection)が活用され、トレンドからの逸脱を検知・調査するプロセスがある</t>
        </is>
      </c>
      <c r="F39" s="4" t="inlineStr">
        <is>
          <t>異常検知の確認運用と、検知時の対応フロー(調査→対策→承認)が定義されている</t>
        </is>
      </c>
      <c r="G39" s="4" t="inlineStr">
        <is>
          <t>ガードレールをすり抜けた異常なコスト急増を放置すると損失が累積する。</t>
        </is>
      </c>
      <c r="H39" s="4" t="inlineStr">
        <is>
          <t>Azure Well-Architected Framework &gt; コスト最適化の柱 &gt; CO:03 (Collecting and reviewing cost data &gt; Use anomaly detection / Azure facilitation: anomaly detection)</t>
        </is>
      </c>
      <c r="I39" s="4" t="inlineStr">
        <is>
          <t>AZURE-DELTA</t>
        </is>
      </c>
      <c r="J39" s="4" t="inlineStr">
        <is>
          <t>Azure採用時に、CLOUD-COMMONで未評価のAzure固有差分へ適用。</t>
        </is>
      </c>
      <c r="K39" s="4" t="inlineStr">
        <is>
          <t>SRC-AZR-WAF</t>
        </is>
      </c>
      <c r="L39" s="4" t="inlineStr">
        <is>
          <t>COST</t>
        </is>
      </c>
      <c r="M39" s="4" t="n"/>
      <c r="N39" s="4" t="n"/>
      <c r="O39" s="4" t="n"/>
      <c r="P39" s="4" t="n"/>
      <c r="Q39" s="4" t="n"/>
      <c r="R39" s="4" t="n"/>
      <c r="S39" s="4" t="n"/>
      <c r="T39" s="4" t="n"/>
      <c r="U39" s="4" t="n"/>
      <c r="V39" s="4" t="n"/>
      <c r="W39" s="4" t="n"/>
    </row>
    <row r="40">
      <c r="A40" s="5" t="inlineStr">
        <is>
          <t>AZR-039</t>
        </is>
      </c>
      <c r="B40" s="5" t="inlineStr">
        <is>
          <t>WAF</t>
        </is>
      </c>
      <c r="C40" s="4" t="inlineStr">
        <is>
          <t>コスト最適化 / Cost Optimization</t>
        </is>
      </c>
      <c r="D40" s="10" t="inlineStr">
        <is>
          <t>Medium</t>
        </is>
      </c>
      <c r="E40" s="4" t="inlineStr">
        <is>
          <t>コスト配賦のためのタグ戦略が実装され、Cost Managementのタグ継承(tag inheritance)とコスト割り当てルールで共有リソースのコストも配賦されている</t>
        </is>
      </c>
      <c r="F40" s="4" t="inlineStr">
        <is>
          <t>必須タグの定義、タグ継承の有効化、共有コストの割り当てルールが確認できる</t>
        </is>
      </c>
      <c r="G40" s="4" t="inlineStr">
        <is>
          <t>コストの帰属が不明だと部門・プロジェクト別の説明責任と最適化の優先順位付けができない。</t>
        </is>
      </c>
      <c r="H40" s="4" t="inlineStr">
        <is>
          <t>Azure Well-Architected Framework &gt; コスト最適化の柱 &gt; CO:03 (Collecting and reviewing cost data &gt; Group and categorize cost data / Azure facilitation: Azure tags, tag inheritance, cost allocation rules)</t>
        </is>
      </c>
      <c r="I40" s="4" t="inlineStr">
        <is>
          <t>AZURE-DELTA</t>
        </is>
      </c>
      <c r="J40" s="4" t="inlineStr">
        <is>
          <t>Azure採用時に、CLOUD-COMMONで未評価のAzure固有差分へ適用。</t>
        </is>
      </c>
      <c r="K40" s="4" t="inlineStr">
        <is>
          <t>SRC-AZR-WAF</t>
        </is>
      </c>
      <c r="L40" s="4" t="inlineStr">
        <is>
          <t>COST</t>
        </is>
      </c>
      <c r="M40" s="4" t="n"/>
      <c r="N40" s="4" t="n"/>
      <c r="O40" s="4" t="n"/>
      <c r="P40" s="4" t="n"/>
      <c r="Q40" s="4" t="n"/>
      <c r="R40" s="4" t="n"/>
      <c r="S40" s="4" t="n"/>
      <c r="T40" s="4" t="n"/>
      <c r="U40" s="4" t="n"/>
      <c r="V40" s="4" t="n"/>
      <c r="W40" s="4" t="n"/>
    </row>
    <row r="41">
      <c r="A41" s="5" t="inlineStr">
        <is>
          <t>AZR-040</t>
        </is>
      </c>
      <c r="B41" s="5" t="inlineStr">
        <is>
          <t>WAF</t>
        </is>
      </c>
      <c r="C41" s="4" t="inlineStr">
        <is>
          <t>コスト最適化 / Cost Optimization</t>
        </is>
      </c>
      <c r="D41" s="11" t="inlineStr">
        <is>
          <t>Low</t>
        </is>
      </c>
      <c r="E41" s="4" t="inlineStr">
        <is>
          <t>13か月を超えるコストデータの保持が必要な場合、Cost Managementエクスポート(FOCUS形式)でストレージへ定期出力し、ライフサイクル管理で低コスト層へ移動している</t>
        </is>
      </c>
      <c r="F41" s="4" t="inlineStr">
        <is>
          <t>エクスポート設定と保存先ストレージのライフサイクルポリシーが確認できる</t>
        </is>
      </c>
      <c r="G41" s="4" t="inlineStr">
        <is>
          <t>Cost Managementの保持期間(13か月)を超えた履歴分析・傾向把握ができなくなる。</t>
        </is>
      </c>
      <c r="H41" s="4" t="inlineStr">
        <is>
          <t>Azure Well-Architected Framework &gt; コスト最適化の柱 &gt; CO:03 (Collecting and reviewing cost data &gt; Collect cost data / Azure facilitation: Cost Management exports, FOCUS)</t>
        </is>
      </c>
      <c r="I41" s="4" t="inlineStr">
        <is>
          <t>AZURE-DELTA</t>
        </is>
      </c>
      <c r="J41" s="4" t="inlineStr">
        <is>
          <t>Azure採用時に、CLOUD-COMMONで未評価のAzure固有差分へ適用。</t>
        </is>
      </c>
      <c r="K41" s="4" t="inlineStr">
        <is>
          <t>SRC-AZR-WAF</t>
        </is>
      </c>
      <c r="L41" s="4" t="inlineStr">
        <is>
          <t>COST</t>
        </is>
      </c>
      <c r="M41" s="4" t="n"/>
      <c r="N41" s="4" t="n"/>
      <c r="O41" s="4" t="n"/>
      <c r="P41" s="4" t="n"/>
      <c r="Q41" s="4" t="n"/>
      <c r="R41" s="4" t="n"/>
      <c r="S41" s="4" t="n"/>
      <c r="T41" s="4" t="n"/>
      <c r="U41" s="4" t="n"/>
      <c r="V41" s="4" t="n"/>
      <c r="W41" s="4" t="n"/>
    </row>
    <row r="42">
      <c r="A42" s="5" t="inlineStr">
        <is>
          <t>AZR-041</t>
        </is>
      </c>
      <c r="B42" s="5" t="inlineStr">
        <is>
          <t>WAF</t>
        </is>
      </c>
      <c r="C42" s="4" t="inlineStr">
        <is>
          <t>コスト最適化 / Cost Optimization</t>
        </is>
      </c>
      <c r="D42" s="9" t="inlineStr">
        <is>
          <t>High</t>
        </is>
      </c>
      <c r="E42" s="4" t="inlineStr">
        <is>
          <t>使用が安定・長期のリソースにAzure Reservations / Azure savings planが適用され、利用率が定期的にレビューされている</t>
        </is>
      </c>
      <c r="F42" s="4" t="inlineStr">
        <is>
          <t>コミットメント割引の適用状況、利用率レポート、未使用コミットメントの交換・調整記録が確認できる</t>
        </is>
      </c>
      <c r="G42" s="4" t="inlineStr">
        <is>
          <t>従量課金のまま安定稼働リソースを運用すると大幅な過払いが継続する。逆に未使用の予約は無駄な固定費になる。</t>
        </is>
      </c>
      <c r="H42" s="4" t="inlineStr">
        <is>
          <t>Azure Well-Architected Framework &gt; コスト最適化の柱 &gt; CO:05 (Architecture strategies for getting the best rates from providers &gt; Azure facilitation: Azure reservations, Azure savings plans, eliminating unused reservations)</t>
        </is>
      </c>
      <c r="I42" s="4" t="inlineStr">
        <is>
          <t>AZURE-DELTA</t>
        </is>
      </c>
      <c r="J42" s="4" t="inlineStr">
        <is>
          <t>Azure採用時に、CLOUD-COMMONで未評価のAzure固有差分へ適用。</t>
        </is>
      </c>
      <c r="K42" s="4" t="inlineStr">
        <is>
          <t>SRC-AZR-WAF</t>
        </is>
      </c>
      <c r="L42" s="4" t="inlineStr">
        <is>
          <t>COST</t>
        </is>
      </c>
      <c r="M42" s="4" t="n"/>
      <c r="N42" s="4" t="n"/>
      <c r="O42" s="4" t="n"/>
      <c r="P42" s="4" t="n"/>
      <c r="Q42" s="4" t="n"/>
      <c r="R42" s="4" t="n"/>
      <c r="S42" s="4" t="n"/>
      <c r="T42" s="4" t="n"/>
      <c r="U42" s="4" t="n"/>
      <c r="V42" s="4" t="n"/>
      <c r="W42" s="4" t="n"/>
    </row>
    <row r="43">
      <c r="A43" s="5" t="inlineStr">
        <is>
          <t>AZR-042</t>
        </is>
      </c>
      <c r="B43" s="5" t="inlineStr">
        <is>
          <t>WAF</t>
        </is>
      </c>
      <c r="C43" s="4" t="inlineStr">
        <is>
          <t>コスト最適化 / Cost Optimization</t>
        </is>
      </c>
      <c r="D43" s="10" t="inlineStr">
        <is>
          <t>Medium</t>
        </is>
      </c>
      <c r="E43" s="4" t="inlineStr">
        <is>
          <t>Windows Server / SQL Serverの既存ライセンスに対してAzure Hybrid Benefitの適用が評価・適用されている</t>
        </is>
      </c>
      <c r="F43" s="4" t="inlineStr">
        <is>
          <t>対象VM/DBへのAHB適用状況とライセンス適格性の確認記録がある</t>
        </is>
      </c>
      <c r="G43" s="4" t="inlineStr">
        <is>
          <t>適格ライセンスがあるのにAHB未適用だとライセンス費を二重払いする。</t>
        </is>
      </c>
      <c r="H43" s="4" t="inlineStr">
        <is>
          <t>Azure Well-Architected Framework &gt; コスト最適化の柱 &gt; CO:05 (Getting the best rates &gt; Azure facilitation: Azure Hybrid Benefit / License Mobility)</t>
        </is>
      </c>
      <c r="I43" s="4" t="inlineStr">
        <is>
          <t>AZURE-DELTA</t>
        </is>
      </c>
      <c r="J43" s="4" t="inlineStr">
        <is>
          <t>Azure採用時に、CLOUD-COMMONで未評価のAzure固有差分へ適用。</t>
        </is>
      </c>
      <c r="K43" s="4" t="inlineStr">
        <is>
          <t>SRC-AZR-WAF</t>
        </is>
      </c>
      <c r="L43" s="4" t="inlineStr">
        <is>
          <t>COST</t>
        </is>
      </c>
      <c r="M43" s="4" t="n"/>
      <c r="N43" s="4" t="n"/>
      <c r="O43" s="4" t="n"/>
      <c r="P43" s="4" t="n"/>
      <c r="Q43" s="4" t="n"/>
      <c r="R43" s="4" t="n"/>
      <c r="S43" s="4" t="n"/>
      <c r="T43" s="4" t="n"/>
      <c r="U43" s="4" t="n"/>
      <c r="V43" s="4" t="n"/>
      <c r="W43" s="4" t="n"/>
    </row>
    <row r="44">
      <c r="A44" s="5" t="inlineStr">
        <is>
          <t>AZR-043</t>
        </is>
      </c>
      <c r="B44" s="5" t="inlineStr">
        <is>
          <t>WAF</t>
        </is>
      </c>
      <c r="C44" s="4" t="inlineStr">
        <is>
          <t>コスト最適化 / Cost Optimization</t>
        </is>
      </c>
      <c r="D44" s="10" t="inlineStr">
        <is>
          <t>Medium</t>
        </is>
      </c>
      <c r="E44" s="4" t="inlineStr">
        <is>
          <t>中断耐性のあるワークロード(バッチ等)にAzure Spot VMの利用が検討され、採用時はeviction(強制退去)対応が実装されている</t>
        </is>
      </c>
      <c r="F44" s="4" t="inlineStr">
        <is>
          <t>Spot適用可否の検討記録と、採用箇所のeviction処理・代替キャパシティ戦略が確認できる</t>
        </is>
      </c>
      <c r="G44" s="4" t="inlineStr">
        <is>
          <t>中断可能な処理を通常価格で実行し続けるとコスト削減機会を逃す。eviction対応がないと処理欠損が起きる。</t>
        </is>
      </c>
      <c r="H44" s="4" t="inlineStr">
        <is>
          <t>Azure Well-Architected Framework &gt; コスト最適化の柱 &gt; CO:05 (Getting the best rates &gt; Azure facilitation: Azure spot instances / Use Spot VMs with Batch workloads)</t>
        </is>
      </c>
      <c r="I44" s="4" t="inlineStr">
        <is>
          <t>AZURE-DELTA</t>
        </is>
      </c>
      <c r="J44" s="4" t="inlineStr">
        <is>
          <t>Azure採用時に、CLOUD-COMMONで未評価のAzure固有差分へ適用。</t>
        </is>
      </c>
      <c r="K44" s="4" t="inlineStr">
        <is>
          <t>SRC-AZR-WAF</t>
        </is>
      </c>
      <c r="L44" s="4" t="inlineStr">
        <is>
          <t>COST</t>
        </is>
      </c>
      <c r="M44" s="4" t="n"/>
      <c r="N44" s="4" t="n"/>
      <c r="O44" s="4" t="n"/>
      <c r="P44" s="4" t="n"/>
      <c r="Q44" s="4" t="n"/>
      <c r="R44" s="4" t="n"/>
      <c r="S44" s="4" t="n"/>
      <c r="T44" s="4" t="n"/>
      <c r="U44" s="4" t="n"/>
      <c r="V44" s="4" t="n"/>
      <c r="W44" s="4" t="n"/>
    </row>
    <row r="45">
      <c r="A45" s="5" t="inlineStr">
        <is>
          <t>AZR-044</t>
        </is>
      </c>
      <c r="B45" s="5" t="inlineStr">
        <is>
          <t>WAF</t>
        </is>
      </c>
      <c r="C45" s="4" t="inlineStr">
        <is>
          <t>コスト最適化 / Cost Optimization</t>
        </is>
      </c>
      <c r="D45" s="10" t="inlineStr">
        <is>
          <t>Medium</t>
        </is>
      </c>
      <c r="E45" s="4" t="inlineStr">
        <is>
          <t>開発・テスト環境にAzure dev/test料金プランや縮退構成(稼働時間短縮、低SKU)を適用し、本番と支出の優先度を分けている</t>
        </is>
      </c>
      <c r="F45" s="4" t="inlineStr">
        <is>
          <t>非本番環境の料金プラン・自動停止スケジュール・SKU方針が定義されている</t>
        </is>
      </c>
      <c r="G45" s="4" t="inlineStr">
        <is>
          <t>非本番環境を本番同等の構成で常時稼働させると無駄な支出が大きく累積する。</t>
        </is>
      </c>
      <c r="H45" s="4" t="inlineStr">
        <is>
          <t>Azure Well-Architected Framework &gt; コスト最適化の柱 &gt; CO:05 / CO:08 (Getting the best rates &gt; Azure facilitation: Azure dev/test; Design review checklist for Cost Optimization &gt; CO:08 Optimize environment costs)</t>
        </is>
      </c>
      <c r="I45" s="4" t="inlineStr">
        <is>
          <t>AZURE-DELTA</t>
        </is>
      </c>
      <c r="J45" s="4" t="inlineStr">
        <is>
          <t>Azure採用時に、CLOUD-COMMONで未評価のAzure固有差分へ適用。</t>
        </is>
      </c>
      <c r="K45" s="4" t="inlineStr">
        <is>
          <t>SRC-AZR-WAF</t>
        </is>
      </c>
      <c r="L45" s="4" t="inlineStr">
        <is>
          <t>COST</t>
        </is>
      </c>
      <c r="M45" s="4" t="n"/>
      <c r="N45" s="4" t="n"/>
      <c r="O45" s="4" t="n"/>
      <c r="P45" s="4" t="n"/>
      <c r="Q45" s="4" t="n"/>
      <c r="R45" s="4" t="n"/>
      <c r="S45" s="4" t="n"/>
      <c r="T45" s="4" t="n"/>
      <c r="U45" s="4" t="n"/>
      <c r="V45" s="4" t="n"/>
      <c r="W45" s="4" t="n"/>
    </row>
    <row r="46">
      <c r="A46" s="5" t="inlineStr">
        <is>
          <t>AZR-045</t>
        </is>
      </c>
      <c r="B46" s="5" t="inlineStr">
        <is>
          <t>WAF</t>
        </is>
      </c>
      <c r="C46" s="4" t="inlineStr">
        <is>
          <t>コスト最適化 / Cost Optimization</t>
        </is>
      </c>
      <c r="D46" s="9" t="inlineStr">
        <is>
          <t>High</t>
        </is>
      </c>
      <c r="E46" s="4" t="inlineStr">
        <is>
          <t>支出ガードレール(Azure Policyによるリソース制限・リージョン/SKU制約、ロール権限による作成統制)が自動化されている</t>
        </is>
      </c>
      <c r="F46" s="4" t="inlineStr">
        <is>
          <t>ガバナンスポリシー(許可SKU、許可リージョン等)の適用と違反時の動作が確認できる</t>
        </is>
      </c>
      <c r="G46" s="4" t="inlineStr">
        <is>
          <t>ガードレールがないと高額リソースの誤作成・野良リソースによる予算超過を防げない。</t>
        </is>
      </c>
      <c r="H46" s="4" t="inlineStr">
        <is>
          <t>Azure Well-Architected Framework &gt; コスト最適化の柱 &gt; CO:04 (Design review checklist for Cost Optimization &gt; CO:04 Set spending guardrails: governance policies, resource limits, access controls)</t>
        </is>
      </c>
      <c r="I46" s="4" t="inlineStr">
        <is>
          <t>AZURE-DELTA</t>
        </is>
      </c>
      <c r="J46" s="4" t="inlineStr">
        <is>
          <t>Azure採用時に、CLOUD-COMMONで未評価のAzure固有差分へ適用。</t>
        </is>
      </c>
      <c r="K46" s="4" t="inlineStr">
        <is>
          <t>SRC-AZR-WAF</t>
        </is>
      </c>
      <c r="L46" s="4" t="inlineStr">
        <is>
          <t>COST</t>
        </is>
      </c>
      <c r="M46" s="4" t="n"/>
      <c r="N46" s="4" t="n"/>
      <c r="O46" s="4" t="n"/>
      <c r="P46" s="4" t="n"/>
      <c r="Q46" s="4" t="n"/>
      <c r="R46" s="4" t="n"/>
      <c r="S46" s="4" t="n"/>
      <c r="T46" s="4" t="n"/>
      <c r="U46" s="4" t="n"/>
      <c r="V46" s="4" t="n"/>
      <c r="W46" s="4" t="n"/>
    </row>
    <row r="47">
      <c r="A47" s="5" t="inlineStr">
        <is>
          <t>AZR-046</t>
        </is>
      </c>
      <c r="B47" s="5" t="inlineStr">
        <is>
          <t>WAF</t>
        </is>
      </c>
      <c r="C47" s="4" t="inlineStr">
        <is>
          <t>コスト最適化 / Cost Optimization</t>
        </is>
      </c>
      <c r="D47" s="10" t="inlineStr">
        <is>
          <t>Medium</t>
        </is>
      </c>
      <c r="E47" s="4" t="inlineStr">
        <is>
          <t>オートスケールに最大インスタンス数の上限が設定され、スケールアップに対応するスケールダウン/インのトリガーが必ず存在する</t>
        </is>
      </c>
      <c r="F47" s="4" t="inlineStr">
        <is>
          <t>全オートスケール設定に上限値とスケールイン条件が定義されている</t>
        </is>
      </c>
      <c r="G47" s="4" t="inlineStr">
        <is>
          <t>上限のないスケールや戻らないスケールは、負荷急増・不具合時に想定外の高額課金を生む。</t>
        </is>
      </c>
      <c r="H47" s="4" t="inlineStr">
        <is>
          <t>Azure Well-Architected Framework &gt; コスト最適化の柱 &gt; CO:12 / 信頼性 RE:06 (Design review checklist for Cost Optimization &gt; CO:12 Optimize scaling costs; Reliable scaling strategy &gt; Choose appropriate scale units: set a maximum limit)</t>
        </is>
      </c>
      <c r="I47" s="4" t="inlineStr">
        <is>
          <t>AZURE-DELTA</t>
        </is>
      </c>
      <c r="J47" s="4" t="inlineStr">
        <is>
          <t>Azure採用時に、CLOUD-COMMONで未評価のAzure固有差分へ適用。</t>
        </is>
      </c>
      <c r="K47" s="4" t="inlineStr">
        <is>
          <t>SRC-AZR-WAF</t>
        </is>
      </c>
      <c r="L47" s="4" t="inlineStr">
        <is>
          <t>COST</t>
        </is>
      </c>
      <c r="M47" s="4" t="n"/>
      <c r="N47" s="4" t="n"/>
      <c r="O47" s="4" t="n"/>
      <c r="P47" s="4" t="n"/>
      <c r="Q47" s="4" t="n"/>
      <c r="R47" s="4" t="n"/>
      <c r="S47" s="4" t="n"/>
      <c r="T47" s="4" t="n"/>
      <c r="U47" s="4" t="n"/>
      <c r="V47" s="4" t="n"/>
      <c r="W47" s="4" t="n"/>
    </row>
    <row r="48">
      <c r="A48" s="5" t="inlineStr">
        <is>
          <t>AZR-047</t>
        </is>
      </c>
      <c r="B48" s="5" t="inlineStr">
        <is>
          <t>WAF</t>
        </is>
      </c>
      <c r="C48" s="4" t="inlineStr">
        <is>
          <t>オペレーショナルエクセレンス / Operational Excellence</t>
        </is>
      </c>
      <c r="D48" s="9" t="inlineStr">
        <is>
          <t>High</t>
        </is>
      </c>
      <c r="E48" s="4" t="inlineStr">
        <is>
          <t>インフラはBicep/ARMテンプレート/Terraform等の宣言型IaCで定義され、すべてのインフラ変更(構成変更含む)がCI/CDパイプライン経由でのみデプロイされる</t>
        </is>
      </c>
      <c r="F48" s="4" t="inlineStr">
        <is>
          <t>IaC化率と、ポータル手動変更を禁止するポリシー/運用ルールが確認できる</t>
        </is>
      </c>
      <c r="G48" s="4" t="inlineStr">
        <is>
          <t>手動デプロイは構成ドリフトと再現不能な環境を生み、障害復旧やセキュリティ統制を困難にする。</t>
        </is>
      </c>
      <c r="H48" s="4" t="inlineStr">
        <is>
          <t>Azure Well-Architected Framework &gt; オペレーショナルエクセレンスの柱 &gt; OE:05 (Architecture strategies for using infrastructure as code &gt; Prefer declarative over imperative tools / Azure facilitation: ARM templates, Bicep, Terraform)</t>
        </is>
      </c>
      <c r="I48" s="4" t="inlineStr">
        <is>
          <t>AZURE-DELTA</t>
        </is>
      </c>
      <c r="J48" s="4" t="inlineStr">
        <is>
          <t>Azure採用時に、CLOUD-COMMONで未評価のAzure固有差分へ適用。</t>
        </is>
      </c>
      <c r="K48" s="4" t="inlineStr">
        <is>
          <t>SRC-AZR-WAF</t>
        </is>
      </c>
      <c r="L48" s="4" t="inlineStr">
        <is>
          <t>OPS-IAC</t>
        </is>
      </c>
      <c r="M48" s="4" t="n"/>
      <c r="N48" s="4" t="n"/>
      <c r="O48" s="4" t="n"/>
      <c r="P48" s="4" t="n"/>
      <c r="Q48" s="4" t="n"/>
      <c r="R48" s="4" t="n"/>
      <c r="S48" s="4" t="n"/>
      <c r="T48" s="4" t="n"/>
      <c r="U48" s="4" t="n"/>
      <c r="V48" s="4" t="n"/>
      <c r="W48" s="4" t="n"/>
    </row>
    <row r="49">
      <c r="A49" s="5" t="inlineStr">
        <is>
          <t>AZR-048</t>
        </is>
      </c>
      <c r="B49" s="5" t="inlineStr">
        <is>
          <t>WAF</t>
        </is>
      </c>
      <c r="C49" s="4" t="inlineStr">
        <is>
          <t>オペレーショナルエクセレンス / Operational Excellence</t>
        </is>
      </c>
      <c r="D49" s="10" t="inlineStr">
        <is>
          <t>Medium</t>
        </is>
      </c>
      <c r="E49" s="4" t="inlineStr">
        <is>
          <t>IaCは全環境で同一資産をパラメータ/変数で切り替えて使用し、環境ごとに別ファイルを持たない</t>
        </is>
      </c>
      <c r="F49" s="4" t="inlineStr">
        <is>
          <t>環境差分がパラメータファイルのみで表現されていることをリポジトリで確認できる</t>
        </is>
      </c>
      <c r="G49" s="4" t="inlineStr">
        <is>
          <t>環境別のIaC分岐は本番と検証の乖離を生み、検証をすり抜けた本番障害を招く。</t>
        </is>
      </c>
      <c r="H49" s="4" t="inlineStr">
        <is>
          <t>Azure Well-Architected Framework &gt; オペレーショナルエクセレンスの柱 &gt; OE:05 (Infrastructure as code &gt; Support multiple environments)</t>
        </is>
      </c>
      <c r="I49" s="4" t="inlineStr">
        <is>
          <t>AZURE-DELTA</t>
        </is>
      </c>
      <c r="J49" s="4" t="inlineStr">
        <is>
          <t>Azure採用時に、CLOUD-COMMONで未評価のAzure固有差分へ適用。</t>
        </is>
      </c>
      <c r="K49" s="4" t="inlineStr">
        <is>
          <t>SRC-AZR-WAF</t>
        </is>
      </c>
      <c r="L49" s="4" t="inlineStr">
        <is>
          <t>OPS-IAC</t>
        </is>
      </c>
      <c r="M49" s="4" t="n"/>
      <c r="N49" s="4" t="n"/>
      <c r="O49" s="4" t="n"/>
      <c r="P49" s="4" t="n"/>
      <c r="Q49" s="4" t="n"/>
      <c r="R49" s="4" t="n"/>
      <c r="S49" s="4" t="n"/>
      <c r="T49" s="4" t="n"/>
      <c r="U49" s="4" t="n"/>
      <c r="V49" s="4" t="n"/>
      <c r="W49" s="4" t="n"/>
    </row>
    <row r="50">
      <c r="A50" s="5" t="inlineStr">
        <is>
          <t>AZR-049</t>
        </is>
      </c>
      <c r="B50" s="5" t="inlineStr">
        <is>
          <t>WAF</t>
        </is>
      </c>
      <c r="C50" s="4" t="inlineStr">
        <is>
          <t>オペレーショナルエクセレンス / Operational Excellence</t>
        </is>
      </c>
      <c r="D50" s="10" t="inlineStr">
        <is>
          <t>Medium</t>
        </is>
      </c>
      <c r="E50" s="4" t="inlineStr">
        <is>
          <t>IaCコードに対するセキュリティスキャン(Defender for CloudのIaC誤構成検出、シークレットスキャン)がパイプラインに組み込まれている</t>
        </is>
      </c>
      <c r="F50" s="4" t="inlineStr">
        <is>
          <t>IaCリポジトリ/パイプラインでのスキャン実行と検出時のブロック動作が確認できる</t>
        </is>
      </c>
      <c r="G50" s="4" t="inlineStr">
        <is>
          <t>誤構成のままテンプレートが量産されると、脆弱な構成が全環境へ複製される。</t>
        </is>
      </c>
      <c r="H50" s="4" t="inlineStr">
        <is>
          <t>Azure Well-Architected Framework &gt; オペレーショナルエクセレンスの柱 &gt; OE:05 (Infrastructure as code &gt; Enforce security in IaC code / Azure facilitation: Defender for Cloud IaC misconfigurations)</t>
        </is>
      </c>
      <c r="I50" s="4" t="inlineStr">
        <is>
          <t>AZURE-DELTA</t>
        </is>
      </c>
      <c r="J50" s="4" t="inlineStr">
        <is>
          <t>Azure採用時に、CLOUD-COMMONで未評価のAzure固有差分へ適用。</t>
        </is>
      </c>
      <c r="K50" s="4" t="inlineStr">
        <is>
          <t>SRC-AZR-WAF</t>
        </is>
      </c>
      <c r="L50" s="4" t="inlineStr">
        <is>
          <t>OPS-IAC</t>
        </is>
      </c>
      <c r="M50" s="4" t="n"/>
      <c r="N50" s="4" t="n"/>
      <c r="O50" s="4" t="n"/>
      <c r="P50" s="4" t="n"/>
      <c r="Q50" s="4" t="n"/>
      <c r="R50" s="4" t="n"/>
      <c r="S50" s="4" t="n"/>
      <c r="T50" s="4" t="n"/>
      <c r="U50" s="4" t="n"/>
      <c r="V50" s="4" t="n"/>
      <c r="W50" s="4" t="n"/>
    </row>
    <row r="51">
      <c r="A51" s="5" t="inlineStr">
        <is>
          <t>AZR-050</t>
        </is>
      </c>
      <c r="B51" s="5" t="inlineStr">
        <is>
          <t>WAF</t>
        </is>
      </c>
      <c r="C51" s="4" t="inlineStr">
        <is>
          <t>オペレーショナルエクセレンス / Operational Excellence</t>
        </is>
      </c>
      <c r="D51" s="9" t="inlineStr">
        <is>
          <t>High</t>
        </is>
      </c>
      <c r="E51" s="4" t="inlineStr">
        <is>
          <t>デプロイは段階的公開(progressive exposure: カナリア/ブルーグリーン)で行われ、Azure Pipelines/GitHub Actionsの多段ステージと承認ゲートで制御されている</t>
        </is>
      </c>
      <c r="F51" s="4" t="inlineStr">
        <is>
          <t>デプロイパイプラインにステージ・承認ゲート・ベイクタイムが定義され、健全性確認を通過しないと次段に進まない</t>
        </is>
      </c>
      <c r="G51" s="4" t="inlineStr">
        <is>
          <t>一斉リリースは不具合の影響範囲を全ユーザーへ即時拡大させる。</t>
        </is>
      </c>
      <c r="H51" s="4" t="inlineStr">
        <is>
          <t>Azure Well-Architected Framework &gt; オペレーショナルエクセレンスの柱 &gt; OE:11 (Architecture strategies for safe deployment practices &gt; Adopt a progressive exposure model / Azure facilitation: Azure Pipelines, GitHub Actions approval gates)</t>
        </is>
      </c>
      <c r="I51" s="4" t="inlineStr">
        <is>
          <t>AZURE-DELTA</t>
        </is>
      </c>
      <c r="J51" s="4" t="inlineStr">
        <is>
          <t>Azure採用時に、CLOUD-COMMONで未評価のAzure固有差分へ適用。</t>
        </is>
      </c>
      <c r="K51" s="4" t="inlineStr">
        <is>
          <t>SRC-AZR-AI</t>
        </is>
      </c>
      <c r="L51" s="4" t="inlineStr"/>
      <c r="M51" s="4" t="n"/>
      <c r="N51" s="4" t="n"/>
      <c r="O51" s="4" t="n"/>
      <c r="P51" s="4" t="n"/>
      <c r="Q51" s="4" t="n"/>
      <c r="R51" s="4" t="n"/>
      <c r="S51" s="4" t="n"/>
      <c r="T51" s="4" t="n"/>
      <c r="U51" s="4" t="n"/>
      <c r="V51" s="4" t="n"/>
      <c r="W51" s="4" t="n"/>
    </row>
    <row r="52">
      <c r="A52" s="5" t="inlineStr">
        <is>
          <t>AZR-051</t>
        </is>
      </c>
      <c r="B52" s="5" t="inlineStr">
        <is>
          <t>WAF</t>
        </is>
      </c>
      <c r="C52" s="4" t="inlineStr">
        <is>
          <t>オペレーショナルエクセレンス / Operational Excellence</t>
        </is>
      </c>
      <c r="D52" s="10" t="inlineStr">
        <is>
          <t>Medium</t>
        </is>
      </c>
      <c r="E52" s="4" t="inlineStr">
        <is>
          <t>App Serviceのステージングスロット(スワップ)やAzure App Configurationのフィーチャーフラグを活用し、リリースの切替と即時ロールバックが可能になっている</t>
        </is>
      </c>
      <c r="F52" s="4" t="inlineStr">
        <is>
          <t>スロット/フラグの利用構成と切り戻し手順が文書化されている</t>
        </is>
      </c>
      <c r="G52" s="4" t="inlineStr">
        <is>
          <t>切替・切り戻し手段がないと、不具合リリース時の復旧が再デプロイ待ちになり停止が長引く。</t>
        </is>
      </c>
      <c r="H52" s="4" t="inlineStr">
        <is>
          <t>Azure Well-Architected Framework &gt; オペレーショナルエクセレンスの柱 &gt; OE:11 (Safe deployment practices &gt; Azure facilitation: App Service staging slots, Azure App Configuration feature flags)</t>
        </is>
      </c>
      <c r="I52" s="4" t="inlineStr">
        <is>
          <t>AZURE-DELTA</t>
        </is>
      </c>
      <c r="J52" s="4" t="inlineStr">
        <is>
          <t>Azure採用時に、CLOUD-COMMONで未評価のAzure固有差分へ適用。</t>
        </is>
      </c>
      <c r="K52" s="4" t="inlineStr">
        <is>
          <t>SRC-AZR-WAF</t>
        </is>
      </c>
      <c r="L52" s="4" t="inlineStr">
        <is>
          <t>CONTINUITY-DR</t>
        </is>
      </c>
      <c r="M52" s="4" t="n"/>
      <c r="N52" s="4" t="n"/>
      <c r="O52" s="4" t="n"/>
      <c r="P52" s="4" t="n"/>
      <c r="Q52" s="4" t="n"/>
      <c r="R52" s="4" t="n"/>
      <c r="S52" s="4" t="n"/>
      <c r="T52" s="4" t="n"/>
      <c r="U52" s="4" t="n"/>
      <c r="V52" s="4" t="n"/>
      <c r="W52" s="4" t="n"/>
    </row>
    <row r="53">
      <c r="A53" s="5" t="inlineStr">
        <is>
          <t>AZR-052</t>
        </is>
      </c>
      <c r="B53" s="5" t="inlineStr">
        <is>
          <t>WAF</t>
        </is>
      </c>
      <c r="C53" s="4" t="inlineStr">
        <is>
          <t>オペレーショナルエクセレンス / Operational Excellence</t>
        </is>
      </c>
      <c r="D53" s="9" t="inlineStr">
        <is>
          <t>High</t>
        </is>
      </c>
      <c r="E53" s="4" t="inlineStr">
        <is>
          <t>ロールバック計画にデータ層の扱いが含まれ、Azure SQL Database/Cosmos DB等のポイントインタイムリストアの利用可否と手順が定義されている</t>
        </is>
      </c>
      <c r="F53" s="4" t="inlineStr">
        <is>
          <t>スキーマ変更・ステートフル変更のロールバック手順がSDPガイドラインに明記されている</t>
        </is>
      </c>
      <c r="G53" s="4" t="inlineStr">
        <is>
          <t>データ変更を伴うリリースの失敗時、ロールバック手順がないとデータ不整合や復旧不能に陥る。</t>
        </is>
      </c>
      <c r="H53" s="4" t="inlineStr">
        <is>
          <t>Azure Well-Architected Framework &gt; オペレーショナルエクセレンスの柱 &gt; OE:11 (Safe deployment practices &gt; Implement failure-detection mechanisms / Azure facilitation: point-in-time restore services)</t>
        </is>
      </c>
      <c r="I53" s="4" t="inlineStr">
        <is>
          <t>AZURE-DELTA</t>
        </is>
      </c>
      <c r="J53" s="4" t="inlineStr">
        <is>
          <t>Azure採用時に、CLOUD-COMMONで未評価のAzure固有差分へ適用。</t>
        </is>
      </c>
      <c r="K53" s="4" t="inlineStr">
        <is>
          <t>SRC-AZR-WAF</t>
        </is>
      </c>
      <c r="L53" s="4" t="inlineStr"/>
      <c r="M53" s="4" t="n"/>
      <c r="N53" s="4" t="n"/>
      <c r="O53" s="4" t="n"/>
      <c r="P53" s="4" t="n"/>
      <c r="Q53" s="4" t="n"/>
      <c r="R53" s="4" t="n"/>
      <c r="S53" s="4" t="n"/>
      <c r="T53" s="4" t="n"/>
      <c r="U53" s="4" t="n"/>
      <c r="V53" s="4" t="n"/>
      <c r="W53" s="4" t="n"/>
    </row>
    <row r="54">
      <c r="A54" s="5" t="inlineStr">
        <is>
          <t>AZR-053</t>
        </is>
      </c>
      <c r="B54" s="5" t="inlineStr">
        <is>
          <t>WAF</t>
        </is>
      </c>
      <c r="C54" s="4" t="inlineStr">
        <is>
          <t>オペレーショナルエクセレンス / Operational Excellence</t>
        </is>
      </c>
      <c r="D54" s="10" t="inlineStr">
        <is>
          <t>Medium</t>
        </is>
      </c>
      <c r="E54" s="4" t="inlineStr">
        <is>
          <t>緊急デプロイ(hotfix)用のプロトコル(承認の迅速化、テスト短縮の条件、承認者)が事前に定義されている</t>
        </is>
      </c>
      <c r="F54" s="4" t="inlineStr">
        <is>
          <t>緊急時SDPプロトコルが文書化され、加速を承認できる役割と条件が明記されている</t>
        </is>
      </c>
      <c r="G54" s="4" t="inlineStr">
        <is>
          <t>緊急時の場当たり的リリースは二次障害を生み、セキュリティ修正の適用も遅延する。</t>
        </is>
      </c>
      <c r="H54" s="4" t="inlineStr">
        <is>
          <t>Azure Well-Architected Framework &gt; オペレーショナルエクセレンスの柱 &gt; OE:11 (Safe deployment practices &gt; Emergency SDP protocols)</t>
        </is>
      </c>
      <c r="I54" s="4" t="inlineStr">
        <is>
          <t>AZURE-DELTA</t>
        </is>
      </c>
      <c r="J54" s="4" t="inlineStr">
        <is>
          <t>Azure採用時に、CLOUD-COMMONで未評価のAzure固有差分へ適用。</t>
        </is>
      </c>
      <c r="K54" s="4" t="inlineStr">
        <is>
          <t>SRC-AZR-WAF</t>
        </is>
      </c>
      <c r="L54" s="4" t="inlineStr"/>
      <c r="M54" s="4" t="n"/>
      <c r="N54" s="4" t="n"/>
      <c r="O54" s="4" t="n"/>
      <c r="P54" s="4" t="n"/>
      <c r="Q54" s="4" t="n"/>
      <c r="R54" s="4" t="n"/>
      <c r="S54" s="4" t="n"/>
      <c r="T54" s="4" t="n"/>
      <c r="U54" s="4" t="n"/>
      <c r="V54" s="4" t="n"/>
      <c r="W54" s="4" t="n"/>
    </row>
    <row r="55">
      <c r="A55" s="5" t="inlineStr">
        <is>
          <t>AZR-054</t>
        </is>
      </c>
      <c r="B55" s="5" t="inlineStr">
        <is>
          <t>WAF</t>
        </is>
      </c>
      <c r="C55" s="4" t="inlineStr">
        <is>
          <t>オペレーショナルエクセレンス / Operational Excellence</t>
        </is>
      </c>
      <c r="D55" s="9" t="inlineStr">
        <is>
          <t>High</t>
        </is>
      </c>
      <c r="E55" s="4" t="inlineStr">
        <is>
          <t>Azure Monitor / Application Insights / Log Analyticsによる監視スタックが構成され、アプリとインフラの両方からテレメトリ(メトリック・ログ・トレース)を収集している</t>
        </is>
      </c>
      <c r="F55" s="4" t="inlineStr">
        <is>
          <t>監視設計書に収集対象・ツール・保持設定が定義され、App InsightsのAPM(分散トレース)が有効</t>
        </is>
      </c>
      <c r="G55" s="4" t="inlineStr">
        <is>
          <t>テレメトリがないと障害の検知・診断・設計判断の検証ができず、運用が手探りになる。</t>
        </is>
      </c>
      <c r="H55" s="4" t="inlineStr">
        <is>
          <t>Azure Well-Architected Framework &gt; オペレーショナルエクセレンスの柱 &gt; OE:07 (Architecture Strategies for Designing a Monitoring System &gt; Azure facilitation: Azure Monitor, Application Insights, Log Analytics)</t>
        </is>
      </c>
      <c r="I55" s="4" t="inlineStr">
        <is>
          <t>AZURE-DELTA</t>
        </is>
      </c>
      <c r="J55" s="4" t="inlineStr">
        <is>
          <t>Azure採用時に、CLOUD-COMMONで未評価のAzure固有差分へ適用。</t>
        </is>
      </c>
      <c r="K55" s="4" t="inlineStr">
        <is>
          <t>SRC-AZR-WAF</t>
        </is>
      </c>
      <c r="L55" s="4" t="inlineStr">
        <is>
          <t>OPS-OBSERVABILITY</t>
        </is>
      </c>
      <c r="M55" s="4" t="n"/>
      <c r="N55" s="4" t="n"/>
      <c r="O55" s="4" t="n"/>
      <c r="P55" s="4" t="n"/>
      <c r="Q55" s="4" t="n"/>
      <c r="R55" s="4" t="n"/>
      <c r="S55" s="4" t="n"/>
      <c r="T55" s="4" t="n"/>
      <c r="U55" s="4" t="n"/>
      <c r="V55" s="4" t="n"/>
      <c r="W55" s="4" t="n"/>
    </row>
    <row r="56">
      <c r="A56" s="5" t="inlineStr">
        <is>
          <t>AZR-055</t>
        </is>
      </c>
      <c r="B56" s="5" t="inlineStr">
        <is>
          <t>WAF</t>
        </is>
      </c>
      <c r="C56" s="4" t="inlineStr">
        <is>
          <t>オペレーショナルエクセレンス / Operational Excellence</t>
        </is>
      </c>
      <c r="D56" s="10" t="inlineStr">
        <is>
          <t>Medium</t>
        </is>
      </c>
      <c r="E56" s="4" t="inlineStr">
        <is>
          <t>テレメトリは構造化ログ+相関ID(correlation ID)で実装され、分散システムのエンドツーエンド追跡が可能になっている</t>
        </is>
      </c>
      <c r="F56" s="4" t="inlineStr">
        <is>
          <t>ロギングフレームワークの標準化と相関IDの伝播がコード/設計で確認できる</t>
        </is>
      </c>
      <c r="G56" s="4" t="inlineStr">
        <is>
          <t>相関IDがないと複数サービスをまたぐ障害の原因特定に多大な時間を要する。</t>
        </is>
      </c>
      <c r="H56" s="4" t="inlineStr">
        <is>
          <t>Azure Well-Architected Framework &gt; オペレーショナルエクセレンスの柱 &gt; OE:07 (Designing a Monitoring System &gt; Emit telemetry from workload components / Correlate data for end-to-end insights)</t>
        </is>
      </c>
      <c r="I56" s="4" t="inlineStr">
        <is>
          <t>AZURE-DELTA</t>
        </is>
      </c>
      <c r="J56" s="4" t="inlineStr">
        <is>
          <t>Azure採用時に、CLOUD-COMMONで未評価のAzure固有差分へ適用。</t>
        </is>
      </c>
      <c r="K56" s="4" t="inlineStr">
        <is>
          <t>SRC-AZR-WAF</t>
        </is>
      </c>
      <c r="L56" s="4" t="inlineStr">
        <is>
          <t>OPS-OBSERVABILITY</t>
        </is>
      </c>
      <c r="M56" s="4" t="n"/>
      <c r="N56" s="4" t="n"/>
      <c r="O56" s="4" t="n"/>
      <c r="P56" s="4" t="n"/>
      <c r="Q56" s="4" t="n"/>
      <c r="R56" s="4" t="n"/>
      <c r="S56" s="4" t="n"/>
      <c r="T56" s="4" t="n"/>
      <c r="U56" s="4" t="n"/>
      <c r="V56" s="4" t="n"/>
      <c r="W56" s="4" t="n"/>
    </row>
    <row r="57">
      <c r="A57" s="5" t="inlineStr">
        <is>
          <t>AZR-056</t>
        </is>
      </c>
      <c r="B57" s="5" t="inlineStr">
        <is>
          <t>WAF</t>
        </is>
      </c>
      <c r="C57" s="4" t="inlineStr">
        <is>
          <t>オペレーショナルエクセレンス / Operational Excellence</t>
        </is>
      </c>
      <c r="D57" s="10" t="inlineStr">
        <is>
          <t>Medium</t>
        </is>
      </c>
      <c r="E57" s="4" t="inlineStr">
        <is>
          <t>アラートはヘルスモデル(健全性状態の遷移)に基づいて設定され、ノイズを最小化しつつアクション可能な内容になっている。Azure Service Healthの障害・メンテナンス情報も監視対象に含む</t>
        </is>
      </c>
      <c r="F57" s="4" t="inlineStr">
        <is>
          <t>アラート定義に対応するアクション/オーナーが紐づき、閾値の妥当性レビューが行われている</t>
        </is>
      </c>
      <c r="G57" s="4" t="inlineStr">
        <is>
          <t>ノイズだらけのアラートは重大障害の見逃し(アラート疲れ)を招く。</t>
        </is>
      </c>
      <c r="H57" s="4" t="inlineStr">
        <is>
          <t>Azure Well-Architected Framework &gt; オペレーショナルエクセレンスの柱 &gt; OE:07 (Designing a Monitoring System &gt; Define alerts around meaningful operational conditions)</t>
        </is>
      </c>
      <c r="I57" s="4" t="inlineStr">
        <is>
          <t>AZURE-DELTA</t>
        </is>
      </c>
      <c r="J57" s="4" t="inlineStr">
        <is>
          <t>Azure採用時に、CLOUD-COMMONで未評価のAzure固有差分へ適用。</t>
        </is>
      </c>
      <c r="K57" s="4" t="inlineStr">
        <is>
          <t>SRC-AZR-WAF</t>
        </is>
      </c>
      <c r="L57" s="4" t="inlineStr">
        <is>
          <t>OPS-OBSERVABILITY</t>
        </is>
      </c>
      <c r="M57" s="4" t="n"/>
      <c r="N57" s="4" t="n"/>
      <c r="O57" s="4" t="n"/>
      <c r="P57" s="4" t="n"/>
      <c r="Q57" s="4" t="n"/>
      <c r="R57" s="4" t="n"/>
      <c r="S57" s="4" t="n"/>
      <c r="T57" s="4" t="n"/>
      <c r="U57" s="4" t="n"/>
      <c r="V57" s="4" t="n"/>
      <c r="W57" s="4" t="n"/>
    </row>
    <row r="58">
      <c r="A58" s="5" t="inlineStr">
        <is>
          <t>AZR-057</t>
        </is>
      </c>
      <c r="B58" s="5" t="inlineStr">
        <is>
          <t>WAF</t>
        </is>
      </c>
      <c r="C58" s="4" t="inlineStr">
        <is>
          <t>オペレーショナルエクセレンス / Operational Excellence</t>
        </is>
      </c>
      <c r="D58" s="10" t="inlineStr">
        <is>
          <t>Medium</t>
        </is>
      </c>
      <c r="E58" s="4" t="inlineStr">
        <is>
          <t>Log Analyticsワークスペースの設計(ワークスペース分割、環境分離、保持期間・低コスト層の使い分け)がベストプラクティスに沿っている</t>
        </is>
      </c>
      <c r="F58" s="4" t="inlineStr">
        <is>
          <t>ワークスペース設計の根拠と保持/アーカイブ設定、テレメトリのコスト管理策が文書化されている</t>
        </is>
      </c>
      <c r="G58" s="4" t="inlineStr">
        <is>
          <t>無計画なログ集約は監視コストの膨張と本番データの分析性低下を招く。</t>
        </is>
      </c>
      <c r="H58" s="4" t="inlineStr">
        <is>
          <t>Azure Well-Architected Framework &gt; オペレーショナルエクセレンスの柱 &gt; OE:07 (Designing a Monitoring System &gt; Tailor storage and retention for usage patterns / Log Analytics workspace architecture guide)</t>
        </is>
      </c>
      <c r="I58" s="4" t="inlineStr">
        <is>
          <t>AZURE-DELTA</t>
        </is>
      </c>
      <c r="J58" s="4" t="inlineStr">
        <is>
          <t>Azure採用時に、CLOUD-COMMONで未評価のAzure固有差分へ適用。</t>
        </is>
      </c>
      <c r="K58" s="4" t="inlineStr">
        <is>
          <t>SRC-AZR-WAF</t>
        </is>
      </c>
      <c r="L58" s="4" t="inlineStr">
        <is>
          <t>COST</t>
        </is>
      </c>
      <c r="M58" s="4" t="n"/>
      <c r="N58" s="4" t="n"/>
      <c r="O58" s="4" t="n"/>
      <c r="P58" s="4" t="n"/>
      <c r="Q58" s="4" t="n"/>
      <c r="R58" s="4" t="n"/>
      <c r="S58" s="4" t="n"/>
      <c r="T58" s="4" t="n"/>
      <c r="U58" s="4" t="n"/>
      <c r="V58" s="4" t="n"/>
      <c r="W58" s="4" t="n"/>
    </row>
    <row r="59">
      <c r="A59" s="5" t="inlineStr">
        <is>
          <t>AZR-058</t>
        </is>
      </c>
      <c r="B59" s="5" t="inlineStr">
        <is>
          <t>WAF</t>
        </is>
      </c>
      <c r="C59" s="4" t="inlineStr">
        <is>
          <t>パフォーマンス効率 / Performance Efficiency</t>
        </is>
      </c>
      <c r="D59" s="9" t="inlineStr">
        <is>
          <t>High</t>
        </is>
      </c>
      <c r="E59" s="4" t="inlineStr">
        <is>
          <t>各サービスのSKU/性能ティア選定がワークロードの性能目標と容量変化の見込みに基づいて行われ、根拠が記録されている</t>
        </is>
      </c>
      <c r="F59" s="4" t="inlineStr">
        <is>
          <t>主要リソースのSKU選定理由(性能目標との対応、スケール余地)が設計書に記載されている</t>
        </is>
      </c>
      <c r="G59" s="4" t="inlineStr">
        <is>
          <t>不適切なティア選定は性能不足による機会損失か、過剰スペックによる浪費のいずれかを招く。</t>
        </is>
      </c>
      <c r="H59" s="4" t="inlineStr">
        <is>
          <t>Azure Well-Architected Framework &gt; パフォーマンス効率の柱 &gt; PE:03 (Design review checklist for Performance Efficiency &gt; PE:03 Select the right services)</t>
        </is>
      </c>
      <c r="I59" s="4" t="inlineStr">
        <is>
          <t>AZURE-DELTA</t>
        </is>
      </c>
      <c r="J59" s="4" t="inlineStr">
        <is>
          <t>Azure採用時に、CLOUD-COMMONで未評価のAzure固有差分へ適用。</t>
        </is>
      </c>
      <c r="K59" s="4" t="inlineStr">
        <is>
          <t>SRC-AZR-WAF</t>
        </is>
      </c>
      <c r="L59" s="4" t="inlineStr"/>
      <c r="M59" s="4" t="n"/>
      <c r="N59" s="4" t="n"/>
      <c r="O59" s="4" t="n"/>
      <c r="P59" s="4" t="n"/>
      <c r="Q59" s="4" t="n"/>
      <c r="R59" s="4" t="n"/>
      <c r="S59" s="4" t="n"/>
      <c r="T59" s="4" t="n"/>
      <c r="U59" s="4" t="n"/>
      <c r="V59" s="4" t="n"/>
      <c r="W59" s="4" t="n"/>
    </row>
    <row r="60">
      <c r="A60" s="5" t="inlineStr">
        <is>
          <t>AZR-059</t>
        </is>
      </c>
      <c r="B60" s="5" t="inlineStr">
        <is>
          <t>WAF</t>
        </is>
      </c>
      <c r="C60" s="4" t="inlineStr">
        <is>
          <t>パフォーマンス効率 / Performance Efficiency</t>
        </is>
      </c>
      <c r="D60" s="9" t="inlineStr">
        <is>
          <t>High</t>
        </is>
      </c>
      <c r="E60" s="4" t="inlineStr">
        <is>
          <t>スケールユニット(共にスケールするリソースの単位)が設計され、オートスケールは意味のある負荷メトリック(CPUに加えキュー深度等)で構成されている</t>
        </is>
      </c>
      <c r="F60" s="4" t="inlineStr">
        <is>
          <t>スケールユニット定義と、スケールトリガーのメトリック選定根拠が文書化されている</t>
        </is>
      </c>
      <c r="G60" s="4" t="inlineStr">
        <is>
          <t>CPUのみのトリガーや無設計のスケーリングは、実負荷に追随できず性能劣化を起こす。</t>
        </is>
      </c>
      <c r="H60" s="4" t="inlineStr">
        <is>
          <t>Azure Well-Architected Framework &gt; パフォーマンス効率の柱 &gt; PE:05 (Architecture strategies for optimizing scaling and partitioning &gt; Configure scaling: use meaningful load metrics / scale units)</t>
        </is>
      </c>
      <c r="I60" s="4" t="inlineStr">
        <is>
          <t>AZURE-DELTA</t>
        </is>
      </c>
      <c r="J60" s="4" t="inlineStr">
        <is>
          <t>Azure採用時に、CLOUD-COMMONで未評価のAzure固有差分へ適用。</t>
        </is>
      </c>
      <c r="K60" s="4" t="inlineStr">
        <is>
          <t>SRC-AZR-WAF</t>
        </is>
      </c>
      <c r="L60" s="4" t="inlineStr"/>
      <c r="M60" s="4" t="n"/>
      <c r="N60" s="4" t="n"/>
      <c r="O60" s="4" t="n"/>
      <c r="P60" s="4" t="n"/>
      <c r="Q60" s="4" t="n"/>
      <c r="R60" s="4" t="n"/>
      <c r="S60" s="4" t="n"/>
      <c r="T60" s="4" t="n"/>
      <c r="U60" s="4" t="n"/>
      <c r="V60" s="4" t="n"/>
      <c r="W60" s="4" t="n"/>
    </row>
    <row r="61">
      <c r="A61" s="5" t="inlineStr">
        <is>
          <t>AZR-060</t>
        </is>
      </c>
      <c r="B61" s="5" t="inlineStr">
        <is>
          <t>WAF</t>
        </is>
      </c>
      <c r="C61" s="4" t="inlineStr">
        <is>
          <t>パフォーマンス効率 / Performance Efficiency</t>
        </is>
      </c>
      <c r="D61" s="10" t="inlineStr">
        <is>
          <t>Medium</t>
        </is>
      </c>
      <c r="E61" s="4" t="inlineStr">
        <is>
          <t>スケールアウト/インの閾値に十分なマージンを設け、フラッピング(スケールの往復)が発生しない設定になっている</t>
        </is>
      </c>
      <c r="F61" s="4" t="inlineStr">
        <is>
          <t>スケールアウトとスケールインの閾値差の設計根拠があり、スケールイベント履歴にフラッピングが見られない</t>
        </is>
      </c>
      <c r="G61" s="4" t="inlineStr">
        <is>
          <t>フラッピングは無駄なスケール動作の連鎖により性能不安定とコスト増を招く。</t>
        </is>
      </c>
      <c r="H61" s="4" t="inlineStr">
        <is>
          <t>Azure Well-Architected Framework &gt; パフォーマンス効率の柱 &gt; PE:05 (Optimizing scaling and partitioning &gt; Configure scaling: prevent flapping)</t>
        </is>
      </c>
      <c r="I61" s="4" t="inlineStr">
        <is>
          <t>AZURE-DELTA</t>
        </is>
      </c>
      <c r="J61" s="4" t="inlineStr">
        <is>
          <t>Azure採用時に、CLOUD-COMMONで未評価のAzure固有差分へ適用。</t>
        </is>
      </c>
      <c r="K61" s="4" t="inlineStr">
        <is>
          <t>SRC-AZR-WAF</t>
        </is>
      </c>
      <c r="L61" s="4" t="inlineStr"/>
      <c r="M61" s="4" t="n"/>
      <c r="N61" s="4" t="n"/>
      <c r="O61" s="4" t="n"/>
      <c r="P61" s="4" t="n"/>
      <c r="Q61" s="4" t="n"/>
      <c r="R61" s="4" t="n"/>
      <c r="S61" s="4" t="n"/>
      <c r="T61" s="4" t="n"/>
      <c r="U61" s="4" t="n"/>
      <c r="V61" s="4" t="n"/>
      <c r="W61" s="4" t="n"/>
    </row>
    <row r="62">
      <c r="A62" s="5" t="inlineStr">
        <is>
          <t>AZR-061</t>
        </is>
      </c>
      <c r="B62" s="5" t="inlineStr">
        <is>
          <t>WAF</t>
        </is>
      </c>
      <c r="C62" s="4" t="inlineStr">
        <is>
          <t>パフォーマンス効率 / Performance Efficiency</t>
        </is>
      </c>
      <c r="D62" s="9" t="inlineStr">
        <is>
          <t>High</t>
        </is>
      </c>
      <c r="E62" s="4" t="inlineStr">
        <is>
          <t>アプリケーションはステートレス設計でセッション状態を外部ストアに保持し、ロードバランサー(Front Door/Application Gateway/Load Balancer)でクライアントアフィニティに依存しない負荷分散をしている</t>
        </is>
      </c>
      <c r="F62" s="4" t="inlineStr">
        <is>
          <t>セッション状態の外部化方式が設計され、sticky session依存が存在しない(または明確な理由がある)</t>
        </is>
      </c>
      <c r="G62" s="4" t="inlineStr">
        <is>
          <t>セッションアフィニティ依存はスケールアウトを妨げ、インスタンス障害でユーザーセッションを喪失する。</t>
        </is>
      </c>
      <c r="H62" s="4" t="inlineStr">
        <is>
          <t>Azure Well-Architected Framework &gt; パフォーマンス効率の柱 &gt; PE:05 (Optimizing scaling and partitioning &gt; Design application to scale: eliminate server-side session state / client affinity; Azure facilitation: load balancers)</t>
        </is>
      </c>
      <c r="I62" s="4" t="inlineStr">
        <is>
          <t>AZURE-DELTA</t>
        </is>
      </c>
      <c r="J62" s="4" t="inlineStr">
        <is>
          <t>Azure採用時に、CLOUD-COMMONで未評価のAzure固有差分へ適用。</t>
        </is>
      </c>
      <c r="K62" s="4" t="inlineStr">
        <is>
          <t>SRC-AZR-WAF</t>
        </is>
      </c>
      <c r="L62" s="4" t="inlineStr"/>
      <c r="M62" s="4" t="n"/>
      <c r="N62" s="4" t="n"/>
      <c r="O62" s="4" t="n"/>
      <c r="P62" s="4" t="n"/>
      <c r="Q62" s="4" t="n"/>
      <c r="R62" s="4" t="n"/>
      <c r="S62" s="4" t="n"/>
      <c r="T62" s="4" t="n"/>
      <c r="U62" s="4" t="n"/>
      <c r="V62" s="4" t="n"/>
      <c r="W62" s="4" t="n"/>
    </row>
    <row r="63">
      <c r="A63" s="5" t="inlineStr">
        <is>
          <t>AZR-062</t>
        </is>
      </c>
      <c r="B63" s="5" t="inlineStr">
        <is>
          <t>WAF</t>
        </is>
      </c>
      <c r="C63" s="4" t="inlineStr">
        <is>
          <t>パフォーマンス効率 / Performance Efficiency</t>
        </is>
      </c>
      <c r="D63" s="10" t="inlineStr">
        <is>
          <t>Medium</t>
        </is>
      </c>
      <c r="E63" s="4" t="inlineStr">
        <is>
          <t>データのパーティション分割戦略(水平/垂直/機能)がデータ増加とアクセスパターンに基づき設計され、データスキューが監視されている</t>
        </is>
      </c>
      <c r="F63" s="4" t="inlineStr">
        <is>
          <t>パーティション設計書(分割キー、方式、スキュー対策)が存在し、後付けでなく設計段階で検討されている</t>
        </is>
      </c>
      <c r="G63" s="4" t="inlineStr">
        <is>
          <t>パーティショニングの後付けは稼働中のデータ再分散を伴い高リスク。スキューは特定パーティションの性能劣化を生む。</t>
        </is>
      </c>
      <c r="H63" s="4" t="inlineStr">
        <is>
          <t>Azure Well-Architected Framework &gt; パフォーマンス効率の柱 &gt; PE:05 (Optimizing scaling and partitioning &gt; Partition workload / Plan partitioning)</t>
        </is>
      </c>
      <c r="I63" s="4" t="inlineStr">
        <is>
          <t>AZURE-DELTA</t>
        </is>
      </c>
      <c r="J63" s="4" t="inlineStr">
        <is>
          <t>Azure採用時に、CLOUD-COMMONで未評価のAzure固有差分へ適用。</t>
        </is>
      </c>
      <c r="K63" s="4" t="inlineStr">
        <is>
          <t>SRC-AZR-WAF</t>
        </is>
      </c>
      <c r="L63" s="4" t="inlineStr">
        <is>
          <t>OPS-OBSERVABILITY</t>
        </is>
      </c>
      <c r="M63" s="4" t="n"/>
      <c r="N63" s="4" t="n"/>
      <c r="O63" s="4" t="n"/>
      <c r="P63" s="4" t="n"/>
      <c r="Q63" s="4" t="n"/>
      <c r="R63" s="4" t="n"/>
      <c r="S63" s="4" t="n"/>
      <c r="T63" s="4" t="n"/>
      <c r="U63" s="4" t="n"/>
      <c r="V63" s="4" t="n"/>
      <c r="W63" s="4" t="n"/>
    </row>
    <row r="64">
      <c r="A64" s="5" t="inlineStr">
        <is>
          <t>AZR-063</t>
        </is>
      </c>
      <c r="B64" s="5" t="inlineStr">
        <is>
          <t>WAF</t>
        </is>
      </c>
      <c r="C64" s="4" t="inlineStr">
        <is>
          <t>パフォーマンス効率 / Performance Efficiency</t>
        </is>
      </c>
      <c r="D64" s="10" t="inlineStr">
        <is>
          <t>Medium</t>
        </is>
      </c>
      <c r="E64" s="4" t="inlineStr">
        <is>
          <t>CPU/IO集約タスクはバックグラウンドジョブ(非同期処理・Competing Consumersパターン等)へオフロードされ、ユーザーリクエスト処理と分離されている</t>
        </is>
      </c>
      <c r="F64" s="4" t="inlineStr">
        <is>
          <t>重い処理の一覧とオフロード先(キュー+ワーカー等)の設計が確認できる</t>
        </is>
      </c>
      <c r="G64" s="4" t="inlineStr">
        <is>
          <t>重い同期処理はスケール時にもUIの応答性を悪化させ、ユーザー体験を損なう。</t>
        </is>
      </c>
      <c r="H64" s="4" t="inlineStr">
        <is>
          <t>Azure Well-Architected Framework &gt; パフォーマンス効率の柱 &gt; PE:05 (Optimizing scaling and partitioning &gt; Design application to scale: use background tasks)</t>
        </is>
      </c>
      <c r="I64" s="4" t="inlineStr">
        <is>
          <t>AZURE-DELTA</t>
        </is>
      </c>
      <c r="J64" s="4" t="inlineStr">
        <is>
          <t>Azure採用時に、CLOUD-COMMONで未評価のAzure固有差分へ適用。</t>
        </is>
      </c>
      <c r="K64" s="4" t="inlineStr">
        <is>
          <t>SRC-AZR-WAF</t>
        </is>
      </c>
      <c r="L64" s="4" t="inlineStr"/>
      <c r="M64" s="4" t="n"/>
      <c r="N64" s="4" t="n"/>
      <c r="O64" s="4" t="n"/>
      <c r="P64" s="4" t="n"/>
      <c r="Q64" s="4" t="n"/>
      <c r="R64" s="4" t="n"/>
      <c r="S64" s="4" t="n"/>
      <c r="T64" s="4" t="n"/>
      <c r="U64" s="4" t="n"/>
      <c r="V64" s="4" t="n"/>
      <c r="W64" s="4" t="n"/>
    </row>
    <row r="65">
      <c r="A65" s="5" t="inlineStr">
        <is>
          <t>AZR-064</t>
        </is>
      </c>
      <c r="B65" s="5" t="inlineStr">
        <is>
          <t>WAF</t>
        </is>
      </c>
      <c r="C65" s="4" t="inlineStr">
        <is>
          <t>パフォーマンス効率 / Performance Efficiency</t>
        </is>
      </c>
      <c r="D65" s="9" t="inlineStr">
        <is>
          <t>High</t>
        </is>
      </c>
      <c r="E65" s="4" t="inlineStr">
        <is>
          <t>本番相当環境での負荷テスト・スケーリングテストが実施され、スケーリング遅延の影響とボトルネック(特にデータベース等ステートフル部分)が評価されている</t>
        </is>
      </c>
      <c r="F65" s="4" t="inlineStr">
        <is>
          <t>負荷テスト計画・結果(応答時間、スループット、スケール挙動)と改善アクションの記録がある</t>
        </is>
      </c>
      <c r="G65" s="4" t="inlineStr">
        <is>
          <t>未検証のスケール設計は本番の需要ピークで初めて破綻し、性能目標を満たせない。</t>
        </is>
      </c>
      <c r="H65" s="4" t="inlineStr">
        <is>
          <t>Azure Well-Architected Framework &gt; パフォーマンス効率の柱 &gt; PE:05 / PE:06 (Optimizing scaling and partitioning &gt; Test scaling; Design review checklist &gt; PE:06 performance testing in production-like environment)</t>
        </is>
      </c>
      <c r="I65" s="4" t="inlineStr">
        <is>
          <t>AZURE-DELTA</t>
        </is>
      </c>
      <c r="J65" s="4" t="inlineStr">
        <is>
          <t>Azure採用時に、CLOUD-COMMONで未評価のAzure固有差分へ適用。</t>
        </is>
      </c>
      <c r="K65" s="4" t="inlineStr">
        <is>
          <t>SRC-AZR-WAF</t>
        </is>
      </c>
      <c r="L65" s="4" t="inlineStr"/>
      <c r="M65" s="4" t="n"/>
      <c r="N65" s="4" t="n"/>
      <c r="O65" s="4" t="n"/>
      <c r="P65" s="4" t="n"/>
      <c r="Q65" s="4" t="n"/>
      <c r="R65" s="4" t="n"/>
      <c r="S65" s="4" t="n"/>
      <c r="T65" s="4" t="n"/>
      <c r="U65" s="4" t="n"/>
      <c r="V65" s="4" t="n"/>
      <c r="W65" s="4" t="n"/>
    </row>
    <row r="66">
      <c r="A66" s="5" t="inlineStr">
        <is>
          <t>AZR-065</t>
        </is>
      </c>
      <c r="B66" s="5" t="inlineStr">
        <is>
          <t>WAF</t>
        </is>
      </c>
      <c r="C66" s="4" t="inlineStr">
        <is>
          <t>パフォーマンス効率 / Performance Efficiency</t>
        </is>
      </c>
      <c r="D66" s="10" t="inlineStr">
        <is>
          <t>Medium</t>
        </is>
      </c>
      <c r="E66" s="4" t="inlineStr">
        <is>
          <t>スケール操作に時間を要するサービス(例: API Managementは最大45分)を把握し、需要増の前にスケールを完了させる計画(事前スケール・バッファ容量)がある</t>
        </is>
      </c>
      <c r="F66" s="4" t="inlineStr">
        <is>
          <t>主要サービスのスケール所要時間の記録と、予測可能な負荷増への事前スケール運用が定義されている</t>
        </is>
      </c>
      <c r="G66" s="4" t="inlineStr">
        <is>
          <t>スケール完了前にピークが到来すると容量不足で性能劣化・障害が発生する。</t>
        </is>
      </c>
      <c r="H66" s="4" t="inlineStr">
        <is>
          <t>Azure Well-Architected Framework &gt; 信頼性の柱 &gt; RE:06 (Reliable scaling strategy &gt; Optimize the scale unit initialization time)</t>
        </is>
      </c>
      <c r="I66" s="4" t="inlineStr">
        <is>
          <t>AZURE-DELTA</t>
        </is>
      </c>
      <c r="J66" s="4" t="inlineStr">
        <is>
          <t>Azure採用時に、CLOUD-COMMONで未評価のAzure固有差分へ適用。</t>
        </is>
      </c>
      <c r="K66" s="4" t="inlineStr">
        <is>
          <t>SRC-AZR-WAF</t>
        </is>
      </c>
      <c r="L66" s="4" t="inlineStr"/>
      <c r="M66" s="4" t="n"/>
      <c r="N66" s="4" t="n"/>
      <c r="O66" s="4" t="n"/>
      <c r="P66" s="4" t="n"/>
      <c r="Q66" s="4" t="n"/>
      <c r="R66" s="4" t="n"/>
      <c r="S66" s="4" t="n"/>
      <c r="T66" s="4" t="n"/>
      <c r="U66" s="4" t="n"/>
      <c r="V66" s="4" t="n"/>
      <c r="W66" s="4" t="n"/>
    </row>
    <row r="67">
      <c r="A67" s="5" t="inlineStr">
        <is>
          <t>AZR-201</t>
        </is>
      </c>
      <c r="B67" s="5" t="inlineStr">
        <is>
          <t>WAF</t>
        </is>
      </c>
      <c r="C67" s="4" t="inlineStr">
        <is>
          <t>AI: design principles</t>
        </is>
      </c>
      <c r="D67" s="10" t="inlineStr">
        <is>
          <t>Medium</t>
        </is>
      </c>
      <c r="E67" s="4" t="inlineStr">
        <is>
          <t>Azure OpenAI 推論エンドポイントのストレステストでは、テスト環境で未使用の PTU(プロビジョニング済みスループットユニット)を活用するか、エンドポイントをシミュレーション(Dev Proxy 等)してコストを抑制しているか</t>
        </is>
      </c>
      <c r="F67" s="4" t="inlineStr">
        <is>
          <t>負荷試験計画に PTU 再利用またはエンドポイントシミュレーションの方針が明記され、従量課金呼び出しによる無計画なストレステストが行われていない</t>
        </is>
      </c>
      <c r="G67" s="4" t="inlineStr">
        <is>
          <t>Azure OpenAI は呼び出しごとに課金されるため、無計画なストレステストはコストが急増する。</t>
        </is>
      </c>
      <c r="H67" s="4" t="inlineStr">
        <is>
          <t>Design Principles for AI Workloads on Azure &gt; Cost Optimization &gt; Use what you pay for. Minimize waste.</t>
        </is>
      </c>
      <c r="I67" s="4" t="inlineStr">
        <is>
          <t>AZURE-DELTA</t>
        </is>
      </c>
      <c r="J67" s="4" t="inlineStr">
        <is>
          <t>Azure採用時に、CLOUD-COMMONで未評価のAzure固有差分へ適用。</t>
        </is>
      </c>
      <c r="K67" s="4" t="inlineStr">
        <is>
          <t>SRC-AZR-AI</t>
        </is>
      </c>
      <c r="L67" s="4" t="inlineStr">
        <is>
          <t>COST</t>
        </is>
      </c>
      <c r="M67" s="4" t="n"/>
      <c r="N67" s="4" t="n"/>
      <c r="O67" s="4" t="n"/>
      <c r="P67" s="4" t="n"/>
      <c r="Q67" s="4" t="n"/>
      <c r="R67" s="4" t="n"/>
      <c r="S67" s="4" t="n"/>
      <c r="T67" s="4" t="n"/>
      <c r="U67" s="4" t="n"/>
      <c r="V67" s="4" t="n"/>
      <c r="W67" s="4" t="n"/>
    </row>
    <row r="68">
      <c r="A68" s="5" t="inlineStr">
        <is>
          <t>AZR-202</t>
        </is>
      </c>
      <c r="B68" s="5" t="inlineStr">
        <is>
          <t>WAF</t>
        </is>
      </c>
      <c r="C68" s="4" t="inlineStr">
        <is>
          <t>AI: design principles</t>
        </is>
      </c>
      <c r="D68" s="10" t="inlineStr">
        <is>
          <t>Medium</t>
        </is>
      </c>
      <c r="E68" s="4" t="inlineStr">
        <is>
          <t>GPU ベース/GPU 最適化コンピュートは AI ワークロード機能(学習・fine-tuning・推論)に限定し、オーケストレーション等には汎用 SKU を使用しているか。SKU はベンチマークテストで選定しているか</t>
        </is>
      </c>
      <c r="F68" s="4" t="inlineStr">
        <is>
          <t>GPU SKU の用途が AI 機能に限定され、学習・fine-tuning のベンチマーク結果に基づく SKU 選定記録があり、利用率の継続監視とライトサイズが行われている</t>
        </is>
      </c>
      <c r="G68" s="4" t="inlineStr">
        <is>
          <t>GPU SKU は高価であり、非 AI 機能への流用や過剰プロビジョニングはコストを浪費する。</t>
        </is>
      </c>
      <c r="H68" s="4" t="inlineStr">
        <is>
          <t>Design Principles for AI Workloads on Azure &gt; Cost Optimization &gt; Pay for what you intend to use / Performance Efficiency &gt; Trade-off</t>
        </is>
      </c>
      <c r="I68" s="4" t="inlineStr">
        <is>
          <t>AZURE-DELTA</t>
        </is>
      </c>
      <c r="J68" s="4" t="inlineStr">
        <is>
          <t>Azure採用時に、CLOUD-COMMONで未評価のAzure固有差分へ適用。</t>
        </is>
      </c>
      <c r="K68" s="4" t="inlineStr">
        <is>
          <t>SRC-AZR-AI</t>
        </is>
      </c>
      <c r="L68" s="4" t="inlineStr"/>
      <c r="M68" s="4" t="n"/>
      <c r="N68" s="4" t="n"/>
      <c r="O68" s="4" t="n"/>
      <c r="P68" s="4" t="n"/>
      <c r="Q68" s="4" t="n"/>
      <c r="R68" s="4" t="n"/>
      <c r="S68" s="4" t="n"/>
      <c r="T68" s="4" t="n"/>
      <c r="U68" s="4" t="n"/>
      <c r="V68" s="4" t="n"/>
      <c r="W68" s="4" t="n"/>
    </row>
    <row r="69">
      <c r="A69" s="5" t="inlineStr">
        <is>
          <t>AZR-203</t>
        </is>
      </c>
      <c r="B69" s="5" t="inlineStr">
        <is>
          <t>WAF</t>
        </is>
      </c>
      <c r="C69" s="4" t="inlineStr">
        <is>
          <t>AI: application design</t>
        </is>
      </c>
      <c r="D69" s="9" t="inlineStr">
        <is>
          <t>High</t>
        </is>
      </c>
      <c r="E69" s="4" t="inlineStr">
        <is>
          <t>AZR-203に関する統制範囲・責任者・適用条件が一つの設計判断として定義されている</t>
        </is>
      </c>
      <c r="F69" s="4" t="inlineStr">
        <is>
          <t>対象コンポーネント、責任者、適用・非適用条件、関連する個別統制IDが文書化されている</t>
        </is>
      </c>
      <c r="G69" s="4" t="inlineStr">
        <is>
          <t>複合項目を個別に判定できるサブ統制へ分解し、親項目は適用範囲の統制に限定する。</t>
        </is>
      </c>
      <c r="H69" s="4" t="inlineStr">
        <is>
          <t>Application Design for AI Workloads on Azure &gt; Implement AI gateways for policy enforcement &gt; Core AI gateway capabilities</t>
        </is>
      </c>
      <c r="I69" s="4" t="inlineStr">
        <is>
          <t>AZURE-DELTA</t>
        </is>
      </c>
      <c r="J69" s="4" t="inlineStr">
        <is>
          <t>Azure採用時に、CLOUD-COMMONで未評価のAzure固有差分へ適用。</t>
        </is>
      </c>
      <c r="K69" s="4" t="inlineStr">
        <is>
          <t>SRC-AZR-AI</t>
        </is>
      </c>
      <c r="L69" s="4" t="inlineStr"/>
      <c r="M69" s="4" t="n"/>
      <c r="N69" s="4" t="n"/>
      <c r="O69" s="4" t="n"/>
      <c r="P69" s="4" t="n"/>
      <c r="Q69" s="4" t="n"/>
      <c r="R69" s="4" t="n"/>
      <c r="S69" s="4" t="n"/>
      <c r="T69" s="4" t="n"/>
      <c r="U69" s="4" t="n"/>
      <c r="V69" s="4" t="n"/>
      <c r="W69" s="4" t="n"/>
    </row>
    <row r="70">
      <c r="A70" s="5" t="inlineStr">
        <is>
          <t>AZR-251</t>
        </is>
      </c>
      <c r="B70" s="5" t="inlineStr">
        <is>
          <t>WAF</t>
        </is>
      </c>
      <c r="C70" s="4" t="inlineStr">
        <is>
          <t>AI: application design</t>
        </is>
      </c>
      <c r="D70" s="9" t="inlineStr">
        <is>
          <t>High</t>
        </is>
      </c>
      <c r="E70" s="4" t="inlineStr">
        <is>
          <t>AIゲートウェイでモデル呼出しの認証・認可を一元実施している</t>
        </is>
      </c>
      <c r="F70" s="4" t="inlineStr">
        <is>
          <t>未認証呼出しが拒否され、利用者・アプリ・テナント単位の認可結果が記録される</t>
        </is>
      </c>
      <c r="G70" s="4" t="inlineStr">
        <is>
          <t>AIゲートウェイでモデル呼出しの認証・認可を一元実施していることを独立に判定し、部分実装を一括Passにしない。</t>
        </is>
      </c>
      <c r="H70" s="4" t="inlineStr">
        <is>
          <t>Application Design for AI Workloads on Azure &gt; Implement AI gateways for policy enforcement &gt; Core AI gateway capabilities</t>
        </is>
      </c>
      <c r="I70" s="4" t="inlineStr">
        <is>
          <t>AZURE-DELTA</t>
        </is>
      </c>
      <c r="J70" s="4" t="inlineStr">
        <is>
          <t>Azure採用時に、CLOUD-COMMONで未評価のAzure固有差分へ適用。</t>
        </is>
      </c>
      <c r="K70" s="4" t="inlineStr">
        <is>
          <t>SRC-AZR-AI</t>
        </is>
      </c>
      <c r="L70" s="4" t="inlineStr">
        <is>
          <t>SEC-IAM</t>
        </is>
      </c>
      <c r="M70" s="4" t="n"/>
      <c r="N70" s="4" t="n"/>
      <c r="O70" s="4" t="n"/>
      <c r="P70" s="4" t="n"/>
      <c r="Q70" s="4" t="n"/>
      <c r="R70" s="4" t="n"/>
      <c r="S70" s="4" t="n"/>
      <c r="T70" s="4" t="n"/>
      <c r="U70" s="4" t="n"/>
      <c r="V70" s="4" t="n"/>
      <c r="W70" s="4" t="n"/>
    </row>
    <row r="71">
      <c r="A71" s="5" t="inlineStr">
        <is>
          <t>AZR-252</t>
        </is>
      </c>
      <c r="B71" s="5" t="inlineStr">
        <is>
          <t>WAF</t>
        </is>
      </c>
      <c r="C71" s="4" t="inlineStr">
        <is>
          <t>AI: application design</t>
        </is>
      </c>
      <c r="D71" s="9" t="inlineStr">
        <is>
          <t>High</t>
        </is>
      </c>
      <c r="E71" s="4" t="inlineStr">
        <is>
          <t>AIゲートウェイでレート制限とトークンクォータを強制している</t>
        </is>
      </c>
      <c r="F71" s="4" t="inlineStr">
        <is>
          <t>利用者・テナント・モデル別のTPM/RPM・トークン上限と超過時動作がテストされている</t>
        </is>
      </c>
      <c r="G71" s="4" t="inlineStr">
        <is>
          <t>AIゲートウェイでレート制限とトークンクォータを強制していることを独立に判定し、部分実装を一括Passにしない。</t>
        </is>
      </c>
      <c r="H71" s="4" t="inlineStr">
        <is>
          <t>Application Design for AI Workloads on Azure &gt; Implement AI gateways for policy enforcement &gt; Core AI gateway capabilities</t>
        </is>
      </c>
      <c r="I71" s="4" t="inlineStr">
        <is>
          <t>AZURE-DELTA</t>
        </is>
      </c>
      <c r="J71" s="4" t="inlineStr">
        <is>
          <t>Azure採用時に、CLOUD-COMMONで未評価のAzure固有差分へ適用。</t>
        </is>
      </c>
      <c r="K71" s="4" t="inlineStr">
        <is>
          <t>SRC-AZR-AI</t>
        </is>
      </c>
      <c r="L71" s="4" t="inlineStr"/>
      <c r="M71" s="4" t="n"/>
      <c r="N71" s="4" t="n"/>
      <c r="O71" s="4" t="n"/>
      <c r="P71" s="4" t="n"/>
      <c r="Q71" s="4" t="n"/>
      <c r="R71" s="4" t="n"/>
      <c r="S71" s="4" t="n"/>
      <c r="T71" s="4" t="n"/>
      <c r="U71" s="4" t="n"/>
      <c r="V71" s="4" t="n"/>
      <c r="W71" s="4" t="n"/>
    </row>
    <row r="72">
      <c r="A72" s="5" t="inlineStr">
        <is>
          <t>AZR-253</t>
        </is>
      </c>
      <c r="B72" s="5" t="inlineStr">
        <is>
          <t>WAF</t>
        </is>
      </c>
      <c r="C72" s="4" t="inlineStr">
        <is>
          <t>AI: application design</t>
        </is>
      </c>
      <c r="D72" s="9" t="inlineStr">
        <is>
          <t>High</t>
        </is>
      </c>
      <c r="E72" s="4" t="inlineStr">
        <is>
          <t>AIゲートウェイで入出力の安全性・機密情報フィルタを適用している</t>
        </is>
      </c>
      <c r="F72" s="4" t="inlineStr">
        <is>
          <t>全モデル経路に同じ最低限の入出力ポリシーが適用され、迂回経路がない</t>
        </is>
      </c>
      <c r="G72" s="4" t="inlineStr">
        <is>
          <t>AIゲートウェイで入出力の安全性・機密情報フィルタを適用していることを独立に判定し、部分実装を一括Passにしない。</t>
        </is>
      </c>
      <c r="H72" s="4" t="inlineStr">
        <is>
          <t>Application Design for AI Workloads on Azure &gt; Implement AI gateways for policy enforcement &gt; Core AI gateway capabilities</t>
        </is>
      </c>
      <c r="I72" s="4" t="inlineStr">
        <is>
          <t>AZURE-DELTA</t>
        </is>
      </c>
      <c r="J72" s="4" t="inlineStr">
        <is>
          <t>Azure採用時に、CLOUD-COMMONで未評価のAzure固有差分へ適用。</t>
        </is>
      </c>
      <c r="K72" s="4" t="inlineStr">
        <is>
          <t>SRC-AZR-AI</t>
        </is>
      </c>
      <c r="L72" s="4" t="inlineStr"/>
      <c r="M72" s="4" t="n"/>
      <c r="N72" s="4" t="n"/>
      <c r="O72" s="4" t="n"/>
      <c r="P72" s="4" t="n"/>
      <c r="Q72" s="4" t="n"/>
      <c r="R72" s="4" t="n"/>
      <c r="S72" s="4" t="n"/>
      <c r="T72" s="4" t="n"/>
      <c r="U72" s="4" t="n"/>
      <c r="V72" s="4" t="n"/>
      <c r="W72" s="4" t="n"/>
    </row>
    <row r="73">
      <c r="A73" s="5" t="inlineStr">
        <is>
          <t>AZR-254</t>
        </is>
      </c>
      <c r="B73" s="5" t="inlineStr">
        <is>
          <t>WAF</t>
        </is>
      </c>
      <c r="C73" s="4" t="inlineStr">
        <is>
          <t>AI: application design</t>
        </is>
      </c>
      <c r="D73" s="9" t="inlineStr">
        <is>
          <t>High</t>
        </is>
      </c>
      <c r="E73" s="4" t="inlineStr">
        <is>
          <t>AIゲートウェイのモデルルーティング規則を品質・可用性・データ制約に基づき定義している</t>
        </is>
      </c>
      <c r="F73" s="4" t="inlineStr">
        <is>
          <t>ルーティングとフォールバック条件、禁止モデル、データ所在制約が構成として確認できる</t>
        </is>
      </c>
      <c r="G73" s="4" t="inlineStr">
        <is>
          <t>AIゲートウェイのモデルルーティング規則を品質・可用性・データ制約に基づき定義していることを独立に判定し、部分実装を一括Passにしない。</t>
        </is>
      </c>
      <c r="H73" s="4" t="inlineStr">
        <is>
          <t>Application Design for AI Workloads on Azure &gt; Implement AI gateways for policy enforcement &gt; Core AI gateway capabilities</t>
        </is>
      </c>
      <c r="I73" s="4" t="inlineStr">
        <is>
          <t>AZURE-DELTA</t>
        </is>
      </c>
      <c r="J73" s="4" t="inlineStr">
        <is>
          <t>Azure採用時に、CLOUD-COMMONで未評価のAzure固有差分へ適用。</t>
        </is>
      </c>
      <c r="K73" s="4" t="inlineStr">
        <is>
          <t>SRC-AZR-AI</t>
        </is>
      </c>
      <c r="L73" s="4" t="inlineStr">
        <is>
          <t>RELIABILITY-HA</t>
        </is>
      </c>
      <c r="M73" s="4" t="n"/>
      <c r="N73" s="4" t="n"/>
      <c r="O73" s="4" t="n"/>
      <c r="P73" s="4" t="n"/>
      <c r="Q73" s="4" t="n"/>
      <c r="R73" s="4" t="n"/>
      <c r="S73" s="4" t="n"/>
      <c r="T73" s="4" t="n"/>
      <c r="U73" s="4" t="n"/>
      <c r="V73" s="4" t="n"/>
      <c r="W73" s="4" t="n"/>
    </row>
    <row r="74">
      <c r="A74" s="5" t="inlineStr">
        <is>
          <t>AZR-255</t>
        </is>
      </c>
      <c r="B74" s="5" t="inlineStr">
        <is>
          <t>WAF</t>
        </is>
      </c>
      <c r="C74" s="4" t="inlineStr">
        <is>
          <t>AI: application design</t>
        </is>
      </c>
      <c r="D74" s="9" t="inlineStr">
        <is>
          <t>High</t>
        </is>
      </c>
      <c r="E74" s="4" t="inlineStr">
        <is>
          <t>AIゲートウェイの利用量を費用責任単位へ配賦できる</t>
        </is>
      </c>
      <c r="F74" s="4" t="inlineStr">
        <is>
          <t>部門・製品・テナント等の単位でトークン・要求・費用を集計できる</t>
        </is>
      </c>
      <c r="G74" s="4" t="inlineStr">
        <is>
          <t>AIゲートウェイの利用量を費用責任単位へ配賦できることを独立に判定し、部分実装を一括Passにしない。</t>
        </is>
      </c>
      <c r="H74" s="4" t="inlineStr">
        <is>
          <t>Application Design for AI Workloads on Azure &gt; Implement AI gateways for policy enforcement &gt; Core AI gateway capabilities</t>
        </is>
      </c>
      <c r="I74" s="4" t="inlineStr">
        <is>
          <t>AZURE-DELTA</t>
        </is>
      </c>
      <c r="J74" s="4" t="inlineStr">
        <is>
          <t>Azure採用時に、CLOUD-COMMONで未評価のAzure固有差分へ適用。</t>
        </is>
      </c>
      <c r="K74" s="4" t="inlineStr">
        <is>
          <t>SRC-AZR-AI</t>
        </is>
      </c>
      <c r="L74" s="4" t="inlineStr">
        <is>
          <t>COST</t>
        </is>
      </c>
      <c r="M74" s="4" t="n"/>
      <c r="N74" s="4" t="n"/>
      <c r="O74" s="4" t="n"/>
      <c r="P74" s="4" t="n"/>
      <c r="Q74" s="4" t="n"/>
      <c r="R74" s="4" t="n"/>
      <c r="S74" s="4" t="n"/>
      <c r="T74" s="4" t="n"/>
      <c r="U74" s="4" t="n"/>
      <c r="V74" s="4" t="n"/>
      <c r="W74" s="4" t="n"/>
    </row>
    <row r="75">
      <c r="A75" s="5" t="inlineStr">
        <is>
          <t>AZR-204</t>
        </is>
      </c>
      <c r="B75" s="5" t="inlineStr">
        <is>
          <t>WAF</t>
        </is>
      </c>
      <c r="C75" s="4" t="inlineStr">
        <is>
          <t>AI: application design</t>
        </is>
      </c>
      <c r="D75" s="9" t="inlineStr">
        <is>
          <t>High</t>
        </is>
      </c>
      <c r="E75" s="4" t="inlineStr">
        <is>
          <t>Microsoft Entra ID 等の標準アイデンティティプロバイダーで認証・RBAC を実装し、on-behalf-of フローでユーザーコンテキストをデータ取得層まで伝播しているか。AI システムのコードがデータストアに直接アクセスしていないか</t>
        </is>
      </c>
      <c r="F75" s="4" t="inlineStr">
        <is>
          <t>全データ要求が認可を強制する API/データアクセス抽象を経由し、ユーザー ID が検索・フィルタリングに伝播され、ユーザーは認可されたデータに基づく結果のみを得る</t>
        </is>
      </c>
      <c r="G75" s="4" t="inlineStr">
        <is>
          <t>怠るとユーザーが権限のないデータに基づく応答を受け取り、情報漏えいにつながる。</t>
        </is>
      </c>
      <c r="H75" s="4" t="inlineStr">
        <is>
          <t>Application Design for AI Workloads on Azure &gt; Design a security strategy for your workload's AI components &gt; Core security principles / Recommendations &gt; Block direct access to data stores</t>
        </is>
      </c>
      <c r="I75" s="4" t="inlineStr">
        <is>
          <t>AZURE-DELTA</t>
        </is>
      </c>
      <c r="J75" s="4" t="inlineStr">
        <is>
          <t>Azure採用時に、CLOUD-COMMONで未評価のAzure固有差分へ適用。</t>
        </is>
      </c>
      <c r="K75" s="4" t="inlineStr">
        <is>
          <t>SRC-AZR-AI</t>
        </is>
      </c>
      <c r="L75" s="4" t="inlineStr">
        <is>
          <t>SEC-IAM</t>
        </is>
      </c>
      <c r="M75" s="4" t="n"/>
      <c r="N75" s="4" t="n"/>
      <c r="O75" s="4" t="n"/>
      <c r="P75" s="4" t="n"/>
      <c r="Q75" s="4" t="n"/>
      <c r="R75" s="4" t="n"/>
      <c r="S75" s="4" t="n"/>
      <c r="T75" s="4" t="n"/>
      <c r="U75" s="4" t="n"/>
      <c r="V75" s="4" t="n"/>
      <c r="W75" s="4" t="n"/>
    </row>
    <row r="76">
      <c r="A76" s="5" t="inlineStr">
        <is>
          <t>AZR-205</t>
        </is>
      </c>
      <c r="B76" s="5" t="inlineStr">
        <is>
          <t>WAF</t>
        </is>
      </c>
      <c r="C76" s="4" t="inlineStr">
        <is>
          <t>AI: application design</t>
        </is>
      </c>
      <c r="D76" s="8" t="inlineStr">
        <is>
          <t>Critical</t>
        </is>
      </c>
      <c r="E76" s="4" t="inlineStr">
        <is>
          <t>グラウンディング(知識)検索に Microsoft Entra ID のグループクレーム等を伝播し、グループ/ACL ベースのセキュリティトリミングを実装しているか。権限不足による拒否は監査ログに記録されているか</t>
        </is>
      </c>
      <c r="F76" s="4" t="inlineStr">
        <is>
          <t>知識レイヤでの検索がユーザーの権限で絞り込まれ、未認可ドキュメントが取得されないことがテストで確認され、認可拒否がログに記録される</t>
        </is>
      </c>
      <c r="G76" s="4" t="inlineStr">
        <is>
          <t>怠ると RAG 応答を通じて未認可の文書・機密情報が漏えいする。</t>
        </is>
      </c>
      <c r="H76" s="4" t="inlineStr">
        <is>
          <t>Application Design for AI Workloads on Azure &gt; Design a security strategy for your workload's AI components &gt; Security-trimmed grounding</t>
        </is>
      </c>
      <c r="I76" s="4" t="inlineStr">
        <is>
          <t>AZURE-DELTA</t>
        </is>
      </c>
      <c r="J76" s="4" t="inlineStr">
        <is>
          <t>Azure採用時に、CLOUD-COMMONで未評価のAzure固有差分へ適用。</t>
        </is>
      </c>
      <c r="K76" s="4" t="inlineStr">
        <is>
          <t>SRC-AZR-AI</t>
        </is>
      </c>
      <c r="L76" s="4" t="inlineStr">
        <is>
          <t>OPS-OBSERVABILITY</t>
        </is>
      </c>
      <c r="M76" s="4" t="n"/>
      <c r="N76" s="4" t="n"/>
      <c r="O76" s="4" t="n"/>
      <c r="P76" s="4" t="n"/>
      <c r="Q76" s="4" t="n"/>
      <c r="R76" s="4" t="n"/>
      <c r="S76" s="4" t="n"/>
      <c r="T76" s="4" t="n"/>
      <c r="U76" s="4" t="n"/>
      <c r="V76" s="4" t="n"/>
      <c r="W76" s="4" t="n"/>
    </row>
    <row r="77">
      <c r="A77" s="5" t="inlineStr">
        <is>
          <t>AZR-206</t>
        </is>
      </c>
      <c r="B77" s="5" t="inlineStr">
        <is>
          <t>WAF</t>
        </is>
      </c>
      <c r="C77" s="4" t="inlineStr">
        <is>
          <t>AI: application design</t>
        </is>
      </c>
      <c r="D77" s="8" t="inlineStr">
        <is>
          <t>Critical</t>
        </is>
      </c>
      <c r="E77" s="4" t="inlineStr">
        <is>
          <t>キャッシュキーにテナント/ユーザー ID、ポリシーコンテキスト、モデルバージョン、プロンプトバージョンを含め、ユーザー固有の応答を他ユーザーに返さない設計になっているか。TTL と無効化フックを設定しているか</t>
        </is>
      </c>
      <c r="F77" s="4" t="inlineStr">
        <is>
          <t>キャッシュ設計書にキー構成要素・TTL・無効化トリガーが定義され、ユーザー私有コンテンツが適切なキー/ポリシーなしにキャッシュされないことが確認できる</t>
        </is>
      </c>
      <c r="G77" s="4" t="inlineStr">
        <is>
          <t>怠るとあるユーザーの個人情報を含む応答が別ユーザーに返却され、プライバシー侵害・データ漏えいが発生する。</t>
        </is>
      </c>
      <c r="H77" s="4" t="inlineStr">
        <is>
          <t>Application Design for AI Workloads on Azure &gt; Implement multi-layer caching strategies &gt; User privacy protection / Cache key components</t>
        </is>
      </c>
      <c r="I77" s="4" t="inlineStr">
        <is>
          <t>AZURE-DELTA</t>
        </is>
      </c>
      <c r="J77" s="4" t="inlineStr">
        <is>
          <t>Azure採用時に、CLOUD-COMMONで未評価のAzure固有差分へ適用。</t>
        </is>
      </c>
      <c r="K77" s="4" t="inlineStr">
        <is>
          <t>SRC-AZR-AI</t>
        </is>
      </c>
      <c r="L77" s="4" t="inlineStr"/>
      <c r="M77" s="4" t="n"/>
      <c r="N77" s="4" t="n"/>
      <c r="O77" s="4" t="n"/>
      <c r="P77" s="4" t="n"/>
      <c r="Q77" s="4" t="n"/>
      <c r="R77" s="4" t="n"/>
      <c r="S77" s="4" t="n"/>
      <c r="T77" s="4" t="n"/>
      <c r="U77" s="4" t="n"/>
      <c r="V77" s="4" t="n"/>
      <c r="W77" s="4" t="n"/>
    </row>
    <row r="78">
      <c r="A78" s="5" t="inlineStr">
        <is>
          <t>AZR-207</t>
        </is>
      </c>
      <c r="B78" s="5" t="inlineStr">
        <is>
          <t>WAF</t>
        </is>
      </c>
      <c r="C78" s="4" t="inlineStr">
        <is>
          <t>AI: application design</t>
        </is>
      </c>
      <c r="D78" s="9" t="inlineStr">
        <is>
          <t>High</t>
        </is>
      </c>
      <c r="E78" s="4" t="inlineStr">
        <is>
          <t>基盤モデルの廃止(モデルリタイア)に備え、プロバイダー抽象化レイヤ、バージョン管理戦略、優先モデルが利用不可時のフォールバック機構を設計しているか</t>
        </is>
      </c>
      <c r="F78" s="4" t="inlineStr">
        <is>
          <t>モデルを抽象化するインターフェースが存在し、モデルバージョン移行手順とフォールバック先が文書化されている(Azure OpenAI 等のモデル廃止スケジュールへの追随プロセスを含む)</t>
        </is>
      </c>
      <c r="G78" s="4" t="inlineStr">
        <is>
          <t>怠るとホスティング先のモデル廃止時にアプリケーションが停止または大規模改修を強いられる。</t>
        </is>
      </c>
      <c r="H78" s="4" t="inlineStr">
        <is>
          <t>Application Design for AI Workloads on Azure &gt; Plan for model deprecation</t>
        </is>
      </c>
      <c r="I78" s="4" t="inlineStr">
        <is>
          <t>AZURE-DELTA</t>
        </is>
      </c>
      <c r="J78" s="4" t="inlineStr">
        <is>
          <t>Azure採用時に、CLOUD-COMMONで未評価のAzure固有差分へ適用。</t>
        </is>
      </c>
      <c r="K78" s="4" t="inlineStr">
        <is>
          <t>SRC-AZR-AI</t>
        </is>
      </c>
      <c r="L78" s="4" t="inlineStr"/>
      <c r="M78" s="4" t="n"/>
      <c r="N78" s="4" t="n"/>
      <c r="O78" s="4" t="n"/>
      <c r="P78" s="4" t="n"/>
      <c r="Q78" s="4" t="n"/>
      <c r="R78" s="4" t="n"/>
      <c r="S78" s="4" t="n"/>
      <c r="T78" s="4" t="n"/>
      <c r="U78" s="4" t="n"/>
      <c r="V78" s="4" t="n"/>
      <c r="W78" s="4" t="n"/>
    </row>
    <row r="79">
      <c r="A79" s="5" t="inlineStr">
        <is>
          <t>AZR-208</t>
        </is>
      </c>
      <c r="B79" s="5" t="inlineStr">
        <is>
          <t>WAF</t>
        </is>
      </c>
      <c r="C79" s="4" t="inlineStr">
        <is>
          <t>AI: application design</t>
        </is>
      </c>
      <c r="D79" s="10" t="inlineStr">
        <is>
          <t>Medium</t>
        </is>
      </c>
      <c r="E79" s="4" t="inlineStr">
        <is>
          <t>AZR-208に関する統制範囲・責任者・適用条件が一つの設計判断として定義されている</t>
        </is>
      </c>
      <c r="F79" s="4" t="inlineStr">
        <is>
          <t>対象コンポーネント、責任者、適用・非適用条件、関連する個別統制IDが文書化されている</t>
        </is>
      </c>
      <c r="G79" s="4" t="inlineStr">
        <is>
          <t>複合項目を個別に判定できるサブ統制へ分解し、親項目は適用範囲の統制に限定する。</t>
        </is>
      </c>
      <c r="H79" s="4" t="inlineStr">
        <is>
          <t>Application Design for AI Workloads on Azure &gt; Evaluate the use of orchestration and agents in generative AI solutions &gt; Agent design considerations</t>
        </is>
      </c>
      <c r="I79" s="4" t="inlineStr">
        <is>
          <t>AZURE-DELTA</t>
        </is>
      </c>
      <c r="J79" s="4" t="inlineStr">
        <is>
          <t>Azure採用時に、CLOUD-COMMONで未評価のAzure固有差分へ適用。</t>
        </is>
      </c>
      <c r="K79" s="4" t="inlineStr">
        <is>
          <t>SRC-AZR-AI</t>
        </is>
      </c>
      <c r="L79" s="4" t="inlineStr"/>
      <c r="M79" s="4" t="n"/>
      <c r="N79" s="4" t="n"/>
      <c r="O79" s="4" t="n"/>
      <c r="P79" s="4" t="n"/>
      <c r="Q79" s="4" t="n"/>
      <c r="R79" s="4" t="n"/>
      <c r="S79" s="4" t="n"/>
      <c r="T79" s="4" t="n"/>
      <c r="U79" s="4" t="n"/>
      <c r="V79" s="4" t="n"/>
      <c r="W79" s="4" t="n"/>
    </row>
    <row r="80">
      <c r="A80" s="5" t="inlineStr">
        <is>
          <t>AZR-256</t>
        </is>
      </c>
      <c r="B80" s="5" t="inlineStr">
        <is>
          <t>WAF</t>
        </is>
      </c>
      <c r="C80" s="4" t="inlineStr">
        <is>
          <t>AI: application design</t>
        </is>
      </c>
      <c r="D80" s="10" t="inlineStr">
        <is>
          <t>Medium</t>
        </is>
      </c>
      <c r="E80" s="4" t="inlineStr">
        <is>
          <t>直接のモデル呼出しでなくエージェントを採用する必要性を評価している</t>
        </is>
      </c>
      <c r="F80" s="4" t="inlineStr">
        <is>
          <t>複数段計画・ツール利用・状態保持等の必要性と追加リスクを比較した記録がある</t>
        </is>
      </c>
      <c r="G80" s="4" t="inlineStr">
        <is>
          <t>直接のモデル呼出しでなくエージェントを採用する必要性を評価していることを独立に判定し、部分実装を一括Passにしない。</t>
        </is>
      </c>
      <c r="H80" s="4" t="inlineStr">
        <is>
          <t>Application Design for AI Workloads on Azure &gt; Evaluate the use of orchestration and agents in generative AI solutions &gt; Agent design considerations</t>
        </is>
      </c>
      <c r="I80" s="4" t="inlineStr">
        <is>
          <t>AZURE-DELTA</t>
        </is>
      </c>
      <c r="J80" s="4" t="inlineStr">
        <is>
          <t>Azure採用時に、CLOUD-COMMONで未評価のAzure固有差分へ適用。</t>
        </is>
      </c>
      <c r="K80" s="4" t="inlineStr">
        <is>
          <t>SRC-AZR-AI</t>
        </is>
      </c>
      <c r="L80" s="4" t="inlineStr"/>
      <c r="M80" s="4" t="n"/>
      <c r="N80" s="4" t="n"/>
      <c r="O80" s="4" t="n"/>
      <c r="P80" s="4" t="n"/>
      <c r="Q80" s="4" t="n"/>
      <c r="R80" s="4" t="n"/>
      <c r="S80" s="4" t="n"/>
      <c r="T80" s="4" t="n"/>
      <c r="U80" s="4" t="n"/>
      <c r="V80" s="4" t="n"/>
      <c r="W80" s="4" t="n"/>
    </row>
    <row r="81">
      <c r="A81" s="5" t="inlineStr">
        <is>
          <t>AZR-257</t>
        </is>
      </c>
      <c r="B81" s="5" t="inlineStr">
        <is>
          <t>WAF</t>
        </is>
      </c>
      <c r="C81" s="4" t="inlineStr">
        <is>
          <t>AI: application design</t>
        </is>
      </c>
      <c r="D81" s="10" t="inlineStr">
        <is>
          <t>Medium</t>
        </is>
      </c>
      <c r="E81" s="4" t="inlineStr">
        <is>
          <t>採用するエージェントフレームワークでエージェント・ツール・メモリの境界を定義している</t>
        </is>
      </c>
      <c r="F81" s="4" t="inlineStr">
        <is>
          <t>責務、入出力、権限、状態所有者がコンポーネント単位で記録されている</t>
        </is>
      </c>
      <c r="G81" s="4" t="inlineStr">
        <is>
          <t>採用するエージェントフレームワークでエージェント・ツール・メモリの境界を定義していることを独立に判定し、部分実装を一括Passにしない。</t>
        </is>
      </c>
      <c r="H81" s="4" t="inlineStr">
        <is>
          <t>Application Design for AI Workloads on Azure &gt; Evaluate the use of orchestration and agents in generative AI solutions &gt; Agent design considerations</t>
        </is>
      </c>
      <c r="I81" s="4" t="inlineStr">
        <is>
          <t>AZURE-DELTA</t>
        </is>
      </c>
      <c r="J81" s="4" t="inlineStr">
        <is>
          <t>Azure採用時に、CLOUD-COMMONで未評価のAzure固有差分へ適用。</t>
        </is>
      </c>
      <c r="K81" s="4" t="inlineStr">
        <is>
          <t>SRC-AZR-AI</t>
        </is>
      </c>
      <c r="L81" s="4" t="inlineStr"/>
      <c r="M81" s="4" t="n"/>
      <c r="N81" s="4" t="n"/>
      <c r="O81" s="4" t="n"/>
      <c r="P81" s="4" t="n"/>
      <c r="Q81" s="4" t="n"/>
      <c r="R81" s="4" t="n"/>
      <c r="S81" s="4" t="n"/>
      <c r="T81" s="4" t="n"/>
      <c r="U81" s="4" t="n"/>
      <c r="V81" s="4" t="n"/>
      <c r="W81" s="4" t="n"/>
    </row>
    <row r="82">
      <c r="A82" s="5" t="inlineStr">
        <is>
          <t>AZR-258</t>
        </is>
      </c>
      <c r="B82" s="5" t="inlineStr">
        <is>
          <t>WAF</t>
        </is>
      </c>
      <c r="C82" s="4" t="inlineStr">
        <is>
          <t>AI: application design</t>
        </is>
      </c>
      <c r="D82" s="10" t="inlineStr">
        <is>
          <t>Medium</t>
        </is>
      </c>
      <c r="E82" s="4" t="inlineStr">
        <is>
          <t>決定的ワークフローと探索的エージェント協調を使い分けている</t>
        </is>
      </c>
      <c r="F82" s="4" t="inlineStr">
        <is>
          <t>再現性・監査性が必要な処理は決定的に制御し、探索が必要な箇所だけに自律判断を限定している</t>
        </is>
      </c>
      <c r="G82" s="4" t="inlineStr">
        <is>
          <t>決定的ワークフローと探索的エージェント協調を使い分けていることを独立に判定し、部分実装を一括Passにしない。</t>
        </is>
      </c>
      <c r="H82" s="4" t="inlineStr">
        <is>
          <t>Application Design for AI Workloads on Azure &gt; Evaluate the use of orchestration and agents in generative AI solutions &gt; Agent design considerations</t>
        </is>
      </c>
      <c r="I82" s="4" t="inlineStr">
        <is>
          <t>AZURE-DELTA</t>
        </is>
      </c>
      <c r="J82" s="4" t="inlineStr">
        <is>
          <t>Azure採用時に、CLOUD-COMMONで未評価のAzure固有差分へ適用。</t>
        </is>
      </c>
      <c r="K82" s="4" t="inlineStr">
        <is>
          <t>SRC-AZR-AI</t>
        </is>
      </c>
      <c r="L82" s="4" t="inlineStr"/>
      <c r="M82" s="4" t="n"/>
      <c r="N82" s="4" t="n"/>
      <c r="O82" s="4" t="n"/>
      <c r="P82" s="4" t="n"/>
      <c r="Q82" s="4" t="n"/>
      <c r="R82" s="4" t="n"/>
      <c r="S82" s="4" t="n"/>
      <c r="T82" s="4" t="n"/>
      <c r="U82" s="4" t="n"/>
      <c r="V82" s="4" t="n"/>
      <c r="W82" s="4" t="n"/>
    </row>
    <row r="83">
      <c r="A83" s="5" t="inlineStr">
        <is>
          <t>AZR-209</t>
        </is>
      </c>
      <c r="B83" s="5" t="inlineStr">
        <is>
          <t>WAF</t>
        </is>
      </c>
      <c r="C83" s="4" t="inlineStr">
        <is>
          <t>AI: application design</t>
        </is>
      </c>
      <c r="D83" s="10" t="inlineStr">
        <is>
          <t>Medium</t>
        </is>
      </c>
      <c r="E83" s="4" t="inlineStr">
        <is>
          <t>マルチターン会話・長時間タスクのエージェント状態を Azure Cosmos DB、Azure Managed Redis、Azure Table Storage 等のセキュアな共有ストレージに永続化し、必要最小限の情報にスコープして TTL で失効させているか</t>
        </is>
      </c>
      <c r="F83" s="4" t="inlineStr">
        <is>
          <t>エージェント状態の保存先・保持項目・TTL ポリシーが定義され、再開時の状態リハイドレートが動作し、不要な会話履歴が無期限に保持されない</t>
        </is>
      </c>
      <c r="G83" s="4" t="inlineStr">
        <is>
          <t>怠るとプライバシーリスクとトークンオーバーヘッドが増大し、デプロイ後にタスクの継続ができなくなる。</t>
        </is>
      </c>
      <c r="H83" s="4" t="inlineStr">
        <is>
          <t>Application Design for AI Workloads on Azure &gt; Evaluate the use of orchestration and agents in generative AI solutions &gt; Agent state persistence</t>
        </is>
      </c>
      <c r="I83" s="4" t="inlineStr">
        <is>
          <t>AZURE-DELTA</t>
        </is>
      </c>
      <c r="J83" s="4" t="inlineStr">
        <is>
          <t>Azure採用時に、CLOUD-COMMONで未評価のAzure固有差分へ適用。</t>
        </is>
      </c>
      <c r="K83" s="4" t="inlineStr">
        <is>
          <t>SRC-AZR-AI</t>
        </is>
      </c>
      <c r="L83" s="4" t="inlineStr"/>
      <c r="M83" s="4" t="n"/>
      <c r="N83" s="4" t="n"/>
      <c r="O83" s="4" t="n"/>
      <c r="P83" s="4" t="n"/>
      <c r="Q83" s="4" t="n"/>
      <c r="R83" s="4" t="n"/>
      <c r="S83" s="4" t="n"/>
      <c r="T83" s="4" t="n"/>
      <c r="U83" s="4" t="n"/>
      <c r="V83" s="4" t="n"/>
      <c r="W83" s="4" t="n"/>
    </row>
    <row r="84">
      <c r="A84" s="5" t="inlineStr">
        <is>
          <t>AZR-210</t>
        </is>
      </c>
      <c r="B84" s="5" t="inlineStr">
        <is>
          <t>WAF</t>
        </is>
      </c>
      <c r="C84" s="4" t="inlineStr">
        <is>
          <t>AI: application platform</t>
        </is>
      </c>
      <c r="D84" s="9" t="inlineStr">
        <is>
          <t>High</t>
        </is>
      </c>
      <c r="E84" s="4" t="inlineStr">
        <is>
          <t>Azure OpenAI 等の PaaS/SaaS のクォータ・レート制限(TPM/RPM 等)を設計時に把握し、スケールアウト阻害リスクに対して複数デプロイメントへの分散やスピルオーバー等の戦略を用意しているか</t>
        </is>
      </c>
      <c r="F84" s="4" t="inlineStr">
        <is>
          <t>対象サービスのクォータ・制限が設計書に記載され、高トラフィック時の対応策(複数インスタンス分散、固定スループット+バースト併用等)が定義されている</t>
        </is>
      </c>
      <c r="G84" s="4" t="inlineStr">
        <is>
          <t>怠るとピーク時にスロットリングが発生し、サービス停止や応答遅延につながる。</t>
        </is>
      </c>
      <c r="H84" s="4" t="inlineStr">
        <is>
          <t>Application Platform for AI Workloads on Azure &gt; Recommendations &gt; Understand your quotas and limits / Considerations for the model hosting and inferencing platform &gt; Nonfunctional requirements</t>
        </is>
      </c>
      <c r="I84" s="4" t="inlineStr">
        <is>
          <t>AZURE-DELTA</t>
        </is>
      </c>
      <c r="J84" s="4" t="inlineStr">
        <is>
          <t>Azure採用時に、CLOUD-COMMONで未評価のAzure固有差分へ適用。</t>
        </is>
      </c>
      <c r="K84" s="4" t="inlineStr">
        <is>
          <t>SRC-AZR-AI</t>
        </is>
      </c>
      <c r="L84" s="4" t="inlineStr"/>
      <c r="M84" s="4" t="n"/>
      <c r="N84" s="4" t="n"/>
      <c r="O84" s="4" t="n"/>
      <c r="P84" s="4" t="n"/>
      <c r="Q84" s="4" t="n"/>
      <c r="R84" s="4" t="n"/>
      <c r="S84" s="4" t="n"/>
      <c r="T84" s="4" t="n"/>
      <c r="U84" s="4" t="n"/>
      <c r="V84" s="4" t="n"/>
      <c r="W84" s="4" t="n"/>
    </row>
    <row r="85">
      <c r="A85" s="5" t="inlineStr">
        <is>
          <t>AZR-211</t>
        </is>
      </c>
      <c r="B85" s="5" t="inlineStr">
        <is>
          <t>WAF</t>
        </is>
      </c>
      <c r="C85" s="4" t="inlineStr">
        <is>
          <t>AI: application platform</t>
        </is>
      </c>
      <c r="D85" s="10" t="inlineStr">
        <is>
          <t>Medium</t>
        </is>
      </c>
      <c r="E85" s="4" t="inlineStr">
        <is>
          <t>EDA(探索的データ分析)プラットフォームとして Azure Machine Learning コンピュートインスタンス等の一時利用(停止可能)なコンピュートを使用し、MLflow 統合による実験追跡を可能にしているか</t>
        </is>
      </c>
      <c r="F85" s="4" t="inlineStr">
        <is>
          <t>EDA 用リソースが未使用時に停止・割り当て解除でき、MLflow による実験記録が可能で、本番同等のセキュリティ統制(アクセス制御・暗号化・監視・プライベートネットワーク)が適用されている</t>
        </is>
      </c>
      <c r="G85" s="4" t="inlineStr">
        <is>
          <t>常時稼働の GPU コンピュートはコストを浪費し、本番データを扱う EDA 環境の統制不足はデータ漏えいを招く。</t>
        </is>
      </c>
      <c r="H85" s="4" t="inlineStr">
        <is>
          <t>Application Platform for AI Workloads on Azure &gt; Considerations for the EDA platform &gt; Functional requirements / Nonfunctional requirements / Tools</t>
        </is>
      </c>
      <c r="I85" s="4" t="inlineStr">
        <is>
          <t>AZURE-DELTA</t>
        </is>
      </c>
      <c r="J85" s="4" t="inlineStr">
        <is>
          <t>Azure採用時に、CLOUD-COMMONで未評価のAzure固有差分へ適用。</t>
        </is>
      </c>
      <c r="K85" s="4" t="inlineStr">
        <is>
          <t>SRC-AZR-AI</t>
        </is>
      </c>
      <c r="L85" s="4" t="inlineStr"/>
      <c r="M85" s="4" t="n"/>
      <c r="N85" s="4" t="n"/>
      <c r="O85" s="4" t="n"/>
      <c r="P85" s="4" t="n"/>
      <c r="Q85" s="4" t="n"/>
      <c r="R85" s="4" t="n"/>
      <c r="S85" s="4" t="n"/>
      <c r="T85" s="4" t="n"/>
      <c r="U85" s="4" t="n"/>
      <c r="V85" s="4" t="n"/>
      <c r="W85" s="4" t="n"/>
    </row>
    <row r="86">
      <c r="A86" s="5" t="inlineStr">
        <is>
          <t>AZR-212</t>
        </is>
      </c>
      <c r="B86" s="5" t="inlineStr">
        <is>
          <t>WAF</t>
        </is>
      </c>
      <c r="C86" s="4" t="inlineStr">
        <is>
          <t>AI: application platform</t>
        </is>
      </c>
      <c r="D86" s="10" t="inlineStr">
        <is>
          <t>Medium</t>
        </is>
      </c>
      <c r="E86" s="4" t="inlineStr">
        <is>
          <t>モデル学習・fine-tuning に Azure Machine Learning(サーバーレスコンピュートまたはコンピュートクラスター)を使用し、スポット価格は中断可能な学習のみに限定、サーバーレスをフルタイム運用に使用していないか</t>
        </is>
      </c>
      <c r="F86" s="4" t="inlineStr">
        <is>
          <t>学習プラットフォームがバッチ実行後に停止でき、スポット/標準価格の使い分け基準が定義され、RTO に基づく信頼性設計(ゾーン/リージョン分散の要否)が判断されている</t>
        </is>
      </c>
      <c r="G86" s="4" t="inlineStr">
        <is>
          <t>怠ると学習コストが急増し、モデル鮮度要件のある再学習がスケジュール内に完了しない。</t>
        </is>
      </c>
      <c r="H86" s="4" t="inlineStr">
        <is>
          <t>Application Platform for AI Workloads on Azure &gt; Considerations for the model training and fine-tuning platform &gt; Tools</t>
        </is>
      </c>
      <c r="I86" s="4" t="inlineStr">
        <is>
          <t>AZURE-DELTA</t>
        </is>
      </c>
      <c r="J86" s="4" t="inlineStr">
        <is>
          <t>Azure採用時に、CLOUD-COMMONで未評価のAzure固有差分へ適用。</t>
        </is>
      </c>
      <c r="K86" s="4" t="inlineStr">
        <is>
          <t>SRC-AZR-AI</t>
        </is>
      </c>
      <c r="L86" s="4" t="inlineStr"/>
      <c r="M86" s="4" t="n"/>
      <c r="N86" s="4" t="n"/>
      <c r="O86" s="4" t="n"/>
      <c r="P86" s="4" t="n"/>
      <c r="Q86" s="4" t="n"/>
      <c r="R86" s="4" t="n"/>
      <c r="S86" s="4" t="n"/>
      <c r="T86" s="4" t="n"/>
      <c r="U86" s="4" t="n"/>
      <c r="V86" s="4" t="n"/>
      <c r="W86" s="4" t="n"/>
    </row>
    <row r="87">
      <c r="A87" s="5" t="inlineStr">
        <is>
          <t>AZR-213</t>
        </is>
      </c>
      <c r="B87" s="5" t="inlineStr">
        <is>
          <t>WAF</t>
        </is>
      </c>
      <c r="C87" s="4" t="inlineStr">
        <is>
          <t>AI: application platform</t>
        </is>
      </c>
      <c r="D87" s="9" t="inlineStr">
        <is>
          <t>High</t>
        </is>
      </c>
      <c r="E87" s="4" t="inlineStr">
        <is>
          <t>オンライン推論は PaaS/サーバーレス(Azure OpenAI 等)を第一候補として評価し、AKS 等で自己ホストする場合は推論用ノードプールを他の API・ワークロードから分離しているか</t>
        </is>
      </c>
      <c r="F87" s="4" t="inlineStr">
        <is>
          <t>ホスティング選定の評価記録があり、自己ホスト時のノードプール分離(バルクヘッド)と性能ベースラインに基づくライトサイズが構成されている</t>
        </is>
      </c>
      <c r="G87" s="4" t="inlineStr">
        <is>
          <t>分離を怠ると他ワークロードとの競合で性能が不安定になり、セキュリティ境界も曖昧になる。</t>
        </is>
      </c>
      <c r="H87" s="4" t="inlineStr">
        <is>
          <t>Application Platform for AI Workloads on Azure &gt; Considerations for the model hosting and inferencing platform &gt; Tools &gt; Online inferencing</t>
        </is>
      </c>
      <c r="I87" s="4" t="inlineStr">
        <is>
          <t>AZURE-DELTA</t>
        </is>
      </c>
      <c r="J87" s="4" t="inlineStr">
        <is>
          <t>Azure採用時に、CLOUD-COMMONで未評価のAzure固有差分へ適用。</t>
        </is>
      </c>
      <c r="K87" s="4" t="inlineStr">
        <is>
          <t>SRC-AZR-AI</t>
        </is>
      </c>
      <c r="L87" s="4" t="inlineStr"/>
      <c r="M87" s="4" t="n"/>
      <c r="N87" s="4" t="n"/>
      <c r="O87" s="4" t="n"/>
      <c r="P87" s="4" t="n"/>
      <c r="Q87" s="4" t="n"/>
      <c r="R87" s="4" t="n"/>
      <c r="S87" s="4" t="n"/>
      <c r="T87" s="4" t="n"/>
      <c r="U87" s="4" t="n"/>
      <c r="V87" s="4" t="n"/>
      <c r="W87" s="4" t="n"/>
    </row>
    <row r="88">
      <c r="A88" s="5" t="inlineStr">
        <is>
          <t>AZR-214</t>
        </is>
      </c>
      <c r="B88" s="5" t="inlineStr">
        <is>
          <t>WAF</t>
        </is>
      </c>
      <c r="C88" s="4" t="inlineStr">
        <is>
          <t>AI: application platform</t>
        </is>
      </c>
      <c r="D88" s="9" t="inlineStr">
        <is>
          <t>High</t>
        </is>
      </c>
      <c r="E88" s="4" t="inlineStr">
        <is>
          <t>推論エンドポイント(サーブ層 API)の criticality 評価に基づき、可用性ゾーンまたはマルチリージョン構成をサポートするホスティングプラットフォームを選定しているか</t>
        </is>
      </c>
      <c r="F88" s="4" t="inlineStr">
        <is>
          <t>サーブ層 API に他の高重要度フローと同じ信頼性基準が適用され、高可用性要件がある場合はゾーン冗長/マルチリージョン設計が構成されている</t>
        </is>
      </c>
      <c r="G88" s="4" t="inlineStr">
        <is>
          <t>怠ると推論エンドポイントが単一障害点となり、AI 機能全体が停止する。</t>
        </is>
      </c>
      <c r="H88" s="4" t="inlineStr">
        <is>
          <t>Application Platform for AI Workloads on Azure &gt; Considerations for the model hosting and inferencing platform &gt; Nonfunctional requirements(What are the reliability requirements for the platform?)</t>
        </is>
      </c>
      <c r="I88" s="4" t="inlineStr">
        <is>
          <t>AZURE-DELTA</t>
        </is>
      </c>
      <c r="J88" s="4" t="inlineStr">
        <is>
          <t>Azure採用時に、CLOUD-COMMONで未評価のAzure固有差分へ適用。</t>
        </is>
      </c>
      <c r="K88" s="4" t="inlineStr">
        <is>
          <t>SRC-AZR-AI</t>
        </is>
      </c>
      <c r="L88" s="4" t="inlineStr">
        <is>
          <t>RELIABILITY-HA</t>
        </is>
      </c>
      <c r="M88" s="4" t="n"/>
      <c r="N88" s="4" t="n"/>
      <c r="O88" s="4" t="n"/>
      <c r="P88" s="4" t="n"/>
      <c r="Q88" s="4" t="n"/>
      <c r="R88" s="4" t="n"/>
      <c r="S88" s="4" t="n"/>
      <c r="T88" s="4" t="n"/>
      <c r="U88" s="4" t="n"/>
      <c r="V88" s="4" t="n"/>
      <c r="W88" s="4" t="n"/>
    </row>
    <row r="89">
      <c r="A89" s="5" t="inlineStr">
        <is>
          <t>AZR-215</t>
        </is>
      </c>
      <c r="B89" s="5" t="inlineStr">
        <is>
          <t>WAF</t>
        </is>
      </c>
      <c r="C89" s="4" t="inlineStr">
        <is>
          <t>AI: application platform</t>
        </is>
      </c>
      <c r="D89" s="9" t="inlineStr">
        <is>
          <t>High</t>
        </is>
      </c>
      <c r="E89" s="4" t="inlineStr">
        <is>
          <t>コンテナイメージ・データ・コード資産の集中リポジトリへのアクセスにプライベートネットワーク(Private Link 等)を使用し、推論プラットフォームに必要なネットワーク制御(egress ファイアウォール等)を構成しているか</t>
        </is>
      </c>
      <c r="F89" s="4" t="inlineStr">
        <is>
          <t>モデルホスティング・リポジトリへのアクセス経路がプライベート化され、公開が必要なエンドポイント以外がインターネットに露出していない</t>
        </is>
      </c>
      <c r="G89" s="4" t="inlineStr">
        <is>
          <t>怠るとモデル資産・学習データへの不正アクセスや改ざんのリスクが高まる。</t>
        </is>
      </c>
      <c r="H89" s="4" t="inlineStr">
        <is>
          <t>Design Principles for AI Workloads on Azure &gt; Security &gt; Protect the integrity of the design by implementing segmentation / Application Platform &gt; Nonfunctional requirements(What networking controls are required?)</t>
        </is>
      </c>
      <c r="I89" s="4" t="inlineStr">
        <is>
          <t>AZURE-DELTA</t>
        </is>
      </c>
      <c r="J89" s="4" t="inlineStr">
        <is>
          <t>Azure採用時に、CLOUD-COMMONで未評価のAzure固有差分へ適用。</t>
        </is>
      </c>
      <c r="K89" s="4" t="inlineStr">
        <is>
          <t>SRC-AZR-AI</t>
        </is>
      </c>
      <c r="L89" s="4" t="inlineStr"/>
      <c r="M89" s="4" t="n"/>
      <c r="N89" s="4" t="n"/>
      <c r="O89" s="4" t="n"/>
      <c r="P89" s="4" t="n"/>
      <c r="Q89" s="4" t="n"/>
      <c r="R89" s="4" t="n"/>
      <c r="S89" s="4" t="n"/>
      <c r="T89" s="4" t="n"/>
      <c r="U89" s="4" t="n"/>
      <c r="V89" s="4" t="n"/>
      <c r="W89" s="4" t="n"/>
    </row>
    <row r="90">
      <c r="A90" s="5" t="inlineStr">
        <is>
          <t>AZR-216</t>
        </is>
      </c>
      <c r="B90" s="5" t="inlineStr">
        <is>
          <t>WAF</t>
        </is>
      </c>
      <c r="C90" s="4" t="inlineStr">
        <is>
          <t>AI: application platform</t>
        </is>
      </c>
      <c r="D90" s="10" t="inlineStr">
        <is>
          <t>Medium</t>
        </is>
      </c>
      <c r="E90" s="4" t="inlineStr">
        <is>
          <t>モデルの traceability を確保するため、コンテナレジストリのイメージへの意味のあるタグ付け等により、デプロイ中のモデルバージョン・デプロイ者・デプロイ日時・データ系譜を特定できるか</t>
        </is>
      </c>
      <c r="F90" s="4" t="inlineStr">
        <is>
          <t>ホスティングサービスが特定バージョンのイメージ/モデルをタグで取得し、現行モデルのバージョンと系譜が即座に照会できる</t>
        </is>
      </c>
      <c r="G90" s="4" t="inlineStr">
        <is>
          <t>怠ると古い/誤ったモデルが本番で使用されるリスクがあり、障害時の原因究明もできない。</t>
        </is>
      </c>
      <c r="H90" s="4" t="inlineStr">
        <is>
          <t>Application Platform for AI Workloads on Azure &gt; Considerations for the model hosting and inferencing platform &gt; Functional requirements(Does the platform support traceability?)</t>
        </is>
      </c>
      <c r="I90" s="4" t="inlineStr">
        <is>
          <t>AZURE-DELTA</t>
        </is>
      </c>
      <c r="J90" s="4" t="inlineStr">
        <is>
          <t>Azure採用時に、CLOUD-COMMONで未評価のAzure固有差分へ適用。</t>
        </is>
      </c>
      <c r="K90" s="4" t="inlineStr">
        <is>
          <t>SRC-AZR-AI</t>
        </is>
      </c>
      <c r="L90" s="4" t="inlineStr"/>
      <c r="M90" s="4" t="n"/>
      <c r="N90" s="4" t="n"/>
      <c r="O90" s="4" t="n"/>
      <c r="P90" s="4" t="n"/>
      <c r="Q90" s="4" t="n"/>
      <c r="R90" s="4" t="n"/>
      <c r="S90" s="4" t="n"/>
      <c r="T90" s="4" t="n"/>
      <c r="U90" s="4" t="n"/>
      <c r="V90" s="4" t="n"/>
      <c r="W90" s="4" t="n"/>
    </row>
    <row r="91">
      <c r="A91" s="5" t="inlineStr">
        <is>
          <t>AZR-217</t>
        </is>
      </c>
      <c r="B91" s="5" t="inlineStr">
        <is>
          <t>WAF</t>
        </is>
      </c>
      <c r="C91" s="4" t="inlineStr">
        <is>
          <t>AI: training data design</t>
        </is>
      </c>
      <c r="D91" s="10" t="inlineStr">
        <is>
          <t>Medium</t>
        </is>
      </c>
      <c r="E91" s="4" t="inlineStr">
        <is>
          <t>訓練データの不足・不均衡に対し、SMOTE や合成データ生成(Azure AI Foundry の synthetic data generation 等)などの技法を評価・適用しているか</t>
        </is>
      </c>
      <c r="F91" s="4" t="inlineStr">
        <is>
          <t>データセットの偏り分析結果と、オーバーサンプリング/アンダーサンプリング/合成データ等の対応策の適用記録がある</t>
        </is>
      </c>
      <c r="G91" s="4" t="inlineStr">
        <is>
          <t>不均衡データセットはバイアスされたモデルを生み、特定グループへの不公平な結果を招く。</t>
        </is>
      </c>
      <c r="H91" s="4" t="inlineStr">
        <is>
          <t>Design Training Data for AI Workloads on Azure &gt; Data ingestion and analysis &gt; Data sources</t>
        </is>
      </c>
      <c r="I91" s="4" t="inlineStr">
        <is>
          <t>AZURE-DELTA</t>
        </is>
      </c>
      <c r="J91" s="4" t="inlineStr">
        <is>
          <t>Azure採用時に、CLOUD-COMMONで未評価のAzure固有差分へ適用。</t>
        </is>
      </c>
      <c r="K91" s="4" t="inlineStr">
        <is>
          <t>SRC-AZR-AI</t>
        </is>
      </c>
      <c r="L91" s="4" t="inlineStr">
        <is>
          <t>CONTINUITY-DR</t>
        </is>
      </c>
      <c r="M91" s="4" t="n"/>
      <c r="N91" s="4" t="n"/>
      <c r="O91" s="4" t="n"/>
      <c r="P91" s="4" t="n"/>
      <c r="Q91" s="4" t="n"/>
      <c r="R91" s="4" t="n"/>
      <c r="S91" s="4" t="n"/>
      <c r="T91" s="4" t="n"/>
      <c r="U91" s="4" t="n"/>
      <c r="V91" s="4" t="n"/>
      <c r="W91" s="4" t="n"/>
    </row>
    <row r="92">
      <c r="A92" s="5" t="inlineStr">
        <is>
          <t>AZR-218</t>
        </is>
      </c>
      <c r="B92" s="5" t="inlineStr">
        <is>
          <t>WAF</t>
        </is>
      </c>
      <c r="C92" s="4" t="inlineStr">
        <is>
          <t>AI: training data design</t>
        </is>
      </c>
      <c r="D92" s="8" t="inlineStr">
        <is>
          <t>Critical</t>
        </is>
      </c>
      <c r="E92" s="4" t="inlineStr">
        <is>
          <t>本番データを訓練・EDA に使用する場合、元データのデータ分類制約を維持し、Dev/Test 等の下位環境にも本番同等のセキュリティ統制を適用しているか。データセグメント毎のアクセス制御(最小権限)を設定しているか</t>
        </is>
      </c>
      <c r="F92" s="4" t="inlineStr">
        <is>
          <t>訓練データのローカルコピーに元の分類ラベルと保護策が適用され、下位環境のセキュリティ統制が本番と同等であることが確認でき、データサブセットへのアクセスが認可されたユーザーに限定されている</t>
        </is>
      </c>
      <c r="G92" s="4" t="inlineStr">
        <is>
          <t>怠ると下位環境経由で本番の機微データが漏えいする。</t>
        </is>
      </c>
      <c r="H92" s="4" t="inlineStr">
        <is>
          <t>Design Training Data for AI Workloads on Azure &gt; Data ingestion and analysis &gt; Data collection store / Data segmentation</t>
        </is>
      </c>
      <c r="I92" s="4" t="inlineStr">
        <is>
          <t>AZURE-DELTA</t>
        </is>
      </c>
      <c r="J92" s="4" t="inlineStr">
        <is>
          <t>Azure採用時に、CLOUD-COMMONで未評価のAzure固有差分へ適用。</t>
        </is>
      </c>
      <c r="K92" s="4" t="inlineStr">
        <is>
          <t>SRC-AZR-AI</t>
        </is>
      </c>
      <c r="L92" s="4" t="inlineStr">
        <is>
          <t>SEC-IAM</t>
        </is>
      </c>
      <c r="M92" s="4" t="n"/>
      <c r="N92" s="4" t="n"/>
      <c r="O92" s="4" t="n"/>
      <c r="P92" s="4" t="n"/>
      <c r="Q92" s="4" t="n"/>
      <c r="R92" s="4" t="n"/>
      <c r="S92" s="4" t="n"/>
      <c r="T92" s="4" t="n"/>
      <c r="U92" s="4" t="n"/>
      <c r="V92" s="4" t="n"/>
      <c r="W92" s="4" t="n"/>
    </row>
    <row r="93">
      <c r="A93" s="5" t="inlineStr">
        <is>
          <t>AZR-219</t>
        </is>
      </c>
      <c r="B93" s="5" t="inlineStr">
        <is>
          <t>WAF</t>
        </is>
      </c>
      <c r="C93" s="4" t="inlineStr">
        <is>
          <t>AI: training data design</t>
        </is>
      </c>
      <c r="D93" s="9" t="inlineStr">
        <is>
          <t>High</t>
        </is>
      </c>
      <c r="E93" s="4" t="inlineStr">
        <is>
          <t>Microsoft Purview と Azure Machine Learning の統合等のプラットフォーム機能を使い、訓練データのソースからモデルまでのデータ系譜(lineage)を追跡しているか</t>
        </is>
      </c>
      <c r="F93" s="4" t="inlineStr">
        <is>
          <t>MLOps ライフサイクルの一部としてデータ発見・系譜追跡・ガバナンスが機能しており、任意のモデルについて訓練データの起源を照会できる</t>
        </is>
      </c>
      <c r="G93" s="4" t="inlineStr">
        <is>
          <t>怠ると説明可能性・監査対応ができず、前処理で混入したバイアスの特定も不可能になる。</t>
        </is>
      </c>
      <c r="H93" s="4" t="inlineStr">
        <is>
          <t>Design Training Data for AI Workloads on Azure &gt; Lineage tracking</t>
        </is>
      </c>
      <c r="I93" s="4" t="inlineStr">
        <is>
          <t>AZURE-DELTA</t>
        </is>
      </c>
      <c r="J93" s="4" t="inlineStr">
        <is>
          <t>Azure採用時に、CLOUD-COMMONで未評価のAzure固有差分へ適用。</t>
        </is>
      </c>
      <c r="K93" s="4" t="inlineStr">
        <is>
          <t>SRC-AZR-AI</t>
        </is>
      </c>
      <c r="L93" s="4" t="inlineStr"/>
      <c r="M93" s="4" t="n"/>
      <c r="N93" s="4" t="n"/>
      <c r="O93" s="4" t="n"/>
      <c r="P93" s="4" t="n"/>
      <c r="Q93" s="4" t="n"/>
      <c r="R93" s="4" t="n"/>
      <c r="S93" s="4" t="n"/>
      <c r="T93" s="4" t="n"/>
      <c r="U93" s="4" t="n"/>
      <c r="V93" s="4" t="n"/>
      <c r="W93" s="4" t="n"/>
    </row>
    <row r="94">
      <c r="A94" s="5" t="inlineStr">
        <is>
          <t>AZR-220</t>
        </is>
      </c>
      <c r="B94" s="5" t="inlineStr">
        <is>
          <t>WAF</t>
        </is>
      </c>
      <c r="C94" s="4" t="inlineStr">
        <is>
          <t>AI: training data design</t>
        </is>
      </c>
      <c r="D94" s="10" t="inlineStr">
        <is>
          <t>Medium</t>
        </is>
      </c>
      <c r="E94" s="4" t="inlineStr">
        <is>
          <t>AZR-220に関する統制範囲・責任者・適用条件が一つの設計判断として定義されている</t>
        </is>
      </c>
      <c r="F94" s="4" t="inlineStr">
        <is>
          <t>対象コンポーネント、責任者、適用・非適用条件、関連する個別統制IDが文書化されている</t>
        </is>
      </c>
      <c r="G94" s="4" t="inlineStr">
        <is>
          <t>複合項目を個別に判定できるサブ統制へ分解し、親項目は適用範囲の統制に限定する。</t>
        </is>
      </c>
      <c r="H94" s="4" t="inlineStr">
        <is>
          <t>Design Training Data for AI Workloads on Azure &gt; Feature store design &gt; Design considerations / Data retention</t>
        </is>
      </c>
      <c r="I94" s="4" t="inlineStr">
        <is>
          <t>AZURE-DELTA</t>
        </is>
      </c>
      <c r="J94" s="4" t="inlineStr">
        <is>
          <t>Azure採用時に、CLOUD-COMMONで未評価のAzure固有差分へ適用。</t>
        </is>
      </c>
      <c r="K94" s="4" t="inlineStr">
        <is>
          <t>SRC-AZR-AI</t>
        </is>
      </c>
      <c r="L94" s="4" t="inlineStr"/>
      <c r="M94" s="4" t="n"/>
      <c r="N94" s="4" t="n"/>
      <c r="O94" s="4" t="n"/>
      <c r="P94" s="4" t="n"/>
      <c r="Q94" s="4" t="n"/>
      <c r="R94" s="4" t="n"/>
      <c r="S94" s="4" t="n"/>
      <c r="T94" s="4" t="n"/>
      <c r="U94" s="4" t="n"/>
      <c r="V94" s="4" t="n"/>
      <c r="W94" s="4" t="n"/>
    </row>
    <row r="95">
      <c r="A95" s="5" t="inlineStr">
        <is>
          <t>AZR-259</t>
        </is>
      </c>
      <c r="B95" s="5" t="inlineStr">
        <is>
          <t>WAF</t>
        </is>
      </c>
      <c r="C95" s="4" t="inlineStr">
        <is>
          <t>AI: training data design</t>
        </is>
      </c>
      <c r="D95" s="10" t="inlineStr">
        <is>
          <t>Medium</t>
        </is>
      </c>
      <c r="E95" s="4" t="inlineStr">
        <is>
          <t>公開済み特徴量を不変とし、変更を新バージョンとして管理している</t>
        </is>
      </c>
      <c r="F95" s="4" t="inlineStr">
        <is>
          <t>利用中特徴量が上書きされず、版ごとの定義・生成コード・利用モデルへ遡れる</t>
        </is>
      </c>
      <c r="G95" s="4" t="inlineStr">
        <is>
          <t>公開済み特徴量を不変とし、変更を新バージョンとして管理していることを独立に判定し、部分実装を一括Passにしない。</t>
        </is>
      </c>
      <c r="H95" s="4" t="inlineStr">
        <is>
          <t>Design Training Data for AI Workloads on Azure &gt; Feature store design &gt; Design considerations / Data retention</t>
        </is>
      </c>
      <c r="I95" s="4" t="inlineStr">
        <is>
          <t>AZURE-DELTA</t>
        </is>
      </c>
      <c r="J95" s="4" t="inlineStr">
        <is>
          <t>Azure採用時に、CLOUD-COMMONで未評価のAzure固有差分へ適用。</t>
        </is>
      </c>
      <c r="K95" s="4" t="inlineStr">
        <is>
          <t>SRC-AZR-AI</t>
        </is>
      </c>
      <c r="L95" s="4" t="inlineStr"/>
      <c r="M95" s="4" t="n"/>
      <c r="N95" s="4" t="n"/>
      <c r="O95" s="4" t="n"/>
      <c r="P95" s="4" t="n"/>
      <c r="Q95" s="4" t="n"/>
      <c r="R95" s="4" t="n"/>
      <c r="S95" s="4" t="n"/>
      <c r="T95" s="4" t="n"/>
      <c r="U95" s="4" t="n"/>
      <c r="V95" s="4" t="n"/>
      <c r="W95" s="4" t="n"/>
    </row>
    <row r="96">
      <c r="A96" s="5" t="inlineStr">
        <is>
          <t>AZR-260</t>
        </is>
      </c>
      <c r="B96" s="5" t="inlineStr">
        <is>
          <t>WAF</t>
        </is>
      </c>
      <c r="C96" s="4" t="inlineStr">
        <is>
          <t>AI: training data design</t>
        </is>
      </c>
      <c r="D96" s="10" t="inlineStr">
        <is>
          <t>Medium</t>
        </is>
      </c>
      <c r="E96" s="4" t="inlineStr">
        <is>
          <t>特徴量の命名規約と所有者を定義している</t>
        </is>
      </c>
      <c r="F96" s="4" t="inlineStr">
        <is>
          <t>意味、型、時間基準、所有者を識別できる名称・メタデータがある</t>
        </is>
      </c>
      <c r="G96" s="4" t="inlineStr">
        <is>
          <t>特徴量の命名規約と所有者を定義していることを独立に判定し、部分実装を一括Passにしない。</t>
        </is>
      </c>
      <c r="H96" s="4" t="inlineStr">
        <is>
          <t>Design Training Data for AI Workloads on Azure &gt; Feature store design &gt; Design considerations / Data retention</t>
        </is>
      </c>
      <c r="I96" s="4" t="inlineStr">
        <is>
          <t>AZURE-DELTA</t>
        </is>
      </c>
      <c r="J96" s="4" t="inlineStr">
        <is>
          <t>Azure採用時に、CLOUD-COMMONで未評価のAzure固有差分へ適用。</t>
        </is>
      </c>
      <c r="K96" s="4" t="inlineStr">
        <is>
          <t>SRC-AZR-AI</t>
        </is>
      </c>
      <c r="L96" s="4" t="inlineStr"/>
      <c r="M96" s="4" t="n"/>
      <c r="N96" s="4" t="n"/>
      <c r="O96" s="4" t="n"/>
      <c r="P96" s="4" t="n"/>
      <c r="Q96" s="4" t="n"/>
      <c r="R96" s="4" t="n"/>
      <c r="S96" s="4" t="n"/>
      <c r="T96" s="4" t="n"/>
      <c r="U96" s="4" t="n"/>
      <c r="V96" s="4" t="n"/>
      <c r="W96" s="4" t="n"/>
    </row>
    <row r="97">
      <c r="A97" s="5" t="inlineStr">
        <is>
          <t>AZR-261</t>
        </is>
      </c>
      <c r="B97" s="5" t="inlineStr">
        <is>
          <t>WAF</t>
        </is>
      </c>
      <c r="C97" s="4" t="inlineStr">
        <is>
          <t>AI: training data design</t>
        </is>
      </c>
      <c r="D97" s="10" t="inlineStr">
        <is>
          <t>Medium</t>
        </is>
      </c>
      <c r="E97" s="4" t="inlineStr">
        <is>
          <t>特徴量のドリフトと品質劣化を自動検知している</t>
        </is>
      </c>
      <c r="F97" s="4" t="inlineStr">
        <is>
          <t>欠損、分布、鮮度、異常値の監視と閾値超過時の通知がある</t>
        </is>
      </c>
      <c r="G97" s="4" t="inlineStr">
        <is>
          <t>特徴量のドリフトと品質劣化を自動検知していることを独立に判定し、部分実装を一括Passにしない。</t>
        </is>
      </c>
      <c r="H97" s="4" t="inlineStr">
        <is>
          <t>Design Training Data for AI Workloads on Azure &gt; Feature store design &gt; Design considerations / Data retention</t>
        </is>
      </c>
      <c r="I97" s="4" t="inlineStr">
        <is>
          <t>AZURE-DELTA</t>
        </is>
      </c>
      <c r="J97" s="4" t="inlineStr">
        <is>
          <t>Azure採用時に、CLOUD-COMMONで未評価のAzure固有差分へ適用。</t>
        </is>
      </c>
      <c r="K97" s="4" t="inlineStr">
        <is>
          <t>SRC-AZR-AI</t>
        </is>
      </c>
      <c r="L97" s="4" t="inlineStr"/>
      <c r="M97" s="4" t="n"/>
      <c r="N97" s="4" t="n"/>
      <c r="O97" s="4" t="n"/>
      <c r="P97" s="4" t="n"/>
      <c r="Q97" s="4" t="n"/>
      <c r="R97" s="4" t="n"/>
      <c r="S97" s="4" t="n"/>
      <c r="T97" s="4" t="n"/>
      <c r="U97" s="4" t="n"/>
      <c r="V97" s="4" t="n"/>
      <c r="W97" s="4" t="n"/>
    </row>
    <row r="98">
      <c r="A98" s="5" t="inlineStr">
        <is>
          <t>AZR-262</t>
        </is>
      </c>
      <c r="B98" s="5" t="inlineStr">
        <is>
          <t>WAF</t>
        </is>
      </c>
      <c r="C98" s="4" t="inlineStr">
        <is>
          <t>AI: training data design</t>
        </is>
      </c>
      <c r="D98" s="10" t="inlineStr">
        <is>
          <t>Medium</t>
        </is>
      </c>
      <c r="E98" s="4" t="inlineStr">
        <is>
          <t>未使用・低品質な特徴量を廃止する手順がある</t>
        </is>
      </c>
      <c r="F98" s="4" t="inlineStr">
        <is>
          <t>利用関係を確認したうえで非推奨化・削除し、影響モデルを再評価する記録がある</t>
        </is>
      </c>
      <c r="G98" s="4" t="inlineStr">
        <is>
          <t>未使用・低品質な特徴量を廃止する手順があることを独立に判定し、部分実装を一括Passにしない。</t>
        </is>
      </c>
      <c r="H98" s="4" t="inlineStr">
        <is>
          <t>Design Training Data for AI Workloads on Azure &gt; Feature store design &gt; Design considerations / Data retention</t>
        </is>
      </c>
      <c r="I98" s="4" t="inlineStr">
        <is>
          <t>AZURE-DELTA</t>
        </is>
      </c>
      <c r="J98" s="4" t="inlineStr">
        <is>
          <t>Azure採用時に、CLOUD-COMMONで未評価のAzure固有差分へ適用。</t>
        </is>
      </c>
      <c r="K98" s="4" t="inlineStr">
        <is>
          <t>SRC-AZR-AI</t>
        </is>
      </c>
      <c r="L98" s="4" t="inlineStr"/>
      <c r="M98" s="4" t="n"/>
      <c r="N98" s="4" t="n"/>
      <c r="O98" s="4" t="n"/>
      <c r="P98" s="4" t="n"/>
      <c r="Q98" s="4" t="n"/>
      <c r="R98" s="4" t="n"/>
      <c r="S98" s="4" t="n"/>
      <c r="T98" s="4" t="n"/>
      <c r="U98" s="4" t="n"/>
      <c r="V98" s="4" t="n"/>
      <c r="W98" s="4" t="n"/>
    </row>
    <row r="99">
      <c r="A99" s="5" t="inlineStr">
        <is>
          <t>AZR-221</t>
        </is>
      </c>
      <c r="B99" s="5" t="inlineStr">
        <is>
          <t>WAF</t>
        </is>
      </c>
      <c r="C99" s="4" t="inlineStr">
        <is>
          <t>AI: training data design</t>
        </is>
      </c>
      <c r="D99" s="9" t="inlineStr">
        <is>
          <t>High</t>
        </is>
      </c>
      <c r="E99" s="4" t="inlineStr">
        <is>
          <t>災害復旧のためにモデルを再生成できるよう、訓練データの保持方針とプライマリと同等の要件を満たすセカンダリデータパイプラインを用意しているか</t>
        </is>
      </c>
      <c r="F99" s="4" t="inlineStr">
        <is>
          <t>モデル再構築に必要なデータ・構成の保持期間が定義され、DR 時のモデル再生成手順が文書化されている</t>
        </is>
      </c>
      <c r="G99" s="4" t="inlineStr">
        <is>
          <t>怠ると障害発生時に稼働していたモデルを復元できず、復旧が長期化する。</t>
        </is>
      </c>
      <c r="H99" s="4" t="inlineStr">
        <is>
          <t>Design Training Data for AI Workloads on Azure &gt; Data maintenance &gt; Data retention</t>
        </is>
      </c>
      <c r="I99" s="4" t="inlineStr">
        <is>
          <t>AZURE-DELTA</t>
        </is>
      </c>
      <c r="J99" s="4" t="inlineStr">
        <is>
          <t>Azure採用時に、CLOUD-COMMONで未評価のAzure固有差分へ適用。</t>
        </is>
      </c>
      <c r="K99" s="4" t="inlineStr">
        <is>
          <t>SRC-AZR-AI</t>
        </is>
      </c>
      <c r="L99" s="4" t="inlineStr">
        <is>
          <t>CONTINUITY-DR</t>
        </is>
      </c>
      <c r="M99" s="4" t="n"/>
      <c r="N99" s="4" t="n"/>
      <c r="O99" s="4" t="n"/>
      <c r="P99" s="4" t="n"/>
      <c r="Q99" s="4" t="n"/>
      <c r="R99" s="4" t="n"/>
      <c r="S99" s="4" t="n"/>
      <c r="T99" s="4" t="n"/>
      <c r="U99" s="4" t="n"/>
      <c r="V99" s="4" t="n"/>
      <c r="W99" s="4" t="n"/>
    </row>
    <row r="100">
      <c r="A100" s="5" t="inlineStr">
        <is>
          <t>AZR-222</t>
        </is>
      </c>
      <c r="B100" s="5" t="inlineStr">
        <is>
          <t>WAF</t>
        </is>
      </c>
      <c r="C100" s="4" t="inlineStr">
        <is>
          <t>AI: grounding data design</t>
        </is>
      </c>
      <c r="D100" s="10" t="inlineStr">
        <is>
          <t>Medium</t>
        </is>
      </c>
      <c r="E100" s="4" t="inlineStr">
        <is>
          <t>グラウンディングデータをソースシステムへの直接クエリではなく Azure AI Search 等の検索インデックスに外部化し、インデックス技術を要件のケイパビリティマトリクスで評価・選定しているか</t>
        </is>
      </c>
      <c r="F100" s="4" t="inlineStr">
        <is>
          <t>検索インデックスの選定評価記録があり、AI クエリがソースシステムの本来用途に負荷影響を与えない構成になっている</t>
        </is>
      </c>
      <c r="G100" s="4" t="inlineStr">
        <is>
          <t>怠るとソースシステムに過負荷がかかり、本来業務とAI機能双方の可用性・性能が劣化する。</t>
        </is>
      </c>
      <c r="H100" s="4" t="inlineStr">
        <is>
          <t>Grounding Data Design for AI Workloads on Azure &gt; Indexing &gt; Specialized index technology</t>
        </is>
      </c>
      <c r="I100" s="4" t="inlineStr">
        <is>
          <t>AZURE-DELTA</t>
        </is>
      </c>
      <c r="J100" s="4" t="inlineStr">
        <is>
          <t>Azure採用時に、CLOUD-COMMONで未評価のAzure固有差分へ適用。</t>
        </is>
      </c>
      <c r="K100" s="4" t="inlineStr">
        <is>
          <t>SRC-AZR-AI</t>
        </is>
      </c>
      <c r="L100" s="4" t="inlineStr"/>
      <c r="M100" s="4" t="n"/>
      <c r="N100" s="4" t="n"/>
      <c r="O100" s="4" t="n"/>
      <c r="P100" s="4" t="n"/>
      <c r="Q100" s="4" t="n"/>
      <c r="R100" s="4" t="n"/>
      <c r="S100" s="4" t="n"/>
      <c r="T100" s="4" t="n"/>
      <c r="U100" s="4" t="n"/>
      <c r="V100" s="4" t="n"/>
      <c r="W100" s="4" t="n"/>
    </row>
    <row r="101">
      <c r="A101" s="5" t="inlineStr">
        <is>
          <t>AZR-223</t>
        </is>
      </c>
      <c r="B101" s="5" t="inlineStr">
        <is>
          <t>WAF</t>
        </is>
      </c>
      <c r="C101" s="4" t="inlineStr">
        <is>
          <t>AI: grounding data design</t>
        </is>
      </c>
      <c r="D101" s="8" t="inlineStr">
        <is>
          <t>Critical</t>
        </is>
      </c>
      <c r="E101" s="4" t="inlineStr">
        <is>
          <t>ソースデータをインデックスへコピーする際に、ソースのデータ分類ラベルを尊重し、不要な個人情報・機微情報をインデックスに格納していないか。緊急時にインデックスから特定ドキュメントを即時削除する手順があるか</t>
        </is>
      </c>
      <c r="F101" s="4" t="inlineStr">
        <is>
          <t>インデックス投入前の前処理で機微データの除外/マスキングが行われ、機微フラグ付きデータが一般向けデータストアに存在せず、緊急削除(emergency updates)手順が文書化されている</t>
        </is>
      </c>
      <c r="G101" s="4" t="inlineStr">
        <is>
          <t>怠るとインデックス経由で機微情報が漏えいし、漏えい発覚時にも即時除去ができない。</t>
        </is>
      </c>
      <c r="H101" s="4" t="inlineStr">
        <is>
          <t>Grounding Data Design for AI Workloads on Azure &gt; Data preparation &gt; Data volume rescoping(Sensitive data)/ Index maintenance &gt; Deployment strategy(Emergency updates)</t>
        </is>
      </c>
      <c r="I101" s="4" t="inlineStr">
        <is>
          <t>AZURE-DELTA</t>
        </is>
      </c>
      <c r="J101" s="4" t="inlineStr">
        <is>
          <t>Azure採用時に、CLOUD-COMMONで未評価のAzure固有差分へ適用。</t>
        </is>
      </c>
      <c r="K101" s="4" t="inlineStr">
        <is>
          <t>SRC-AZR-AI</t>
        </is>
      </c>
      <c r="L101" s="4" t="inlineStr">
        <is>
          <t>PRIVACY</t>
        </is>
      </c>
      <c r="M101" s="4" t="n"/>
      <c r="N101" s="4" t="n"/>
      <c r="O101" s="4" t="n"/>
      <c r="P101" s="4" t="n"/>
      <c r="Q101" s="4" t="n"/>
      <c r="R101" s="4" t="n"/>
      <c r="S101" s="4" t="n"/>
      <c r="T101" s="4" t="n"/>
      <c r="U101" s="4" t="n"/>
      <c r="V101" s="4" t="n"/>
      <c r="W101" s="4" t="n"/>
    </row>
    <row r="102">
      <c r="A102" s="5" t="inlineStr">
        <is>
          <t>AZR-224</t>
        </is>
      </c>
      <c r="B102" s="5" t="inlineStr">
        <is>
          <t>WAF</t>
        </is>
      </c>
      <c r="C102" s="4" t="inlineStr">
        <is>
          <t>AI: grounding data design</t>
        </is>
      </c>
      <c r="D102" s="10" t="inlineStr">
        <is>
          <t>Medium</t>
        </is>
      </c>
      <c r="E102" s="4" t="inlineStr">
        <is>
          <t>インデックス更新は side-by-side デプロイ(新インデックスを並行構築・テスト後に切替)を基本とし、スキーマ変更をコード更新と協調させ、ロールバック可能にしているか</t>
        </is>
      </c>
      <c r="F102" s="4" t="inlineStr">
        <is>
          <t>インデックス更新手順が side-by-side を原則として文書化され、切替前のデータ検証と旧インデックスへの復旧手段がある</t>
        </is>
      </c>
      <c r="G102" s="4" t="inlineStr">
        <is>
          <t>in-place 更新はダウンタイムや SLO 違反のリスクがあり、未検証データでの推論は品質事故につながる。</t>
        </is>
      </c>
      <c r="H102" s="4" t="inlineStr">
        <is>
          <t>Grounding Data Design for AI Workloads on Azure &gt; Index maintenance &gt; Deployment strategy(Side-by-side deployments)/ Maintaining compatibility</t>
        </is>
      </c>
      <c r="I102" s="4" t="inlineStr">
        <is>
          <t>AZURE-DELTA</t>
        </is>
      </c>
      <c r="J102" s="4" t="inlineStr">
        <is>
          <t>Azure採用時に、CLOUD-COMMONで未評価のAzure固有差分へ適用。</t>
        </is>
      </c>
      <c r="K102" s="4" t="inlineStr">
        <is>
          <t>SRC-AZR-AI</t>
        </is>
      </c>
      <c r="L102" s="4" t="inlineStr">
        <is>
          <t>CONTINUITY-DR</t>
        </is>
      </c>
      <c r="M102" s="4" t="n"/>
      <c r="N102" s="4" t="n"/>
      <c r="O102" s="4" t="n"/>
      <c r="P102" s="4" t="n"/>
      <c r="Q102" s="4" t="n"/>
      <c r="R102" s="4" t="n"/>
      <c r="S102" s="4" t="n"/>
      <c r="T102" s="4" t="n"/>
      <c r="U102" s="4" t="n"/>
      <c r="V102" s="4" t="n"/>
      <c r="W102" s="4" t="n"/>
    </row>
    <row r="103">
      <c r="A103" s="5" t="inlineStr">
        <is>
          <t>AZR-225</t>
        </is>
      </c>
      <c r="B103" s="5" t="inlineStr">
        <is>
          <t>WAF</t>
        </is>
      </c>
      <c r="C103" s="4" t="inlineStr">
        <is>
          <t>AI: grounding data design</t>
        </is>
      </c>
      <c r="D103" s="10" t="inlineStr">
        <is>
          <t>Medium</t>
        </is>
      </c>
      <c r="E103" s="4" t="inlineStr">
        <is>
          <t>ソースデータの作成/変更からインデックス反映までの時間(freshness)を計測し、SLO と照合して古いデータでの推論を防いでいるか</t>
        </is>
      </c>
      <c r="F103" s="4" t="inlineStr">
        <is>
          <t>freshness 指標が定義・計測され、SLO 逸脱時のパイプライン改善プロセスがある</t>
        </is>
      </c>
      <c r="G103" s="4" t="inlineStr">
        <is>
          <t>怠ると古いグラウンディングデータに基づく不正確な応答が返り続ける。</t>
        </is>
      </c>
      <c r="H103" s="4" t="inlineStr">
        <is>
          <t>Grounding Data Design for AI Workloads on Azure &gt; Index maintenance &gt; Freshness operations / Recommendations &gt; Update your index to prevent inferencing on stale data</t>
        </is>
      </c>
      <c r="I103" s="4" t="inlineStr">
        <is>
          <t>AZURE-DELTA</t>
        </is>
      </c>
      <c r="J103" s="4" t="inlineStr">
        <is>
          <t>Azure採用時に、CLOUD-COMMONで未評価のAzure固有差分へ適用。</t>
        </is>
      </c>
      <c r="K103" s="4" t="inlineStr">
        <is>
          <t>SRC-AZR-AI</t>
        </is>
      </c>
      <c r="L103" s="4" t="inlineStr"/>
      <c r="M103" s="4" t="n"/>
      <c r="N103" s="4" t="n"/>
      <c r="O103" s="4" t="n"/>
      <c r="P103" s="4" t="n"/>
      <c r="Q103" s="4" t="n"/>
      <c r="R103" s="4" t="n"/>
      <c r="S103" s="4" t="n"/>
      <c r="T103" s="4" t="n"/>
      <c r="U103" s="4" t="n"/>
      <c r="V103" s="4" t="n"/>
      <c r="W103" s="4" t="n"/>
    </row>
    <row r="104">
      <c r="A104" s="5" t="inlineStr">
        <is>
          <t>AZR-226</t>
        </is>
      </c>
      <c r="B104" s="5" t="inlineStr">
        <is>
          <t>WAF</t>
        </is>
      </c>
      <c r="C104" s="4" t="inlineStr">
        <is>
          <t>AI: grounding data design</t>
        </is>
      </c>
      <c r="D104" s="10" t="inlineStr">
        <is>
          <t>Medium</t>
        </is>
      </c>
      <c r="E104" s="4" t="inlineStr">
        <is>
          <t>チャンキング戦略(または full-document grounding)がモデルのコンテキストウィンドウ・トークン上限と整合し、埋め込み(embeddings)の選定・前処理(正規化・エンリッチメント)を反復実験で改善しているか</t>
        </is>
      </c>
      <c r="F104" s="4" t="inlineStr">
        <is>
          <t>チャンクサイズがモデルのトークン上限以下であることが確認され、チャンキング/埋め込みの実験と評価の記録がある</t>
        </is>
      </c>
      <c r="G104" s="4" t="inlineStr">
        <is>
          <t>怠るとテキストの切り捨てや検索関連性低下により応答精度が下がり、トークンコストも増大する。</t>
        </is>
      </c>
      <c r="H104" s="4" t="inlineStr">
        <is>
          <t>Grounding Data Design for AI Workloads on Azure &gt; Data preparation &gt; Chunking and the context window size</t>
        </is>
      </c>
      <c r="I104" s="4" t="inlineStr">
        <is>
          <t>AZURE-DELTA</t>
        </is>
      </c>
      <c r="J104" s="4" t="inlineStr">
        <is>
          <t>Azure採用時に、CLOUD-COMMONで未評価のAzure固有差分へ適用。</t>
        </is>
      </c>
      <c r="K104" s="4" t="inlineStr">
        <is>
          <t>SRC-AZR-AI</t>
        </is>
      </c>
      <c r="L104" s="4" t="inlineStr"/>
      <c r="M104" s="4" t="n"/>
      <c r="N104" s="4" t="n"/>
      <c r="O104" s="4" t="n"/>
      <c r="P104" s="4" t="n"/>
      <c r="Q104" s="4" t="n"/>
      <c r="R104" s="4" t="n"/>
      <c r="S104" s="4" t="n"/>
      <c r="T104" s="4" t="n"/>
      <c r="U104" s="4" t="n"/>
      <c r="V104" s="4" t="n"/>
      <c r="W104" s="4" t="n"/>
    </row>
    <row r="105">
      <c r="A105" s="5" t="inlineStr">
        <is>
          <t>AZR-227</t>
        </is>
      </c>
      <c r="B105" s="5" t="inlineStr">
        <is>
          <t>WAF</t>
        </is>
      </c>
      <c r="C105" s="4" t="inlineStr">
        <is>
          <t>AI: grounding data design</t>
        </is>
      </c>
      <c r="D105" s="9" t="inlineStr">
        <is>
          <t>High</t>
        </is>
      </c>
      <c r="E105" s="4" t="inlineStr">
        <is>
          <t>個人データが訓練・グラウンディングに使用された場合の「忘れられる権利(RTBF)」への対応として、再インデックスやソース削除の反映によりインデックスから個人データを除去するポリシーと手段があるか</t>
        </is>
      </c>
      <c r="F105" s="4" t="inlineStr">
        <is>
          <t>個人データ削除要求への対応手順(再インデックス、ソフトデリート検出等)が文書化され、削除がインデックスに反映されることが検証されている</t>
        </is>
      </c>
      <c r="G105" s="4" t="inlineStr">
        <is>
          <t>怠ると GDPR 等の規制違反となり、削除済みのはずの個人データが応答に出現する。</t>
        </is>
      </c>
      <c r="H105" s="4" t="inlineStr">
        <is>
          <t>Grounding Data Design for AI Workloads on Azure &gt; Index maintenance &gt; Maintenance criteria(Data deletion)</t>
        </is>
      </c>
      <c r="I105" s="4" t="inlineStr">
        <is>
          <t>AZURE-DELTA</t>
        </is>
      </c>
      <c r="J105" s="4" t="inlineStr">
        <is>
          <t>Azure採用時に、CLOUD-COMMONで未評価のAzure固有差分へ適用。</t>
        </is>
      </c>
      <c r="K105" s="4" t="inlineStr">
        <is>
          <t>SRC-AZR-AI</t>
        </is>
      </c>
      <c r="L105" s="4" t="inlineStr">
        <is>
          <t>PRIVACY</t>
        </is>
      </c>
      <c r="M105" s="4" t="n"/>
      <c r="N105" s="4" t="n"/>
      <c r="O105" s="4" t="n"/>
      <c r="P105" s="4" t="n"/>
      <c r="Q105" s="4" t="n"/>
      <c r="R105" s="4" t="n"/>
      <c r="S105" s="4" t="n"/>
      <c r="T105" s="4" t="n"/>
      <c r="U105" s="4" t="n"/>
      <c r="V105" s="4" t="n"/>
      <c r="W105" s="4" t="n"/>
    </row>
    <row r="106">
      <c r="A106" s="5" t="inlineStr">
        <is>
          <t>AZR-228</t>
        </is>
      </c>
      <c r="B106" s="5" t="inlineStr">
        <is>
          <t>WAF</t>
        </is>
      </c>
      <c r="C106" s="4" t="inlineStr">
        <is>
          <t>AI: data platform</t>
        </is>
      </c>
      <c r="D106" s="9" t="inlineStr">
        <is>
          <t>High</t>
        </is>
      </c>
      <c r="E106" s="4" t="inlineStr">
        <is>
          <t>検索インデックス(Azure AI Search 等)は推論エンドポイントと同等の信頼性を持つよう、ゾーン冗長、自動復旧・インデックス再構築容易性、インデックスエイリアス/スワップによる無停止更新を備えているか</t>
        </is>
      </c>
      <c r="F106" s="4" t="inlineStr">
        <is>
          <t>インデックスの高可用性構成(ゾーン冗長等)と、破損時の再構築手順、エイリアスによる切替が構成・文書化されている。再インデックス中のスループット低下を考慮した容量計画がある</t>
        </is>
      </c>
      <c r="G106" s="4" t="inlineStr">
        <is>
          <t>怠るとリアルタイム推論パスの一部であるインデックス障害が AI 機能全体を停止させる。</t>
        </is>
      </c>
      <c r="H106" s="4" t="inlineStr">
        <is>
          <t>Data Platform for AI Workloads on Azure &gt; Considerations for a search index &gt; Does the index have built-in reliability features?</t>
        </is>
      </c>
      <c r="I106" s="4" t="inlineStr">
        <is>
          <t>AZURE-DELTA</t>
        </is>
      </c>
      <c r="J106" s="4" t="inlineStr">
        <is>
          <t>Azure採用時に、CLOUD-COMMONで未評価のAzure固有差分へ適用。</t>
        </is>
      </c>
      <c r="K106" s="4" t="inlineStr">
        <is>
          <t>SRC-AZR-AI</t>
        </is>
      </c>
      <c r="L106" s="4" t="inlineStr">
        <is>
          <t>RELIABILITY-HA</t>
        </is>
      </c>
      <c r="M106" s="4" t="n"/>
      <c r="N106" s="4" t="n"/>
      <c r="O106" s="4" t="n"/>
      <c r="P106" s="4" t="n"/>
      <c r="Q106" s="4" t="n"/>
      <c r="R106" s="4" t="n"/>
      <c r="S106" s="4" t="n"/>
      <c r="T106" s="4" t="n"/>
      <c r="U106" s="4" t="n"/>
      <c r="V106" s="4" t="n"/>
      <c r="W106" s="4" t="n"/>
    </row>
    <row r="107">
      <c r="A107" s="5" t="inlineStr">
        <is>
          <t>AZR-229</t>
        </is>
      </c>
      <c r="B107" s="5" t="inlineStr">
        <is>
          <t>WAF</t>
        </is>
      </c>
      <c r="C107" s="4" t="inlineStr">
        <is>
          <t>AI: data platform</t>
        </is>
      </c>
      <c r="D107" s="9" t="inlineStr">
        <is>
          <t>High</t>
        </is>
      </c>
      <c r="E107" s="4" t="inlineStr">
        <is>
          <t>ベクトル(埋め込み)ストアを機微データストアとして扱い、保存時/転送時の暗号化、厳格なアクセス制御、プライベートネットワーク接続、埋め込みエンドポイントの異常監視を適用しているか(埋め込み反転・データポイズニング・不正アクセスへの防御)</t>
        </is>
      </c>
      <c r="F107" s="4" t="inlineStr">
        <is>
          <t>ベクトルインデックスとバックアップに本番データストアと同等の暗号化・アクセス制御・ネットワーク統制が適用され、埋め込みエンドポイントの監視が構成されている</t>
        </is>
      </c>
      <c r="G107" s="4" t="inlineStr">
        <is>
          <t>埋め込みから元テキストが復元され得るため、保護を怠ると機微情報の漏えいや改ざんが起きる。</t>
        </is>
      </c>
      <c r="H107" s="4" t="inlineStr">
        <is>
          <t>Data Platform for AI Workloads on Azure &gt; Considerations for a search index &gt; Do the security features of the index fulfill your security data design?</t>
        </is>
      </c>
      <c r="I107" s="4" t="inlineStr">
        <is>
          <t>AZURE-DELTA</t>
        </is>
      </c>
      <c r="J107" s="4" t="inlineStr">
        <is>
          <t>Azure採用時に、CLOUD-COMMONで未評価のAzure固有差分へ適用。</t>
        </is>
      </c>
      <c r="K107" s="4" t="inlineStr">
        <is>
          <t>SRC-AZR-AI</t>
        </is>
      </c>
      <c r="L107" s="4" t="inlineStr">
        <is>
          <t>SEC-CRYPTO;OPS-OBSERVABILITY</t>
        </is>
      </c>
      <c r="M107" s="4" t="n"/>
      <c r="N107" s="4" t="n"/>
      <c r="O107" s="4" t="n"/>
      <c r="P107" s="4" t="n"/>
      <c r="Q107" s="4" t="n"/>
      <c r="R107" s="4" t="n"/>
      <c r="S107" s="4" t="n"/>
      <c r="T107" s="4" t="n"/>
      <c r="U107" s="4" t="n"/>
      <c r="V107" s="4" t="n"/>
      <c r="W107" s="4" t="n"/>
    </row>
    <row r="108">
      <c r="A108" s="5" t="inlineStr">
        <is>
          <t>AZR-230</t>
        </is>
      </c>
      <c r="B108" s="5" t="inlineStr">
        <is>
          <t>WAF</t>
        </is>
      </c>
      <c r="C108" s="4" t="inlineStr">
        <is>
          <t>AI: data platform</t>
        </is>
      </c>
      <c r="D108" s="9" t="inlineStr">
        <is>
          <t>High</t>
        </is>
      </c>
      <c r="E108" s="4" t="inlineStr">
        <is>
          <t>Azure AI Search のセキュリティフィルタや Microsoft Entra ID 統合等により、ドキュメントレベルのアクセス制御(ユーザー ID に基づく結果フィルタリング)を実装しているか。マネージド ID による認証を使用しているか</t>
        </is>
      </c>
      <c r="F108" s="4" t="inlineStr">
        <is>
          <t>共有インデックスに対するドキュメントレベル/クエリレベルのフィルタが実装・テストされ、インデックスへの認証がマネージド ID 経由である</t>
        </is>
      </c>
      <c r="G108" s="4" t="inlineStr">
        <is>
          <t>怠ると共有インデックス経由で他ユーザー・他テナントの文書が漏えいする。</t>
        </is>
      </c>
      <c r="H108" s="4" t="inlineStr">
        <is>
          <t>Data Platform for AI Workloads on Azure &gt; Considerations for a search index &gt; Do the security features of the index fulfill your security data design?(Document-level access controls)</t>
        </is>
      </c>
      <c r="I108" s="4" t="inlineStr">
        <is>
          <t>AZURE-DELTA</t>
        </is>
      </c>
      <c r="J108" s="4" t="inlineStr">
        <is>
          <t>Azure採用時に、CLOUD-COMMONで未評価のAzure固有差分へ適用。</t>
        </is>
      </c>
      <c r="K108" s="4" t="inlineStr">
        <is>
          <t>SRC-AZR-AI</t>
        </is>
      </c>
      <c r="L108" s="4" t="inlineStr">
        <is>
          <t>SEC-IAM</t>
        </is>
      </c>
      <c r="M108" s="4" t="n"/>
      <c r="N108" s="4" t="n"/>
      <c r="O108" s="4" t="n"/>
      <c r="P108" s="4" t="n"/>
      <c r="Q108" s="4" t="n"/>
      <c r="R108" s="4" t="n"/>
      <c r="S108" s="4" t="n"/>
      <c r="T108" s="4" t="n"/>
      <c r="U108" s="4" t="n"/>
      <c r="V108" s="4" t="n"/>
      <c r="W108" s="4" t="n"/>
    </row>
    <row r="109">
      <c r="A109" s="5" t="inlineStr">
        <is>
          <t>AZR-231</t>
        </is>
      </c>
      <c r="B109" s="5" t="inlineStr">
        <is>
          <t>WAF</t>
        </is>
      </c>
      <c r="C109" s="4" t="inlineStr">
        <is>
          <t>AI: data platform</t>
        </is>
      </c>
      <c r="D109" s="10" t="inlineStr">
        <is>
          <t>Medium</t>
        </is>
      </c>
      <c r="E109" s="4" t="inlineStr">
        <is>
          <t>データ取り込み・加工パイプラインは Azure Data Factory / Azure Databricks / Microsoft Fabric 等のオーケストレータで、ジョブ依存関係・進捗追跡・ログ/メトリクス/アラートを備えて構築されているか。データ量・信頼性要件に見合う技術を選定しているか</t>
        </is>
      </c>
      <c r="F109" s="4" t="inlineStr">
        <is>
          <t>パイプラインにジョブ監視・リトライが構成され、想定データ量(並列化・分散実行の要否)と信頼性要件に基づく技術選定記録がある</t>
        </is>
      </c>
      <c r="G109" s="4" t="inlineStr">
        <is>
          <t>怠るとパイプライン障害が検知されず、古い/不完全なデータでの学習・推論が発生する。</t>
        </is>
      </c>
      <c r="H109" s="4" t="inlineStr">
        <is>
          <t>Data Platform for AI Workloads on Azure &gt; Considerations for data processing platform &gt; Is there a built-in orchestrator for managing workflows? / What monitoring capabilities do you need?</t>
        </is>
      </c>
      <c r="I109" s="4" t="inlineStr">
        <is>
          <t>AZURE-DELTA</t>
        </is>
      </c>
      <c r="J109" s="4" t="inlineStr">
        <is>
          <t>Azure採用時に、CLOUD-COMMONで未評価のAzure固有差分へ適用。</t>
        </is>
      </c>
      <c r="K109" s="4" t="inlineStr">
        <is>
          <t>SRC-AZR-AI</t>
        </is>
      </c>
      <c r="L109" s="4" t="inlineStr">
        <is>
          <t>OPS-OBSERVABILITY</t>
        </is>
      </c>
      <c r="M109" s="4" t="n"/>
      <c r="N109" s="4" t="n"/>
      <c r="O109" s="4" t="n"/>
      <c r="P109" s="4" t="n"/>
      <c r="Q109" s="4" t="n"/>
      <c r="R109" s="4" t="n"/>
      <c r="S109" s="4" t="n"/>
      <c r="T109" s="4" t="n"/>
      <c r="U109" s="4" t="n"/>
      <c r="V109" s="4" t="n"/>
      <c r="W109" s="4" t="n"/>
    </row>
    <row r="110">
      <c r="A110" s="5" t="inlineStr">
        <is>
          <t>AZR-232</t>
        </is>
      </c>
      <c r="B110" s="5" t="inlineStr">
        <is>
          <t>WAF</t>
        </is>
      </c>
      <c r="C110" s="4" t="inlineStr">
        <is>
          <t>AI: data platform</t>
        </is>
      </c>
      <c r="D110" s="10" t="inlineStr">
        <is>
          <t>Medium</t>
        </is>
      </c>
      <c r="E110" s="4" t="inlineStr">
        <is>
          <t>AZR-232に関する統制範囲・責任者・適用条件が一つの設計判断として定義されている</t>
        </is>
      </c>
      <c r="F110" s="4" t="inlineStr">
        <is>
          <t>対象コンポーネント、責任者、適用・非適用条件、関連する個別統制IDが文書化されている</t>
        </is>
      </c>
      <c r="G110" s="4" t="inlineStr">
        <is>
          <t>複合項目を個別に判定できるサブ統制へ分解し、親項目は適用範囲の統制に限定する。</t>
        </is>
      </c>
      <c r="H110" s="4" t="inlineStr">
        <is>
          <t>Data Platform for AI Workloads on Azure &gt; Considerations for data storage platform &gt; Do you need to support data sovereignty or regional compliance requirements?</t>
        </is>
      </c>
      <c r="I110" s="4" t="inlineStr">
        <is>
          <t>AZURE-DELTA</t>
        </is>
      </c>
      <c r="J110" s="4" t="inlineStr">
        <is>
          <t>Azure採用時に、CLOUD-COMMONで未評価のAzure固有差分へ適用。</t>
        </is>
      </c>
      <c r="K110" s="4" t="inlineStr">
        <is>
          <t>SRC-AZR-AI</t>
        </is>
      </c>
      <c r="L110" s="4" t="inlineStr"/>
      <c r="M110" s="4" t="n"/>
      <c r="N110" s="4" t="n"/>
      <c r="O110" s="4" t="n"/>
      <c r="P110" s="4" t="n"/>
      <c r="Q110" s="4" t="n"/>
      <c r="R110" s="4" t="n"/>
      <c r="S110" s="4" t="n"/>
      <c r="T110" s="4" t="n"/>
      <c r="U110" s="4" t="n"/>
      <c r="V110" s="4" t="n"/>
      <c r="W110" s="4" t="n"/>
    </row>
    <row r="111">
      <c r="A111" s="5" t="inlineStr">
        <is>
          <t>AZR-263</t>
        </is>
      </c>
      <c r="B111" s="5" t="inlineStr">
        <is>
          <t>WAF</t>
        </is>
      </c>
      <c r="C111" s="4" t="inlineStr">
        <is>
          <t>AI: data platform</t>
        </is>
      </c>
      <c r="D111" s="10" t="inlineStr">
        <is>
          <t>Medium</t>
        </is>
      </c>
      <c r="E111" s="4" t="inlineStr">
        <is>
          <t>データ主権要件に基づきソブリンクラウド利用の要否を評価している</t>
        </is>
      </c>
      <c r="F111" s="4" t="inlineStr">
        <is>
          <t>対象データ・処理・運用者と地域要件を対応付け、採否を承認している</t>
        </is>
      </c>
      <c r="G111" s="4" t="inlineStr">
        <is>
          <t>データ主権要件に基づきソブリンクラウド利用の要否を評価していることを独立に判定し、部分実装を一括Passにしない。</t>
        </is>
      </c>
      <c r="H111" s="4" t="inlineStr">
        <is>
          <t>Data Platform for AI Workloads on Azure &gt; Considerations for data storage platform &gt; Do you need to support data sovereignty or regional compliance requirements?</t>
        </is>
      </c>
      <c r="I111" s="4" t="inlineStr">
        <is>
          <t>AZURE-DELTA</t>
        </is>
      </c>
      <c r="J111" s="4" t="inlineStr">
        <is>
          <t>Azure採用時に、CLOUD-COMMONで未評価のAzure固有差分へ適用。</t>
        </is>
      </c>
      <c r="K111" s="4" t="inlineStr">
        <is>
          <t>SRC-AZR-AI</t>
        </is>
      </c>
      <c r="L111" s="4" t="inlineStr"/>
      <c r="M111" s="4" t="n"/>
      <c r="N111" s="4" t="n"/>
      <c r="O111" s="4" t="n"/>
      <c r="P111" s="4" t="n"/>
      <c r="Q111" s="4" t="n"/>
      <c r="R111" s="4" t="n"/>
      <c r="S111" s="4" t="n"/>
      <c r="T111" s="4" t="n"/>
      <c r="U111" s="4" t="n"/>
      <c r="V111" s="4" t="n"/>
      <c r="W111" s="4" t="n"/>
    </row>
    <row r="112">
      <c r="A112" s="5" t="inlineStr">
        <is>
          <t>AZR-264</t>
        </is>
      </c>
      <c r="B112" s="5" t="inlineStr">
        <is>
          <t>WAF</t>
        </is>
      </c>
      <c r="C112" s="4" t="inlineStr">
        <is>
          <t>AI: data platform</t>
        </is>
      </c>
      <c r="D112" s="10" t="inlineStr">
        <is>
          <t>Medium</t>
        </is>
      </c>
      <c r="E112" s="4" t="inlineStr">
        <is>
          <t>Microsoft Purview等で対象データをカタログ化・分類し、系譜を追跡している</t>
        </is>
      </c>
      <c r="F112" s="4" t="inlineStr">
        <is>
          <t>ソースからAI利用先まで分類ラベルと変換履歴を確認できる</t>
        </is>
      </c>
      <c r="G112" s="4" t="inlineStr">
        <is>
          <t>Microsoft Purview等で対象データをカタログ化・分類し、系譜を追跡していることを独立に判定し、部分実装を一括Passにしない。</t>
        </is>
      </c>
      <c r="H112" s="4" t="inlineStr">
        <is>
          <t>Data Platform for AI Workloads on Azure &gt; Considerations for data storage platform &gt; Do you need to support data sovereignty or regional compliance requirements?</t>
        </is>
      </c>
      <c r="I112" s="4" t="inlineStr">
        <is>
          <t>AZURE-DELTA</t>
        </is>
      </c>
      <c r="J112" s="4" t="inlineStr">
        <is>
          <t>Azure採用時に、CLOUD-COMMONで未評価のAzure固有差分へ適用。</t>
        </is>
      </c>
      <c r="K112" s="4" t="inlineStr">
        <is>
          <t>SRC-AZR-AI</t>
        </is>
      </c>
      <c r="L112" s="4" t="inlineStr">
        <is>
          <t>OPS-OBSERVABILITY</t>
        </is>
      </c>
      <c r="M112" s="4" t="n"/>
      <c r="N112" s="4" t="n"/>
      <c r="O112" s="4" t="n"/>
      <c r="P112" s="4" t="n"/>
      <c r="Q112" s="4" t="n"/>
      <c r="R112" s="4" t="n"/>
      <c r="S112" s="4" t="n"/>
      <c r="T112" s="4" t="n"/>
      <c r="U112" s="4" t="n"/>
      <c r="V112" s="4" t="n"/>
      <c r="W112" s="4" t="n"/>
    </row>
    <row r="113">
      <c r="A113" s="5" t="inlineStr">
        <is>
          <t>AZR-265</t>
        </is>
      </c>
      <c r="B113" s="5" t="inlineStr">
        <is>
          <t>WAF</t>
        </is>
      </c>
      <c r="C113" s="4" t="inlineStr">
        <is>
          <t>AI: data platform</t>
        </is>
      </c>
      <c r="D113" s="10" t="inlineStr">
        <is>
          <t>Medium</t>
        </is>
      </c>
      <c r="E113" s="4" t="inlineStr">
        <is>
          <t>機密性要件に応じConfidential Computingとカスタマーマネージドキーを評価・適用している</t>
        </is>
      </c>
      <c r="F113" s="4" t="inlineStr">
        <is>
          <t>脅威モデルに基づく採否、鍵管理、実装確認がある</t>
        </is>
      </c>
      <c r="G113" s="4" t="inlineStr">
        <is>
          <t>機密性要件に応じConfidential Computingとカスタマーマネージドキーを評価・適用していることを独立に判定し、部分実装を一括Passにしない。</t>
        </is>
      </c>
      <c r="H113" s="4" t="inlineStr">
        <is>
          <t>Data Platform for AI Workloads on Azure &gt; Considerations for data storage platform &gt; Do you need to support data sovereignty or regional compliance requirements?</t>
        </is>
      </c>
      <c r="I113" s="4" t="inlineStr">
        <is>
          <t>AZURE-DELTA</t>
        </is>
      </c>
      <c r="J113" s="4" t="inlineStr">
        <is>
          <t>Azure採用時に、CLOUD-COMMONで未評価のAzure固有差分へ適用。</t>
        </is>
      </c>
      <c r="K113" s="4" t="inlineStr">
        <is>
          <t>SRC-AZR-AI</t>
        </is>
      </c>
      <c r="L113" s="4" t="inlineStr"/>
      <c r="M113" s="4" t="n"/>
      <c r="N113" s="4" t="n"/>
      <c r="O113" s="4" t="n"/>
      <c r="P113" s="4" t="n"/>
      <c r="Q113" s="4" t="n"/>
      <c r="R113" s="4" t="n"/>
      <c r="S113" s="4" t="n"/>
      <c r="T113" s="4" t="n"/>
      <c r="U113" s="4" t="n"/>
      <c r="V113" s="4" t="n"/>
      <c r="W113" s="4" t="n"/>
    </row>
    <row r="114">
      <c r="A114" s="5" t="inlineStr">
        <is>
          <t>AZR-266</t>
        </is>
      </c>
      <c r="B114" s="5" t="inlineStr">
        <is>
          <t>WAF</t>
        </is>
      </c>
      <c r="C114" s="4" t="inlineStr">
        <is>
          <t>AI: data platform</t>
        </is>
      </c>
      <c r="D114" s="10" t="inlineStr">
        <is>
          <t>Medium</t>
        </is>
      </c>
      <c r="E114" s="4" t="inlineStr">
        <is>
          <t>対象リージョンで必要なAzureサービスと機能が提供されることを事前確認している</t>
        </is>
      </c>
      <c r="F114" s="4" t="inlineStr">
        <is>
          <t>必要SKU・クォータ・可用性ゾーン・プレビュー制約の確認記録がある</t>
        </is>
      </c>
      <c r="G114" s="4" t="inlineStr">
        <is>
          <t>対象リージョンで必要なAzureサービスと機能が提供されることを事前確認していることを独立に判定し、部分実装を一括Passにしない。</t>
        </is>
      </c>
      <c r="H114" s="4" t="inlineStr">
        <is>
          <t>Data Platform for AI Workloads on Azure &gt; Considerations for data storage platform &gt; Do you need to support data sovereignty or regional compliance requirements?</t>
        </is>
      </c>
      <c r="I114" s="4" t="inlineStr">
        <is>
          <t>AZURE-DELTA</t>
        </is>
      </c>
      <c r="J114" s="4" t="inlineStr">
        <is>
          <t>Azure採用時に、CLOUD-COMMONで未評価のAzure固有差分へ適用。</t>
        </is>
      </c>
      <c r="K114" s="4" t="inlineStr">
        <is>
          <t>SRC-AZR-AI</t>
        </is>
      </c>
      <c r="L114" s="4" t="inlineStr"/>
      <c r="M114" s="4" t="n"/>
      <c r="N114" s="4" t="n"/>
      <c r="O114" s="4" t="n"/>
      <c r="P114" s="4" t="n"/>
      <c r="Q114" s="4" t="n"/>
      <c r="R114" s="4" t="n"/>
      <c r="S114" s="4" t="n"/>
      <c r="T114" s="4" t="n"/>
      <c r="U114" s="4" t="n"/>
      <c r="V114" s="4" t="n"/>
      <c r="W114" s="4" t="n"/>
    </row>
    <row r="115">
      <c r="A115" s="5" t="inlineStr">
        <is>
          <t>AZR-233</t>
        </is>
      </c>
      <c r="B115" s="5" t="inlineStr">
        <is>
          <t>WAF</t>
        </is>
      </c>
      <c r="C115" s="4" t="inlineStr">
        <is>
          <t>AI: MLOps・GenAIOps</t>
        </is>
      </c>
      <c r="D115" s="9" t="inlineStr">
        <is>
          <t>High</t>
        </is>
      </c>
      <c r="E115" s="4" t="inlineStr">
        <is>
          <t>モデルの作成・検証・昇格を Azure Machine Learning パイプライン、Azure Pipelines、GitHub Actions 等のデプロイパイプラインで自動化し、非決定的な AI に対応する定性的テスト(品質ゲート)をリリースパイプラインに組み込んでいるか</t>
        </is>
      </c>
      <c r="F115" s="4" t="inlineStr">
        <is>
          <t>モデル・オーケストレーションコード・インフラの CI/CD が構成され、手動デプロイが禁止され、リリース前の品質評価ゲートが存在する</t>
        </is>
      </c>
      <c r="G115" s="4" t="inlineStr">
        <is>
          <t>怠るとデプロイの再現性がなく、品質劣化したモデルが検証なしに本番へ到達する。</t>
        </is>
      </c>
      <c r="H115" s="4" t="inlineStr">
        <is>
          <t>MLOps and GenAIOps for AI Workloads on Azure &gt; Deployment pipelines / Automation</t>
        </is>
      </c>
      <c r="I115" s="4" t="inlineStr">
        <is>
          <t>AZURE-DELTA</t>
        </is>
      </c>
      <c r="J115" s="4" t="inlineStr">
        <is>
          <t>Azure採用時に、CLOUD-COMMONで未評価のAzure固有差分へ適用。</t>
        </is>
      </c>
      <c r="K115" s="4" t="inlineStr">
        <is>
          <t>SRC-AZR-AI</t>
        </is>
      </c>
      <c r="L115" s="4" t="inlineStr"/>
      <c r="M115" s="4" t="n"/>
      <c r="N115" s="4" t="n"/>
      <c r="O115" s="4" t="n"/>
      <c r="P115" s="4" t="n"/>
      <c r="Q115" s="4" t="n"/>
      <c r="R115" s="4" t="n"/>
      <c r="S115" s="4" t="n"/>
      <c r="T115" s="4" t="n"/>
      <c r="U115" s="4" t="n"/>
      <c r="V115" s="4" t="n"/>
      <c r="W115" s="4" t="n"/>
    </row>
    <row r="116">
      <c r="A116" s="5" t="inlineStr">
        <is>
          <t>AZR-234</t>
        </is>
      </c>
      <c r="B116" s="5" t="inlineStr">
        <is>
          <t>WAF</t>
        </is>
      </c>
      <c r="C116" s="4" t="inlineStr">
        <is>
          <t>AI: MLOps・GenAIOps</t>
        </is>
      </c>
      <c r="D116" s="10" t="inlineStr">
        <is>
          <t>Medium</t>
        </is>
      </c>
      <c r="E116" s="4" t="inlineStr">
        <is>
          <t>MLflow 互換の Azure Machine Learning ワークスペース等で、実験のコードバージョン・環境・パラメータ・実行・結果を追跡し、再現性を確保しているか</t>
        </is>
      </c>
      <c r="F116" s="4" t="inlineStr">
        <is>
          <t>全学習実験がツールで追跡され、任意のモデルバージョンについて生成時の条件を再現できる</t>
        </is>
      </c>
      <c r="G116" s="4" t="inlineStr">
        <is>
          <t>怠ると実験の再現・比較ができず、本番モデルの由来を説明できない。</t>
        </is>
      </c>
      <c r="H116" s="4" t="inlineStr">
        <is>
          <t>MLOps and GenAIOps for AI Workloads on Azure &gt; Workload operations lifecycle &gt; MLOps &gt; Tools</t>
        </is>
      </c>
      <c r="I116" s="4" t="inlineStr">
        <is>
          <t>AZURE-DELTA</t>
        </is>
      </c>
      <c r="J116" s="4" t="inlineStr">
        <is>
          <t>Azure採用時に、CLOUD-COMMONで未評価のAzure固有差分へ適用。</t>
        </is>
      </c>
      <c r="K116" s="4" t="inlineStr">
        <is>
          <t>SRC-AZR-AI</t>
        </is>
      </c>
      <c r="L116" s="4" t="inlineStr"/>
      <c r="M116" s="4" t="n"/>
      <c r="N116" s="4" t="n"/>
      <c r="O116" s="4" t="n"/>
      <c r="P116" s="4" t="n"/>
      <c r="Q116" s="4" t="n"/>
      <c r="R116" s="4" t="n"/>
      <c r="S116" s="4" t="n"/>
      <c r="T116" s="4" t="n"/>
      <c r="U116" s="4" t="n"/>
      <c r="V116" s="4" t="n"/>
      <c r="W116" s="4" t="n"/>
    </row>
    <row r="117">
      <c r="A117" s="5" t="inlineStr">
        <is>
          <t>AZR-235</t>
        </is>
      </c>
      <c r="B117" s="5" t="inlineStr">
        <is>
          <t>WAF</t>
        </is>
      </c>
      <c r="C117" s="4" t="inlineStr">
        <is>
          <t>AI: MLOps・GenAIOps</t>
        </is>
      </c>
      <c r="D117" s="9" t="inlineStr">
        <is>
          <t>High</t>
        </is>
      </c>
      <c r="E117" s="4" t="inlineStr">
        <is>
          <t>モデルの本番投入は Azure Machine Learning のブルーグリーンデプロイ(トラフィック分割)やカナリア等の漸進的公開プロセスで行い、ロールバック手段を確保しているか</t>
        </is>
      </c>
      <c r="F117" s="4" t="inlineStr">
        <is>
          <t>デプロイ戦略(canary/blue-green、トラフィック分割率)が定義され、デプロイ前検証ステップとロールバック手順が存在する</t>
        </is>
      </c>
      <c r="G117" s="4" t="inlineStr">
        <is>
          <t>怠ると不良モデルが全ユーザーに一斉公開され、品質事故の影響範囲が最大化する。</t>
        </is>
      </c>
      <c r="H117" s="4" t="inlineStr">
        <is>
          <t>MLOps and GenAIOps for AI Workloads on Azure &gt; Workload operations lifecycle &gt; Deployment / Tools</t>
        </is>
      </c>
      <c r="I117" s="4" t="inlineStr">
        <is>
          <t>AZURE-DELTA</t>
        </is>
      </c>
      <c r="J117" s="4" t="inlineStr">
        <is>
          <t>Azure採用時に、CLOUD-COMMONで未評価のAzure固有差分へ適用。</t>
        </is>
      </c>
      <c r="K117" s="4" t="inlineStr">
        <is>
          <t>SRC-AZR-AI</t>
        </is>
      </c>
      <c r="L117" s="4" t="inlineStr"/>
      <c r="M117" s="4" t="n"/>
      <c r="N117" s="4" t="n"/>
      <c r="O117" s="4" t="n"/>
      <c r="P117" s="4" t="n"/>
      <c r="Q117" s="4" t="n"/>
      <c r="R117" s="4" t="n"/>
      <c r="S117" s="4" t="n"/>
      <c r="T117" s="4" t="n"/>
      <c r="U117" s="4" t="n"/>
      <c r="V117" s="4" t="n"/>
      <c r="W117" s="4" t="n"/>
    </row>
    <row r="118">
      <c r="A118" s="5" t="inlineStr">
        <is>
          <t>AZR-236</t>
        </is>
      </c>
      <c r="B118" s="5" t="inlineStr">
        <is>
          <t>WAF</t>
        </is>
      </c>
      <c r="C118" s="4" t="inlineStr">
        <is>
          <t>AI: MLOps・GenAIOps</t>
        </is>
      </c>
      <c r="D118" s="9" t="inlineStr">
        <is>
          <t>High</t>
        </is>
      </c>
      <c r="E118" s="4" t="inlineStr">
        <is>
          <t>Azure Machine Learning Data collector と Model Monitoring 等により、本番推論データの収集、データドリフト・モデル性能・生成 AI の安全性/品質の継続監視と、劣化検知時の評価・再学習の自動化を構成しているか</t>
        </is>
      </c>
      <c r="F118" s="4" t="inlineStr">
        <is>
          <t>推論エンドポイントからの入出力収集と、リファレンスデータセットとの比較によるドリフト監視、閾値逸脱時のアラート・再学習トリガーが構成されている</t>
        </is>
      </c>
      <c r="G118" s="4" t="inlineStr">
        <is>
          <t>怠るとモデル劣化(decay)が検知されず、不正確な結果が長期間ユーザーに提供される。</t>
        </is>
      </c>
      <c r="H118" s="4" t="inlineStr">
        <is>
          <t>MLOps and GenAIOps for AI Workloads on Azure &gt; Workload operations lifecycle &gt; Monitoring / Model maintenance</t>
        </is>
      </c>
      <c r="I118" s="4" t="inlineStr">
        <is>
          <t>AZURE-DELTA</t>
        </is>
      </c>
      <c r="J118" s="4" t="inlineStr">
        <is>
          <t>Azure採用時に、CLOUD-COMMONで未評価のAzure固有差分へ適用。</t>
        </is>
      </c>
      <c r="K118" s="4" t="inlineStr">
        <is>
          <t>SRC-AZR-AI</t>
        </is>
      </c>
      <c r="L118" s="4" t="inlineStr">
        <is>
          <t>OPS-OBSERVABILITY</t>
        </is>
      </c>
      <c r="M118" s="4" t="n"/>
      <c r="N118" s="4" t="n"/>
      <c r="O118" s="4" t="n"/>
      <c r="P118" s="4" t="n"/>
      <c r="Q118" s="4" t="n"/>
      <c r="R118" s="4" t="n"/>
      <c r="S118" s="4" t="n"/>
      <c r="T118" s="4" t="n"/>
      <c r="U118" s="4" t="n"/>
      <c r="V118" s="4" t="n"/>
      <c r="W118" s="4" t="n"/>
    </row>
    <row r="119">
      <c r="A119" s="5" t="inlineStr">
        <is>
          <t>AZR-237</t>
        </is>
      </c>
      <c r="B119" s="5" t="inlineStr">
        <is>
          <t>WAF</t>
        </is>
      </c>
      <c r="C119" s="4" t="inlineStr">
        <is>
          <t>AI: MLOps・GenAIOps</t>
        </is>
      </c>
      <c r="D119" s="10" t="inlineStr">
        <is>
          <t>Medium</t>
        </is>
      </c>
      <c r="E119" s="4" t="inlineStr">
        <is>
          <t>モデルを開発環境で本番データにより訓練しアーティファクトのみ昇格するか、環境ごとに訓練するかを、セキュリティとコンピュートコストのトレードオフで判断・文書化しているか。自動化コードにデータ系譜を組み込み監査可能性を確保しているか</t>
        </is>
      </c>
      <c r="F119" s="4" t="inlineStr">
        <is>
          <t>訓練方式の選定理由が SDLC 方針として文書化され、下位環境で本番データを扱う場合の追加セキュリティ統制が定義され、データ処理段階の記録が自動で残る</t>
        </is>
      </c>
      <c r="G119" s="4" t="inlineStr">
        <is>
          <t>無自覚な方式選定は本番データの漏えりまたはコスト超過を招き、系譜がないと判断根拠を説明できない。</t>
        </is>
      </c>
      <c r="H119" s="4" t="inlineStr">
        <is>
          <t>MLOps and GenAIOps for AI Workloads on Azure &gt; Automation(Models can be trained with two distinct approaches / incorporate data lineage)</t>
        </is>
      </c>
      <c r="I119" s="4" t="inlineStr">
        <is>
          <t>AZURE-DELTA</t>
        </is>
      </c>
      <c r="J119" s="4" t="inlineStr">
        <is>
          <t>Azure採用時に、CLOUD-COMMONで未評価のAzure固有差分へ適用。</t>
        </is>
      </c>
      <c r="K119" s="4" t="inlineStr">
        <is>
          <t>SRC-AZR-AI</t>
        </is>
      </c>
      <c r="L119" s="4" t="inlineStr">
        <is>
          <t>COST</t>
        </is>
      </c>
      <c r="M119" s="4" t="n"/>
      <c r="N119" s="4" t="n"/>
      <c r="O119" s="4" t="n"/>
      <c r="P119" s="4" t="n"/>
      <c r="Q119" s="4" t="n"/>
      <c r="R119" s="4" t="n"/>
      <c r="S119" s="4" t="n"/>
      <c r="T119" s="4" t="n"/>
      <c r="U119" s="4" t="n"/>
      <c r="V119" s="4" t="n"/>
      <c r="W119" s="4" t="n"/>
    </row>
    <row r="120">
      <c r="A120" s="5" t="inlineStr">
        <is>
          <t>AZR-238</t>
        </is>
      </c>
      <c r="B120" s="5" t="inlineStr">
        <is>
          <t>WAF</t>
        </is>
      </c>
      <c r="C120" s="4" t="inlineStr">
        <is>
          <t>AI: operations</t>
        </is>
      </c>
      <c r="D120" s="9" t="inlineStr">
        <is>
          <t>High</t>
        </is>
      </c>
      <c r="E120" s="4" t="inlineStr">
        <is>
          <t>オブザーバビリティプラットフォームを AI 向けに拡張し、モデル鮮度・出力正確性・応答レイテンシ等の品質メトリクスをデータサイエンティストと合意して定義し、ダッシュボードと実行可能なアラート、対応する標準運用手順(SOP)を整備しているか</t>
        </is>
      </c>
      <c r="F120" s="4" t="inlineStr">
        <is>
          <t>品質メトリクスの定義と閾値が文書化され、可用性+品質を含むダッシュボードが存在し、品質アラート発生時の運用チームとデータチームの協働手順が codify されている</t>
        </is>
      </c>
      <c r="G120" s="4" t="inlineStr">
        <is>
          <t>怠ると非決定的な AI の品質劣化が検知・対処されず、ユーザー影響が長期化する。</t>
        </is>
      </c>
      <c r="H120" s="4" t="inlineStr">
        <is>
          <t>AI Workload Operations on Azure &gt; Extend the observability platform</t>
        </is>
      </c>
      <c r="I120" s="4" t="inlineStr">
        <is>
          <t>AZURE-DELTA</t>
        </is>
      </c>
      <c r="J120" s="4" t="inlineStr">
        <is>
          <t>Azure採用時に、CLOUD-COMMONで未評価のAzure固有差分へ適用。</t>
        </is>
      </c>
      <c r="K120" s="4" t="inlineStr">
        <is>
          <t>SRC-AZR-AI</t>
        </is>
      </c>
      <c r="L120" s="4" t="inlineStr">
        <is>
          <t>OPS-OBSERVABILITY</t>
        </is>
      </c>
      <c r="M120" s="4" t="n"/>
      <c r="N120" s="4" t="n"/>
      <c r="O120" s="4" t="n"/>
      <c r="P120" s="4" t="n"/>
      <c r="Q120" s="4" t="n"/>
      <c r="R120" s="4" t="n"/>
      <c r="S120" s="4" t="n"/>
      <c r="T120" s="4" t="n"/>
      <c r="U120" s="4" t="n"/>
      <c r="V120" s="4" t="n"/>
      <c r="W120" s="4" t="n"/>
    </row>
    <row r="121">
      <c r="A121" s="5" t="inlineStr">
        <is>
          <t>AZR-239</t>
        </is>
      </c>
      <c r="B121" s="5" t="inlineStr">
        <is>
          <t>WAF</t>
        </is>
      </c>
      <c r="C121" s="4" t="inlineStr">
        <is>
          <t>AI: operations</t>
        </is>
      </c>
      <c r="D121" s="10" t="inlineStr">
        <is>
          <t>Medium</t>
        </is>
      </c>
      <c r="E121" s="4" t="inlineStr">
        <is>
          <t>AZR-239に関する統制範囲・責任者・適用条件が一つの設計判断として定義されている</t>
        </is>
      </c>
      <c r="F121" s="4" t="inlineStr">
        <is>
          <t>対象コンポーネント、責任者、適用・非適用条件、関連する個別統制IDが文書化されている</t>
        </is>
      </c>
      <c r="G121" s="4" t="inlineStr">
        <is>
          <t>複合項目を個別に判定できるサブ統制へ分解し、親項目は適用範囲の統制に限定する。</t>
        </is>
      </c>
      <c r="H121" s="4" t="inlineStr">
        <is>
          <t>AI Workload Operations on Azure &gt; Include AI workload components in your safe deployment practices</t>
        </is>
      </c>
      <c r="I121" s="4" t="inlineStr">
        <is>
          <t>AZURE-DELTA</t>
        </is>
      </c>
      <c r="J121" s="4" t="inlineStr">
        <is>
          <t>Azure採用時に、CLOUD-COMMONで未評価のAzure固有差分へ適用。</t>
        </is>
      </c>
      <c r="K121" s="4" t="inlineStr">
        <is>
          <t>SRC-AZR-AI</t>
        </is>
      </c>
      <c r="L121" s="4" t="inlineStr"/>
      <c r="M121" s="4" t="n"/>
      <c r="N121" s="4" t="n"/>
      <c r="O121" s="4" t="n"/>
      <c r="P121" s="4" t="n"/>
      <c r="Q121" s="4" t="n"/>
      <c r="R121" s="4" t="n"/>
      <c r="S121" s="4" t="n"/>
      <c r="T121" s="4" t="n"/>
      <c r="U121" s="4" t="n"/>
      <c r="V121" s="4" t="n"/>
      <c r="W121" s="4" t="n"/>
    </row>
    <row r="122">
      <c r="A122" s="5" t="inlineStr">
        <is>
          <t>AZR-267</t>
        </is>
      </c>
      <c r="B122" s="5" t="inlineStr">
        <is>
          <t>WAF</t>
        </is>
      </c>
      <c r="C122" s="4" t="inlineStr">
        <is>
          <t>AI: operations</t>
        </is>
      </c>
      <c r="D122" s="10" t="inlineStr">
        <is>
          <t>Medium</t>
        </is>
      </c>
      <c r="E122" s="4" t="inlineStr">
        <is>
          <t>推論エンドポイントをblue-green／カナリア等で安全に更新できる</t>
        </is>
      </c>
      <c r="F122" s="4" t="inlineStr">
        <is>
          <t>トラフィック分割、評価、停止条件、ロールバックがテストされている</t>
        </is>
      </c>
      <c r="G122" s="4" t="inlineStr">
        <is>
          <t>推論エンドポイントをblue-green／カナリア等で安全に更新できることを独立に判定し、部分実装を一括Passにしない。</t>
        </is>
      </c>
      <c r="H122" s="4" t="inlineStr">
        <is>
          <t>AI Workload Operations on Azure &gt; Include AI workload components in your safe deployment practices</t>
        </is>
      </c>
      <c r="I122" s="4" t="inlineStr">
        <is>
          <t>AZURE-DELTA</t>
        </is>
      </c>
      <c r="J122" s="4" t="inlineStr">
        <is>
          <t>Azure採用時に、CLOUD-COMMONで未評価のAzure固有差分へ適用。</t>
        </is>
      </c>
      <c r="K122" s="4" t="inlineStr">
        <is>
          <t>SRC-AZR-AI</t>
        </is>
      </c>
      <c r="L122" s="4" t="inlineStr"/>
      <c r="M122" s="4" t="n"/>
      <c r="N122" s="4" t="n"/>
      <c r="O122" s="4" t="n"/>
      <c r="P122" s="4" t="n"/>
      <c r="Q122" s="4" t="n"/>
      <c r="R122" s="4" t="n"/>
      <c r="S122" s="4" t="n"/>
      <c r="T122" s="4" t="n"/>
      <c r="U122" s="4" t="n"/>
      <c r="V122" s="4" t="n"/>
      <c r="W122" s="4" t="n"/>
    </row>
    <row r="123">
      <c r="A123" s="5" t="inlineStr">
        <is>
          <t>AZR-268</t>
        </is>
      </c>
      <c r="B123" s="5" t="inlineStr">
        <is>
          <t>WAF</t>
        </is>
      </c>
      <c r="C123" s="4" t="inlineStr">
        <is>
          <t>AI: operations</t>
        </is>
      </c>
      <c r="D123" s="10" t="inlineStr">
        <is>
          <t>Medium</t>
        </is>
      </c>
      <c r="E123" s="4" t="inlineStr">
        <is>
          <t>検索インデックスをside-by-side構築し、エイリアス切替で安全に更新できる</t>
        </is>
      </c>
      <c r="F123" s="4" t="inlineStr">
        <is>
          <t>旧新インデックスの並行検証、切替、戻し手順がある</t>
        </is>
      </c>
      <c r="G123" s="4" t="inlineStr">
        <is>
          <t>検索インデックスをside-by-side構築し、エイリアス切替で安全に更新できることを独立に判定し、部分実装を一括Passにしない。</t>
        </is>
      </c>
      <c r="H123" s="4" t="inlineStr">
        <is>
          <t>AI Workload Operations on Azure &gt; Include AI workload components in your safe deployment practices</t>
        </is>
      </c>
      <c r="I123" s="4" t="inlineStr">
        <is>
          <t>AZURE-DELTA</t>
        </is>
      </c>
      <c r="J123" s="4" t="inlineStr">
        <is>
          <t>Azure採用時に、CLOUD-COMMONで未評価のAzure固有差分へ適用。</t>
        </is>
      </c>
      <c r="K123" s="4" t="inlineStr">
        <is>
          <t>SRC-AZR-AI</t>
        </is>
      </c>
      <c r="L123" s="4" t="inlineStr">
        <is>
          <t>CONTINUITY-DR</t>
        </is>
      </c>
      <c r="M123" s="4" t="n"/>
      <c r="N123" s="4" t="n"/>
      <c r="O123" s="4" t="n"/>
      <c r="P123" s="4" t="n"/>
      <c r="Q123" s="4" t="n"/>
      <c r="R123" s="4" t="n"/>
      <c r="S123" s="4" t="n"/>
      <c r="T123" s="4" t="n"/>
      <c r="U123" s="4" t="n"/>
      <c r="V123" s="4" t="n"/>
      <c r="W123" s="4" t="n"/>
    </row>
    <row r="124">
      <c r="A124" s="5" t="inlineStr">
        <is>
          <t>AZR-269</t>
        </is>
      </c>
      <c r="B124" s="5" t="inlineStr">
        <is>
          <t>WAF</t>
        </is>
      </c>
      <c r="C124" s="4" t="inlineStr">
        <is>
          <t>AI: operations</t>
        </is>
      </c>
      <c r="D124" s="10" t="inlineStr">
        <is>
          <t>Medium</t>
        </is>
      </c>
      <c r="E124" s="4" t="inlineStr">
        <is>
          <t>オーケストレーションコードをフィーチャーフラグまたはblue-greenで安全に更新できる</t>
        </is>
      </c>
      <c r="F124" s="4" t="inlineStr">
        <is>
          <t>段階公開、依存互換性確認、即時無効化が可能である</t>
        </is>
      </c>
      <c r="G124" s="4" t="inlineStr">
        <is>
          <t>オーケストレーションコードをフィーチャーフラグまたはblue-greenで安全に更新できることを独立に判定し、部分実装を一括Passにしない。</t>
        </is>
      </c>
      <c r="H124" s="4" t="inlineStr">
        <is>
          <t>AI Workload Operations on Azure &gt; Include AI workload components in your safe deployment practices</t>
        </is>
      </c>
      <c r="I124" s="4" t="inlineStr">
        <is>
          <t>AZURE-DELTA</t>
        </is>
      </c>
      <c r="J124" s="4" t="inlineStr">
        <is>
          <t>Azure採用時に、CLOUD-COMMONで未評価のAzure固有差分へ適用。</t>
        </is>
      </c>
      <c r="K124" s="4" t="inlineStr">
        <is>
          <t>SRC-AZR-AI</t>
        </is>
      </c>
      <c r="L124" s="4" t="inlineStr"/>
      <c r="M124" s="4" t="n"/>
      <c r="N124" s="4" t="n"/>
      <c r="O124" s="4" t="n"/>
      <c r="P124" s="4" t="n"/>
      <c r="Q124" s="4" t="n"/>
      <c r="R124" s="4" t="n"/>
      <c r="S124" s="4" t="n"/>
      <c r="T124" s="4" t="n"/>
      <c r="U124" s="4" t="n"/>
      <c r="V124" s="4" t="n"/>
      <c r="W124" s="4" t="n"/>
    </row>
    <row r="125">
      <c r="A125" s="5" t="inlineStr">
        <is>
          <t>AZR-240</t>
        </is>
      </c>
      <c r="B125" s="5" t="inlineStr">
        <is>
          <t>WAF</t>
        </is>
      </c>
      <c r="C125" s="4" t="inlineStr">
        <is>
          <t>AI: testing and evaluation</t>
        </is>
      </c>
      <c r="D125" s="10" t="inlineStr">
        <is>
          <t>Medium</t>
        </is>
      </c>
      <c r="E125" s="4" t="inlineStr">
        <is>
          <t>AZR-240に関する統制範囲・責任者・適用条件が一つの設計判断として定義されている</t>
        </is>
      </c>
      <c r="F125" s="4" t="inlineStr">
        <is>
          <t>対象コンポーネント、責任者、適用・非適用条件、関連する個別統制IDが文書化されている</t>
        </is>
      </c>
      <c r="G125" s="4" t="inlineStr">
        <is>
          <t>複合項目を個別に判定できるサブ統制へ分解し、親項目は適用範囲の統制に限定する。</t>
        </is>
      </c>
      <c r="H125" s="4" t="inlineStr">
        <is>
          <t>Test and Evaluate AI Workloads on Azure &gt; Validate agentic workflows</t>
        </is>
      </c>
      <c r="I125" s="4" t="inlineStr">
        <is>
          <t>AZURE-DELTA</t>
        </is>
      </c>
      <c r="J125" s="4" t="inlineStr">
        <is>
          <t>Azure採用時に、CLOUD-COMMONで未評価のAzure固有差分へ適用。</t>
        </is>
      </c>
      <c r="K125" s="4" t="inlineStr">
        <is>
          <t>SRC-AZR-AI</t>
        </is>
      </c>
      <c r="L125" s="4" t="inlineStr"/>
      <c r="M125" s="4" t="n"/>
      <c r="N125" s="4" t="n"/>
      <c r="O125" s="4" t="n"/>
      <c r="P125" s="4" t="n"/>
      <c r="Q125" s="4" t="n"/>
      <c r="R125" s="4" t="n"/>
      <c r="S125" s="4" t="n"/>
      <c r="T125" s="4" t="n"/>
      <c r="U125" s="4" t="n"/>
      <c r="V125" s="4" t="n"/>
      <c r="W125" s="4" t="n"/>
    </row>
    <row r="126">
      <c r="A126" s="5" t="inlineStr">
        <is>
          <t>AZR-270</t>
        </is>
      </c>
      <c r="B126" s="5" t="inlineStr">
        <is>
          <t>WAF</t>
        </is>
      </c>
      <c r="C126" s="4" t="inlineStr">
        <is>
          <t>AI: testing and evaluation</t>
        </is>
      </c>
      <c r="D126" s="10" t="inlineStr">
        <is>
          <t>Medium</t>
        </is>
      </c>
      <c r="E126" s="4" t="inlineStr">
        <is>
          <t>エージェントの意図解決・ツール選択・タスク遵守を独立指標で評価している</t>
        </is>
      </c>
      <c r="F126" s="4" t="inlineStr">
        <is>
          <t>各指標の評価セットと閾値があり、変更前後を比較できる</t>
        </is>
      </c>
      <c r="G126" s="4" t="inlineStr">
        <is>
          <t>エージェントの意図解決・ツール選択・タスク遵守を独立指標で評価していることを独立に判定し、部分実装を一括Passにしない。</t>
        </is>
      </c>
      <c r="H126" s="4" t="inlineStr">
        <is>
          <t>Test and Evaluate AI Workloads on Azure &gt; Validate agentic workflows</t>
        </is>
      </c>
      <c r="I126" s="4" t="inlineStr">
        <is>
          <t>AZURE-DELTA</t>
        </is>
      </c>
      <c r="J126" s="4" t="inlineStr">
        <is>
          <t>Azure採用時に、CLOUD-COMMONで未評価のAzure固有差分へ適用。</t>
        </is>
      </c>
      <c r="K126" s="4" t="inlineStr">
        <is>
          <t>SRC-AZR-AI</t>
        </is>
      </c>
      <c r="L126" s="4" t="inlineStr"/>
      <c r="M126" s="4" t="n"/>
      <c r="N126" s="4" t="n"/>
      <c r="O126" s="4" t="n"/>
      <c r="P126" s="4" t="n"/>
      <c r="Q126" s="4" t="n"/>
      <c r="R126" s="4" t="n"/>
      <c r="S126" s="4" t="n"/>
      <c r="T126" s="4" t="n"/>
      <c r="U126" s="4" t="n"/>
      <c r="V126" s="4" t="n"/>
      <c r="W126" s="4" t="n"/>
    </row>
    <row r="127">
      <c r="A127" s="5" t="inlineStr">
        <is>
          <t>AZR-271</t>
        </is>
      </c>
      <c r="B127" s="5" t="inlineStr">
        <is>
          <t>WAF</t>
        </is>
      </c>
      <c r="C127" s="4" t="inlineStr">
        <is>
          <t>AI: testing and evaluation</t>
        </is>
      </c>
      <c r="D127" s="10" t="inlineStr">
        <is>
          <t>Medium</t>
        </is>
      </c>
      <c r="E127" s="4" t="inlineStr">
        <is>
          <t>エージェント依存先をモック化し、タイムアウト・誤応答・部分障害を試験している</t>
        </is>
      </c>
      <c r="F127" s="4" t="inlineStr">
        <is>
          <t>主要依存先の障害注入と期待する縮退・停止結果が記録されている</t>
        </is>
      </c>
      <c r="G127" s="4" t="inlineStr">
        <is>
          <t>エージェント依存先をモック化し、タイムアウト・誤応答・部分障害を試験していることを独立に判定し、部分実装を一括Passにしない。</t>
        </is>
      </c>
      <c r="H127" s="4" t="inlineStr">
        <is>
          <t>Test and Evaluate AI Workloads on Azure &gt; Validate agentic workflows</t>
        </is>
      </c>
      <c r="I127" s="4" t="inlineStr">
        <is>
          <t>AZURE-DELTA</t>
        </is>
      </c>
      <c r="J127" s="4" t="inlineStr">
        <is>
          <t>Azure採用時に、CLOUD-COMMONで未評価のAzure固有差分へ適用。</t>
        </is>
      </c>
      <c r="K127" s="4" t="inlineStr">
        <is>
          <t>SRC-AZR-AI</t>
        </is>
      </c>
      <c r="L127" s="4" t="inlineStr"/>
      <c r="M127" s="4" t="n"/>
      <c r="N127" s="4" t="n"/>
      <c r="O127" s="4" t="n"/>
      <c r="P127" s="4" t="n"/>
      <c r="Q127" s="4" t="n"/>
      <c r="R127" s="4" t="n"/>
      <c r="S127" s="4" t="n"/>
      <c r="T127" s="4" t="n"/>
      <c r="U127" s="4" t="n"/>
      <c r="V127" s="4" t="n"/>
      <c r="W127" s="4" t="n"/>
    </row>
    <row r="128">
      <c r="A128" s="5" t="inlineStr">
        <is>
          <t>AZR-272</t>
        </is>
      </c>
      <c r="B128" s="5" t="inlineStr">
        <is>
          <t>WAF</t>
        </is>
      </c>
      <c r="C128" s="4" t="inlineStr">
        <is>
          <t>AI: testing and evaluation</t>
        </is>
      </c>
      <c r="D128" s="10" t="inlineStr">
        <is>
          <t>Medium</t>
        </is>
      </c>
      <c r="E128" s="4" t="inlineStr">
        <is>
          <t>エージェントをシナリオベースで評価し、モデル採点と人手レビューを組み合わせている</t>
        </is>
      </c>
      <c r="F128" s="4" t="inlineStr">
        <is>
          <t>代表・境界・高影響シナリオに機械評価と人手確認の記録がある</t>
        </is>
      </c>
      <c r="G128" s="4" t="inlineStr">
        <is>
          <t>エージェントをシナリオベースで評価し、モデル採点と人手レビューを組み合わせていることを独立に判定し、部分実装を一括Passにしない。</t>
        </is>
      </c>
      <c r="H128" s="4" t="inlineStr">
        <is>
          <t>Test and Evaluate AI Workloads on Azure &gt; Validate agentic workflows</t>
        </is>
      </c>
      <c r="I128" s="4" t="inlineStr">
        <is>
          <t>AZURE-DELTA</t>
        </is>
      </c>
      <c r="J128" s="4" t="inlineStr">
        <is>
          <t>Azure採用時に、CLOUD-COMMONで未評価のAzure固有差分へ適用。</t>
        </is>
      </c>
      <c r="K128" s="4" t="inlineStr">
        <is>
          <t>SRC-AZR-AI</t>
        </is>
      </c>
      <c r="L128" s="4" t="inlineStr"/>
      <c r="M128" s="4" t="n"/>
      <c r="N128" s="4" t="n"/>
      <c r="O128" s="4" t="n"/>
      <c r="P128" s="4" t="n"/>
      <c r="Q128" s="4" t="n"/>
      <c r="R128" s="4" t="n"/>
      <c r="S128" s="4" t="n"/>
      <c r="T128" s="4" t="n"/>
      <c r="U128" s="4" t="n"/>
      <c r="V128" s="4" t="n"/>
      <c r="W128" s="4" t="n"/>
    </row>
    <row r="129">
      <c r="A129" s="5" t="inlineStr">
        <is>
          <t>AZR-241</t>
        </is>
      </c>
      <c r="B129" s="5" t="inlineStr">
        <is>
          <t>WAF</t>
        </is>
      </c>
      <c r="C129" s="4" t="inlineStr">
        <is>
          <t>AI: testing and evaluation</t>
        </is>
      </c>
      <c r="D129" s="8" t="inlineStr">
        <is>
          <t>Critical</t>
        </is>
      </c>
      <c r="E129" s="4" t="inlineStr">
        <is>
          <t>チャット型アプリケーションで、ユーザープロンプトとグラウンディングコンテキストの双方を Azure AI Content Safety 等のコンテンツセーフティサービスに通し、ジェイルブレイクテストをオーケストレーション層に対して常時実施しているか</t>
        </is>
      </c>
      <c r="F129" s="4" t="inlineStr">
        <is>
          <t>入力・出力・グラウンディングデータへのコンテンツセーフティ検査が実装され、ジェイルブレイク試行のテストケースがリリース前テストに含まれている</t>
        </is>
      </c>
      <c r="G129" s="4" t="inlineStr">
        <is>
          <t>怠るとプロンプトインジェクションによるモデル挙動の乗っ取りや有害コンテンツの生成が未制御になる。</t>
        </is>
      </c>
      <c r="H129" s="4" t="inlineStr">
        <is>
          <t>Test and Evaluate AI Workloads on Azure &gt; Validate agentic workflows &gt; Test the security aspects</t>
        </is>
      </c>
      <c r="I129" s="4" t="inlineStr">
        <is>
          <t>AZURE-DELTA</t>
        </is>
      </c>
      <c r="J129" s="4" t="inlineStr">
        <is>
          <t>Azure採用時に、CLOUD-COMMONで未評価のAzure固有差分へ適用。</t>
        </is>
      </c>
      <c r="K129" s="4" t="inlineStr">
        <is>
          <t>SRC-AZR-AI</t>
        </is>
      </c>
      <c r="L129" s="4" t="inlineStr">
        <is>
          <t>AI-PROMPT-SEC</t>
        </is>
      </c>
      <c r="M129" s="4" t="n"/>
      <c r="N129" s="4" t="n"/>
      <c r="O129" s="4" t="n"/>
      <c r="P129" s="4" t="n"/>
      <c r="Q129" s="4" t="n"/>
      <c r="R129" s="4" t="n"/>
      <c r="S129" s="4" t="n"/>
      <c r="T129" s="4" t="n"/>
      <c r="U129" s="4" t="n"/>
      <c r="V129" s="4" t="n"/>
      <c r="W129" s="4" t="n"/>
    </row>
    <row r="130">
      <c r="A130" s="5" t="inlineStr">
        <is>
          <t>AZR-242</t>
        </is>
      </c>
      <c r="B130" s="5" t="inlineStr">
        <is>
          <t>WAF</t>
        </is>
      </c>
      <c r="C130" s="4" t="inlineStr">
        <is>
          <t>AI: testing and evaluation</t>
        </is>
      </c>
      <c r="D130" s="10" t="inlineStr">
        <is>
          <t>Medium</t>
        </is>
      </c>
      <c r="E130" s="4" t="inlineStr">
        <is>
          <t>推論エンドポイントに対し、トークンレベルメトリクス(tokens/sec、tokens/min)での性能・負荷テスト、429 エラー/タイムアウト/サービス停止時のリトライ・バックオフ・サーキットブレーカー検証、GPU 利用率に基づくスケーリング設定の検証を実施しているか</t>
        </is>
      </c>
      <c r="F130" s="4" t="inlineStr">
        <is>
          <t>トークンベースの負荷試験結果と障害注入テストの記録があり、クライアントのリトライ/バックオフ挙動が確認されている</t>
        </is>
      </c>
      <c r="G130" s="4" t="inlineStr">
        <is>
          <t>怠ると本番負荷でスロットリング連鎖やカスケード障害が発生する。</t>
        </is>
      </c>
      <c r="H130" s="4" t="inlineStr">
        <is>
          <t>Test and Evaluate AI Workloads on Azure &gt; Test the inference endpoint</t>
        </is>
      </c>
      <c r="I130" s="4" t="inlineStr">
        <is>
          <t>AZURE-DELTA</t>
        </is>
      </c>
      <c r="J130" s="4" t="inlineStr">
        <is>
          <t>Azure採用時に、CLOUD-COMMONで未評価のAzure固有差分へ適用。</t>
        </is>
      </c>
      <c r="K130" s="4" t="inlineStr">
        <is>
          <t>SRC-AZR-AI</t>
        </is>
      </c>
      <c r="L130" s="4" t="inlineStr">
        <is>
          <t>OPS-OBSERVABILITY</t>
        </is>
      </c>
      <c r="M130" s="4" t="n"/>
      <c r="N130" s="4" t="n"/>
      <c r="O130" s="4" t="n"/>
      <c r="P130" s="4" t="n"/>
      <c r="Q130" s="4" t="n"/>
      <c r="R130" s="4" t="n"/>
      <c r="S130" s="4" t="n"/>
      <c r="T130" s="4" t="n"/>
      <c r="U130" s="4" t="n"/>
      <c r="V130" s="4" t="n"/>
      <c r="W130" s="4" t="n"/>
    </row>
    <row r="131">
      <c r="A131" s="5" t="inlineStr">
        <is>
          <t>AZR-243</t>
        </is>
      </c>
      <c r="B131" s="5" t="inlineStr">
        <is>
          <t>WAF</t>
        </is>
      </c>
      <c r="C131" s="4" t="inlineStr">
        <is>
          <t>AI: testing and evaluation</t>
        </is>
      </c>
      <c r="D131" s="9" t="inlineStr">
        <is>
          <t>High</t>
        </is>
      </c>
      <c r="E131" s="4" t="inlineStr">
        <is>
          <t>AZR-243に関する統制範囲・責任者・適用条件が一つの設計判断として定義されている</t>
        </is>
      </c>
      <c r="F131" s="4" t="inlineStr">
        <is>
          <t>対象コンポーネント、責任者、適用・非適用条件、関連する個別統制IDが文書化されている</t>
        </is>
      </c>
      <c r="G131" s="4" t="inlineStr">
        <is>
          <t>複合項目を個別に判定できるサブ統制へ分解し、親項目は適用範囲の統制に限定する。</t>
        </is>
      </c>
      <c r="H131" s="4" t="inlineStr">
        <is>
          <t>Test and Evaluate AI Workloads on Azure &gt; Test the grounding data workflow</t>
        </is>
      </c>
      <c r="I131" s="4" t="inlineStr">
        <is>
          <t>AZURE-DELTA</t>
        </is>
      </c>
      <c r="J131" s="4" t="inlineStr">
        <is>
          <t>Azure採用時に、CLOUD-COMMONで未評価のAzure固有差分へ適用。</t>
        </is>
      </c>
      <c r="K131" s="4" t="inlineStr">
        <is>
          <t>SRC-AZR-AI</t>
        </is>
      </c>
      <c r="L131" s="4" t="inlineStr"/>
      <c r="M131" s="4" t="n"/>
      <c r="N131" s="4" t="n"/>
      <c r="O131" s="4" t="n"/>
      <c r="P131" s="4" t="n"/>
      <c r="Q131" s="4" t="n"/>
      <c r="R131" s="4" t="n"/>
      <c r="S131" s="4" t="n"/>
      <c r="T131" s="4" t="n"/>
      <c r="U131" s="4" t="n"/>
      <c r="V131" s="4" t="n"/>
      <c r="W131" s="4" t="n"/>
    </row>
    <row r="132">
      <c r="A132" s="5" t="inlineStr">
        <is>
          <t>AZR-273</t>
        </is>
      </c>
      <c r="B132" s="5" t="inlineStr">
        <is>
          <t>WAF</t>
        </is>
      </c>
      <c r="C132" s="4" t="inlineStr">
        <is>
          <t>AI: testing and evaluation</t>
        </is>
      </c>
      <c r="D132" s="9" t="inlineStr">
        <is>
          <t>High</t>
        </is>
      </c>
      <c r="E132" s="4" t="inlineStr">
        <is>
          <t>グラウンディング処理の機能・統合テストを実施している</t>
        </is>
      </c>
      <c r="F132" s="4" t="inlineStr">
        <is>
          <t>前処理、チャンキング、埋め込み、索引、検索を通した期待結果が確認できる</t>
        </is>
      </c>
      <c r="G132" s="4" t="inlineStr">
        <is>
          <t>グラウンディング処理の機能・統合テストを実施していることを独立に判定し、部分実装を一括Passにしない。</t>
        </is>
      </c>
      <c r="H132" s="4" t="inlineStr">
        <is>
          <t>Test and Evaluate AI Workloads on Azure &gt; Test the grounding data workflow</t>
        </is>
      </c>
      <c r="I132" s="4" t="inlineStr">
        <is>
          <t>AZURE-DELTA</t>
        </is>
      </c>
      <c r="J132" s="4" t="inlineStr">
        <is>
          <t>Azure採用時に、CLOUD-COMMONで未評価のAzure固有差分へ適用。</t>
        </is>
      </c>
      <c r="K132" s="4" t="inlineStr">
        <is>
          <t>SRC-AZR-AI</t>
        </is>
      </c>
      <c r="L132" s="4" t="inlineStr"/>
      <c r="M132" s="4" t="n"/>
      <c r="N132" s="4" t="n"/>
      <c r="O132" s="4" t="n"/>
      <c r="P132" s="4" t="n"/>
      <c r="Q132" s="4" t="n"/>
      <c r="R132" s="4" t="n"/>
      <c r="S132" s="4" t="n"/>
      <c r="T132" s="4" t="n"/>
      <c r="U132" s="4" t="n"/>
      <c r="V132" s="4" t="n"/>
      <c r="W132" s="4" t="n"/>
    </row>
    <row r="133">
      <c r="A133" s="5" t="inlineStr">
        <is>
          <t>AZR-274</t>
        </is>
      </c>
      <c r="B133" s="5" t="inlineStr">
        <is>
          <t>WAF</t>
        </is>
      </c>
      <c r="C133" s="4" t="inlineStr">
        <is>
          <t>AI: testing and evaluation</t>
        </is>
      </c>
      <c r="D133" s="9" t="inlineStr">
        <is>
          <t>High</t>
        </is>
      </c>
      <c r="E133" s="4" t="inlineStr">
        <is>
          <t>グラウンディングデータのスキーマ後方互換性をテストしている</t>
        </is>
      </c>
      <c r="F133" s="4" t="inlineStr">
        <is>
          <t>旧新生成物・利用側の互換性と移行手順が確認できる</t>
        </is>
      </c>
      <c r="G133" s="4" t="inlineStr">
        <is>
          <t>グラウンディングデータのスキーマ後方互換性をテストしていることを独立に判定し、部分実装を一括Passにしない。</t>
        </is>
      </c>
      <c r="H133" s="4" t="inlineStr">
        <is>
          <t>Test and Evaluate AI Workloads on Azure &gt; Test the grounding data workflow</t>
        </is>
      </c>
      <c r="I133" s="4" t="inlineStr">
        <is>
          <t>AZURE-DELTA</t>
        </is>
      </c>
      <c r="J133" s="4" t="inlineStr">
        <is>
          <t>Azure採用時に、CLOUD-COMMONで未評価のAzure固有差分へ適用。</t>
        </is>
      </c>
      <c r="K133" s="4" t="inlineStr">
        <is>
          <t>SRC-AZR-AI</t>
        </is>
      </c>
      <c r="L133" s="4" t="inlineStr"/>
      <c r="M133" s="4" t="n"/>
      <c r="N133" s="4" t="n"/>
      <c r="O133" s="4" t="n"/>
      <c r="P133" s="4" t="n"/>
      <c r="Q133" s="4" t="n"/>
      <c r="R133" s="4" t="n"/>
      <c r="S133" s="4" t="n"/>
      <c r="T133" s="4" t="n"/>
      <c r="U133" s="4" t="n"/>
      <c r="V133" s="4" t="n"/>
      <c r="W133" s="4" t="n"/>
    </row>
    <row r="134">
      <c r="A134" s="5" t="inlineStr">
        <is>
          <t>AZR-275</t>
        </is>
      </c>
      <c r="B134" s="5" t="inlineStr">
        <is>
          <t>WAF</t>
        </is>
      </c>
      <c r="C134" s="4" t="inlineStr">
        <is>
          <t>AI: testing and evaluation</t>
        </is>
      </c>
      <c r="D134" s="9" t="inlineStr">
        <is>
          <t>High</t>
        </is>
      </c>
      <c r="E134" s="4" t="inlineStr">
        <is>
          <t>グラウンディングデータの鮮度・品質を自動検査している</t>
        </is>
      </c>
      <c r="F134" s="4" t="inlineStr">
        <is>
          <t>更新遅延、欠損、重複、破損の閾値と失敗時動作がある</t>
        </is>
      </c>
      <c r="G134" s="4" t="inlineStr">
        <is>
          <t>グラウンディングデータの鮮度・品質を自動検査していることを独立に判定し、部分実装を一括Passにしない。</t>
        </is>
      </c>
      <c r="H134" s="4" t="inlineStr">
        <is>
          <t>Test and Evaluate AI Workloads on Azure &gt; Test the grounding data workflow</t>
        </is>
      </c>
      <c r="I134" s="4" t="inlineStr">
        <is>
          <t>AZURE-DELTA</t>
        </is>
      </c>
      <c r="J134" s="4" t="inlineStr">
        <is>
          <t>Azure採用時に、CLOUD-COMMONで未評価のAzure固有差分へ適用。</t>
        </is>
      </c>
      <c r="K134" s="4" t="inlineStr">
        <is>
          <t>SRC-AZR-AI</t>
        </is>
      </c>
      <c r="L134" s="4" t="inlineStr"/>
      <c r="M134" s="4" t="n"/>
      <c r="N134" s="4" t="n"/>
      <c r="O134" s="4" t="n"/>
      <c r="P134" s="4" t="n"/>
      <c r="Q134" s="4" t="n"/>
      <c r="R134" s="4" t="n"/>
      <c r="S134" s="4" t="n"/>
      <c r="T134" s="4" t="n"/>
      <c r="U134" s="4" t="n"/>
      <c r="V134" s="4" t="n"/>
      <c r="W134" s="4" t="n"/>
    </row>
    <row r="135">
      <c r="A135" s="5" t="inlineStr">
        <is>
          <t>AZR-276</t>
        </is>
      </c>
      <c r="B135" s="5" t="inlineStr">
        <is>
          <t>WAF</t>
        </is>
      </c>
      <c r="C135" s="4" t="inlineStr">
        <is>
          <t>AI: testing and evaluation</t>
        </is>
      </c>
      <c r="D135" s="9" t="inlineStr">
        <is>
          <t>High</t>
        </is>
      </c>
      <c r="E135" s="4" t="inlineStr">
        <is>
          <t>検索インデックスの想定負荷試験を実施している</t>
        </is>
      </c>
      <c r="F135" s="4" t="inlineStr">
        <is>
          <t>検索量、更新量、同時実行のピークでSLOを満たす結果がある</t>
        </is>
      </c>
      <c r="G135" s="4" t="inlineStr">
        <is>
          <t>検索インデックスの想定負荷試験を実施していることを独立に判定し、部分実装を一括Passにしない。</t>
        </is>
      </c>
      <c r="H135" s="4" t="inlineStr">
        <is>
          <t>Test and Evaluate AI Workloads on Azure &gt; Test the grounding data workflow</t>
        </is>
      </c>
      <c r="I135" s="4" t="inlineStr">
        <is>
          <t>AZURE-DELTA</t>
        </is>
      </c>
      <c r="J135" s="4" t="inlineStr">
        <is>
          <t>Azure採用時に、CLOUD-COMMONで未評価のAzure固有差分へ適用。</t>
        </is>
      </c>
      <c r="K135" s="4" t="inlineStr">
        <is>
          <t>SRC-AZR-AI</t>
        </is>
      </c>
      <c r="L135" s="4" t="inlineStr"/>
      <c r="M135" s="4" t="n"/>
      <c r="N135" s="4" t="n"/>
      <c r="O135" s="4" t="n"/>
      <c r="P135" s="4" t="n"/>
      <c r="Q135" s="4" t="n"/>
      <c r="R135" s="4" t="n"/>
      <c r="S135" s="4" t="n"/>
      <c r="T135" s="4" t="n"/>
      <c r="U135" s="4" t="n"/>
      <c r="V135" s="4" t="n"/>
      <c r="W135" s="4" t="n"/>
    </row>
    <row r="136">
      <c r="A136" s="5" t="inlineStr">
        <is>
          <t>AZR-277</t>
        </is>
      </c>
      <c r="B136" s="5" t="inlineStr">
        <is>
          <t>WAF</t>
        </is>
      </c>
      <c r="C136" s="4" t="inlineStr">
        <is>
          <t>AI: testing and evaluation</t>
        </is>
      </c>
      <c r="D136" s="9" t="inlineStr">
        <is>
          <t>High</t>
        </is>
      </c>
      <c r="E136" s="4" t="inlineStr">
        <is>
          <t>グラウンディング検索のアクセス制御をセキュリティテストしている</t>
        </is>
      </c>
      <c r="F136" s="4" t="inlineStr">
        <is>
          <t>権限の異なる利用者で非許可文書が検索・生成結果に含まれない</t>
        </is>
      </c>
      <c r="G136" s="4" t="inlineStr">
        <is>
          <t>グラウンディング検索のアクセス制御をセキュリティテストしていることを独立に判定し、部分実装を一括Passにしない。</t>
        </is>
      </c>
      <c r="H136" s="4" t="inlineStr">
        <is>
          <t>Test and Evaluate AI Workloads on Azure &gt; Test the grounding data workflow</t>
        </is>
      </c>
      <c r="I136" s="4" t="inlineStr">
        <is>
          <t>AZURE-DELTA</t>
        </is>
      </c>
      <c r="J136" s="4" t="inlineStr">
        <is>
          <t>Azure採用時に、CLOUD-COMMONで未評価のAzure固有差分へ適用。</t>
        </is>
      </c>
      <c r="K136" s="4" t="inlineStr">
        <is>
          <t>SRC-AZR-AI</t>
        </is>
      </c>
      <c r="L136" s="4" t="inlineStr"/>
      <c r="M136" s="4" t="n"/>
      <c r="N136" s="4" t="n"/>
      <c r="O136" s="4" t="n"/>
      <c r="P136" s="4" t="n"/>
      <c r="Q136" s="4" t="n"/>
      <c r="R136" s="4" t="n"/>
      <c r="S136" s="4" t="n"/>
      <c r="T136" s="4" t="n"/>
      <c r="U136" s="4" t="n"/>
      <c r="V136" s="4" t="n"/>
      <c r="W136" s="4" t="n"/>
    </row>
    <row r="137">
      <c r="A137" s="5" t="inlineStr">
        <is>
          <t>AZR-244</t>
        </is>
      </c>
      <c r="B137" s="5" t="inlineStr">
        <is>
          <t>WAF</t>
        </is>
      </c>
      <c r="C137" s="4" t="inlineStr">
        <is>
          <t>AI: testing and evaluation</t>
        </is>
      </c>
      <c r="D137" s="9" t="inlineStr">
        <is>
          <t>High</t>
        </is>
      </c>
      <c r="E137" s="4" t="inlineStr">
        <is>
          <t>モデル劣化(データドリフト・概念ドリフト)を検出するため、予測と実際の結果を比較する自動テスト、統計的ドリフト監視、ユーザーフィードバック(サムアップ/ダウン等)の収集を運用し、劣化検知時にデータサイエンティストへエスカレーションするフローがあるか</t>
        </is>
      </c>
      <c r="F137" s="4" t="inlineStr">
        <is>
          <t>ドリフト検出の自動化(Azure Machine Learning Model Monitoring 等)と、検知時の調査・再学習の運用フローが文書化されている</t>
        </is>
      </c>
      <c r="G137" s="4" t="inlineStr">
        <is>
          <t>怠るとモデルが現実と乖離したまま稼働し続け、誤った予測・応答が業務判断に使われる。</t>
        </is>
      </c>
      <c r="H137" s="4" t="inlineStr">
        <is>
          <t>Test and Evaluate AI Workloads on Azure &gt; Guidance for testing model training and fine-tuning &gt; Testing for model decay / Test tools</t>
        </is>
      </c>
      <c r="I137" s="4" t="inlineStr">
        <is>
          <t>AZURE-DELTA</t>
        </is>
      </c>
      <c r="J137" s="4" t="inlineStr">
        <is>
          <t>Azure採用時に、CLOUD-COMMONで未評価のAzure固有差分へ適用。</t>
        </is>
      </c>
      <c r="K137" s="4" t="inlineStr">
        <is>
          <t>SRC-AZR-AI</t>
        </is>
      </c>
      <c r="L137" s="4" t="inlineStr">
        <is>
          <t>OPS-OBSERVABILITY</t>
        </is>
      </c>
      <c r="M137" s="4" t="n"/>
      <c r="N137" s="4" t="n"/>
      <c r="O137" s="4" t="n"/>
      <c r="P137" s="4" t="n"/>
      <c r="Q137" s="4" t="n"/>
      <c r="R137" s="4" t="n"/>
      <c r="S137" s="4" t="n"/>
      <c r="T137" s="4" t="n"/>
      <c r="U137" s="4" t="n"/>
      <c r="V137" s="4" t="n"/>
      <c r="W137" s="4" t="n"/>
    </row>
    <row r="138">
      <c r="A138" s="5" t="inlineStr">
        <is>
          <t>AZR-245</t>
        </is>
      </c>
      <c r="B138" s="5" t="inlineStr">
        <is>
          <t>WAF</t>
        </is>
      </c>
      <c r="C138" s="4" t="inlineStr">
        <is>
          <t>AI: responsible AI</t>
        </is>
      </c>
      <c r="D138" s="9" t="inlineStr">
        <is>
          <t>High</t>
        </is>
      </c>
      <c r="E138" s="4" t="inlineStr">
        <is>
          <t>データパイプラインの各段階で Azure AI Language の PII 検出等のツールにより個人情報を自動検出・マスキングし、生のユーザーデータ露出を最小化しているか</t>
        </is>
      </c>
      <c r="F138" s="4" t="inlineStr">
        <is>
          <t>取り込み〜学習/評価の各段階に PII 検出・レダクションのチェックが組み込まれ、電話番号・メールアドレス等の個人情報が下流に流れないことが検証されている</t>
        </is>
      </c>
      <c r="G138" s="4" t="inlineStr">
        <is>
          <t>怠ると個人情報がモデル・インデックス・ログへ漏えいし、規制違反となる。</t>
        </is>
      </c>
      <c r="H138" s="4" t="inlineStr">
        <is>
          <t>Responsible AI in Azure Workloads &gt; Operationalize content safety measures(Anonymize data)</t>
        </is>
      </c>
      <c r="I138" s="4" t="inlineStr">
        <is>
          <t>AZURE-DELTA</t>
        </is>
      </c>
      <c r="J138" s="4" t="inlineStr">
        <is>
          <t>Azure採用時に、CLOUD-COMMONで未評価のAzure固有差分へ適用。</t>
        </is>
      </c>
      <c r="K138" s="4" t="inlineStr">
        <is>
          <t>SRC-AZR-WAF</t>
        </is>
      </c>
      <c r="L138" s="4" t="inlineStr">
        <is>
          <t>PRIVACY</t>
        </is>
      </c>
      <c r="M138" s="4" t="n"/>
      <c r="N138" s="4" t="n"/>
      <c r="O138" s="4" t="n"/>
      <c r="P138" s="4" t="n"/>
      <c r="Q138" s="4" t="n"/>
      <c r="R138" s="4" t="n"/>
      <c r="S138" s="4" t="n"/>
      <c r="T138" s="4" t="n"/>
      <c r="U138" s="4" t="n"/>
      <c r="V138" s="4" t="n"/>
      <c r="W138" s="4" t="n"/>
    </row>
    <row r="139">
      <c r="A139" s="5" t="inlineStr">
        <is>
          <t>AZR-246</t>
        </is>
      </c>
      <c r="B139" s="5" t="inlineStr">
        <is>
          <t>WAF</t>
        </is>
      </c>
      <c r="C139" s="4" t="inlineStr">
        <is>
          <t>AI: responsible AI</t>
        </is>
      </c>
      <c r="D139" s="9" t="inlineStr">
        <is>
          <t>High</t>
        </is>
      </c>
      <c r="E139" s="4" t="inlineStr">
        <is>
          <t>Microsoft の責任ある AI フレームワークに基づき、ライフサイクル各段階のポリシー(ユーザーデータ透明性、同意設定、RTBF 手順等)を策定し、ガバナンス組織(review board)によるワークロード設計の承認を得ているか</t>
        </is>
      </c>
      <c r="F139" s="4" t="inlineStr">
        <is>
          <t>責任ある AI ポリシーがチェックリスト項目として文書化され、研究・ポリシー・エンジニアリング各チームの責任が定義され、ガバナンス承認の記録がある</t>
        </is>
      </c>
      <c r="G139" s="4" t="inlineStr">
        <is>
          <t>怠ると倫理・法的問題(操作的な出力、IP 侵害、有害コンテンツ)が本番で発生し、ブランド毀損・訴訟につながる。</t>
        </is>
      </c>
      <c r="H139" s="4" t="inlineStr">
        <is>
          <t>Responsible AI in Azure Workloads &gt; Develop policies for responsible AI / Enforce governance on policies for responsible AI</t>
        </is>
      </c>
      <c r="I139" s="4" t="inlineStr">
        <is>
          <t>AZURE-DELTA</t>
        </is>
      </c>
      <c r="J139" s="4" t="inlineStr">
        <is>
          <t>Azure採用時に、CLOUD-COMMONで未評価のAzure固有差分へ適用。</t>
        </is>
      </c>
      <c r="K139" s="4" t="inlineStr">
        <is>
          <t>SRC-AZR-WAF</t>
        </is>
      </c>
      <c r="L139" s="4" t="inlineStr"/>
      <c r="M139" s="4" t="n"/>
      <c r="N139" s="4" t="n"/>
      <c r="O139" s="4" t="n"/>
      <c r="P139" s="4" t="n"/>
      <c r="Q139" s="4" t="n"/>
      <c r="R139" s="4" t="n"/>
      <c r="S139" s="4" t="n"/>
      <c r="T139" s="4" t="n"/>
      <c r="U139" s="4" t="n"/>
      <c r="V139" s="4" t="n"/>
      <c r="W139" s="4" t="n"/>
    </row>
    <row r="140">
      <c r="A140" s="5" t="inlineStr">
        <is>
          <t>AZR-247</t>
        </is>
      </c>
      <c r="B140" s="5" t="inlineStr">
        <is>
          <t>WAF</t>
        </is>
      </c>
      <c r="C140" s="4" t="inlineStr">
        <is>
          <t>AI: responsible AI</t>
        </is>
      </c>
      <c r="D140" s="10" t="inlineStr">
        <is>
          <t>Medium</t>
        </is>
      </c>
      <c r="E140" s="4" t="inlineStr">
        <is>
          <t>UI でモデル応答の出典(参照したソースドキュメント)を提示し、AI 生成メディアの明示(開示・ウォーターマーク/メタデータ)、確信度等の段階的な透明性表示、フィードバック収集(評価と AI 判断への異議申し立て手段)を実装しているか</t>
        </is>
      </c>
      <c r="F140" s="4" t="inlineStr">
        <is>
          <t>応答に出典リンクが表示され、AI 生成コンテンツであることが利用者に開示され、フィードバック機構と契約審査等の AI 判断を人間が再審査する手順がある</t>
        </is>
      </c>
      <c r="G140" s="4" t="inlineStr">
        <is>
          <t>怠るとユーザーの信頼を失い、誤った AI 判断を利用者が是正する手段がなくなる。</t>
        </is>
      </c>
      <c r="H140" s="4" t="inlineStr">
        <is>
          <t>Responsible AI in Azure Workloads &gt; Make the user experience safe(Build transparency / Collect feedback / Apply ethical safeguards for AI-generated audio and video)</t>
        </is>
      </c>
      <c r="I140" s="4" t="inlineStr">
        <is>
          <t>AZURE-DELTA</t>
        </is>
      </c>
      <c r="J140" s="4" t="inlineStr">
        <is>
          <t>Azure採用時に、CLOUD-COMMONで未評価のAzure固有差分へ適用。</t>
        </is>
      </c>
      <c r="K140" s="4" t="inlineStr">
        <is>
          <t>SRC-AZR-WAF</t>
        </is>
      </c>
      <c r="L140" s="4" t="inlineStr"/>
      <c r="M140" s="4" t="n"/>
      <c r="N140" s="4" t="n"/>
      <c r="O140" s="4" t="n"/>
      <c r="P140" s="4" t="n"/>
      <c r="Q140" s="4" t="n"/>
      <c r="R140" s="4" t="n"/>
      <c r="S140" s="4" t="n"/>
      <c r="T140" s="4" t="n"/>
      <c r="U140" s="4" t="n"/>
      <c r="V140" s="4" t="n"/>
      <c r="W140" s="4" t="n"/>
    </row>
    <row r="141">
      <c r="A141" s="5" t="inlineStr">
        <is>
          <t>AZR-248</t>
        </is>
      </c>
      <c r="B141" s="5" t="inlineStr">
        <is>
          <t>WAF</t>
        </is>
      </c>
      <c r="C141" s="4" t="inlineStr">
        <is>
          <t>AI: responsible AI</t>
        </is>
      </c>
      <c r="D141" s="8" t="inlineStr">
        <is>
          <t>Critical</t>
        </is>
      </c>
      <c r="E141" s="4" t="inlineStr">
        <is>
          <t>AZR-248に関する統制範囲・責任者・適用条件が一つの設計判断として定義されている</t>
        </is>
      </c>
      <c r="F141" s="4" t="inlineStr">
        <is>
          <t>対象コンポーネント、責任者、適用・非適用条件、関連する個別統制IDが文書化されている</t>
        </is>
      </c>
      <c r="G141" s="4" t="inlineStr">
        <is>
          <t>複合項目を個別に判定できるサブ統制へ分解し、親項目は適用範囲の統制に限定する。</t>
        </is>
      </c>
      <c r="H141" s="4" t="inlineStr">
        <is>
          <t>Responsible AI in Azure Workloads &gt; Implement agentic AI safeguards / Operationalize content safety measures(Build escape hatches into your agentic design)</t>
        </is>
      </c>
      <c r="I141" s="4" t="inlineStr">
        <is>
          <t>AZURE-DELTA</t>
        </is>
      </c>
      <c r="J141" s="4" t="inlineStr">
        <is>
          <t>Azure採用時に、CLOUD-COMMONで未評価のAzure固有差分へ適用。</t>
        </is>
      </c>
      <c r="K141" s="4" t="inlineStr">
        <is>
          <t>SRC-AZR-AI</t>
        </is>
      </c>
      <c r="L141" s="4" t="inlineStr"/>
      <c r="M141" s="4" t="n"/>
      <c r="N141" s="4" t="n"/>
      <c r="O141" s="4" t="n"/>
      <c r="P141" s="4" t="n"/>
      <c r="Q141" s="4" t="n"/>
      <c r="R141" s="4" t="n"/>
      <c r="S141" s="4" t="n"/>
      <c r="T141" s="4" t="n"/>
      <c r="U141" s="4" t="n"/>
      <c r="V141" s="4" t="n"/>
      <c r="W141" s="4" t="n"/>
    </row>
    <row r="142">
      <c r="A142" s="5" t="inlineStr">
        <is>
          <t>AZR-278</t>
        </is>
      </c>
      <c r="B142" s="5" t="inlineStr">
        <is>
          <t>WAF</t>
        </is>
      </c>
      <c r="C142" s="4" t="inlineStr">
        <is>
          <t>AI: responsible AI</t>
        </is>
      </c>
      <c r="D142" s="8" t="inlineStr">
        <is>
          <t>Critical</t>
        </is>
      </c>
      <c r="E142" s="4" t="inlineStr">
        <is>
          <t>エージェント活動を改ざん耐性のある監査ログへ記録している</t>
        </is>
      </c>
      <c r="F142" s="4" t="inlineStr">
        <is>
          <t>ツール操作、承認、権限、結果を利用者と実行単位へ追跡できる</t>
        </is>
      </c>
      <c r="G142" s="4" t="inlineStr">
        <is>
          <t>エージェント活動を改ざん耐性のある監査ログへ記録していることを独立に判定し、部分実装を一括Passにしない。</t>
        </is>
      </c>
      <c r="H142" s="4" t="inlineStr">
        <is>
          <t>Responsible AI in Azure Workloads &gt; Implement agentic AI safeguards / Operationalize content safety measures(Build escape hatches into your agentic design)</t>
        </is>
      </c>
      <c r="I142" s="4" t="inlineStr">
        <is>
          <t>AZURE-DELTA</t>
        </is>
      </c>
      <c r="J142" s="4" t="inlineStr">
        <is>
          <t>Azure採用時に、CLOUD-COMMONで未評価のAzure固有差分へ適用。</t>
        </is>
      </c>
      <c r="K142" s="4" t="inlineStr">
        <is>
          <t>SRC-AZR-AI</t>
        </is>
      </c>
      <c r="L142" s="4" t="inlineStr">
        <is>
          <t>OPS-OBSERVABILITY</t>
        </is>
      </c>
      <c r="M142" s="4" t="n"/>
      <c r="N142" s="4" t="n"/>
      <c r="O142" s="4" t="n"/>
      <c r="P142" s="4" t="n"/>
      <c r="Q142" s="4" t="n"/>
      <c r="R142" s="4" t="n"/>
      <c r="S142" s="4" t="n"/>
      <c r="T142" s="4" t="n"/>
      <c r="U142" s="4" t="n"/>
      <c r="V142" s="4" t="n"/>
      <c r="W142" s="4" t="n"/>
    </row>
    <row r="143">
      <c r="A143" s="5" t="inlineStr">
        <is>
          <t>AZR-279</t>
        </is>
      </c>
      <c r="B143" s="5" t="inlineStr">
        <is>
          <t>WAF</t>
        </is>
      </c>
      <c r="C143" s="4" t="inlineStr">
        <is>
          <t>AI: responsible AI</t>
        </is>
      </c>
      <c r="D143" s="8" t="inlineStr">
        <is>
          <t>Critical</t>
        </is>
      </c>
      <c r="E143" s="4" t="inlineStr">
        <is>
          <t>エージェントとツールにRBAC・最小権限を適用している</t>
        </is>
      </c>
      <c r="F143" s="4" t="inlineStr">
        <is>
          <t>各エージェントの職務に不要な操作が権限上拒否される</t>
        </is>
      </c>
      <c r="G143" s="4" t="inlineStr">
        <is>
          <t>エージェントとツールにRBAC・最小権限を適用していることを独立に判定し、部分実装を一括Passにしない。</t>
        </is>
      </c>
      <c r="H143" s="4" t="inlineStr">
        <is>
          <t>Responsible AI in Azure Workloads &gt; Implement agentic AI safeguards / Operationalize content safety measures(Build escape hatches into your agentic design)</t>
        </is>
      </c>
      <c r="I143" s="4" t="inlineStr">
        <is>
          <t>AZURE-DELTA</t>
        </is>
      </c>
      <c r="J143" s="4" t="inlineStr">
        <is>
          <t>Azure採用時に、CLOUD-COMMONで未評価のAzure固有差分へ適用。</t>
        </is>
      </c>
      <c r="K143" s="4" t="inlineStr">
        <is>
          <t>SRC-AZR-AI</t>
        </is>
      </c>
      <c r="L143" s="4" t="inlineStr">
        <is>
          <t>SEC-IAM</t>
        </is>
      </c>
      <c r="M143" s="4" t="n"/>
      <c r="N143" s="4" t="n"/>
      <c r="O143" s="4" t="n"/>
      <c r="P143" s="4" t="n"/>
      <c r="Q143" s="4" t="n"/>
      <c r="R143" s="4" t="n"/>
      <c r="S143" s="4" t="n"/>
      <c r="T143" s="4" t="n"/>
      <c r="U143" s="4" t="n"/>
      <c r="V143" s="4" t="n"/>
      <c r="W143" s="4" t="n"/>
    </row>
    <row r="144">
      <c r="A144" s="5" t="inlineStr">
        <is>
          <t>AZR-280</t>
        </is>
      </c>
      <c r="B144" s="5" t="inlineStr">
        <is>
          <t>WAF</t>
        </is>
      </c>
      <c r="C144" s="4" t="inlineStr">
        <is>
          <t>AI: responsible AI</t>
        </is>
      </c>
      <c r="D144" s="8" t="inlineStr">
        <is>
          <t>Critical</t>
        </is>
      </c>
      <c r="E144" s="4" t="inlineStr">
        <is>
          <t>エージェントを外部から停止する独立サーキットブレーカーを実装している</t>
        </is>
      </c>
      <c r="F144" s="4" t="inlineStr">
        <is>
          <t>モデル判断に依存せず、管理者・監視ルールから即時停止できる</t>
        </is>
      </c>
      <c r="G144" s="4" t="inlineStr">
        <is>
          <t>エージェントを外部から停止する独立サーキットブレーカーを実装していることを独立に判定し、部分実装を一括Passにしない。</t>
        </is>
      </c>
      <c r="H144" s="4" t="inlineStr">
        <is>
          <t>Responsible AI in Azure Workloads &gt; Implement agentic AI safeguards / Operationalize content safety measures(Build escape hatches into your agentic design)</t>
        </is>
      </c>
      <c r="I144" s="4" t="inlineStr">
        <is>
          <t>AZURE-DELTA</t>
        </is>
      </c>
      <c r="J144" s="4" t="inlineStr">
        <is>
          <t>Azure採用時に、CLOUD-COMMONで未評価のAzure固有差分へ適用。</t>
        </is>
      </c>
      <c r="K144" s="4" t="inlineStr">
        <is>
          <t>SRC-AZR-AI</t>
        </is>
      </c>
      <c r="L144" s="4" t="inlineStr"/>
      <c r="M144" s="4" t="n"/>
      <c r="N144" s="4" t="n"/>
      <c r="O144" s="4" t="n"/>
      <c r="P144" s="4" t="n"/>
      <c r="Q144" s="4" t="n"/>
      <c r="R144" s="4" t="n"/>
      <c r="S144" s="4" t="n"/>
      <c r="T144" s="4" t="n"/>
      <c r="U144" s="4" t="n"/>
      <c r="V144" s="4" t="n"/>
      <c r="W144" s="4" t="n"/>
    </row>
    <row r="145">
      <c r="A145" s="5" t="inlineStr">
        <is>
          <t>AZR-281</t>
        </is>
      </c>
      <c r="B145" s="5" t="inlineStr">
        <is>
          <t>WAF</t>
        </is>
      </c>
      <c r="C145" s="4" t="inlineStr">
        <is>
          <t>AI: responsible AI</t>
        </is>
      </c>
      <c r="D145" s="8" t="inlineStr">
        <is>
          <t>Critical</t>
        </is>
      </c>
      <c r="E145" s="4" t="inlineStr">
        <is>
          <t>高影響アクション前にhuman-in-the-loopチェックポイントを強制している</t>
        </is>
      </c>
      <c r="F145" s="4" t="inlineStr">
        <is>
          <t>対象操作、承認者、期限、拒否・無応答時動作がワークフローで強制される</t>
        </is>
      </c>
      <c r="G145" s="4" t="inlineStr">
        <is>
          <t>高影響アクション前にhuman-in-the-loopチェックポイントを強制していることを独立に判定し、部分実装を一括Passにしない。</t>
        </is>
      </c>
      <c r="H145" s="4" t="inlineStr">
        <is>
          <t>Responsible AI in Azure Workloads &gt; Implement agentic AI safeguards / Operationalize content safety measures(Build escape hatches into your agentic design)</t>
        </is>
      </c>
      <c r="I145" s="4" t="inlineStr">
        <is>
          <t>AZURE-DELTA</t>
        </is>
      </c>
      <c r="J145" s="4" t="inlineStr">
        <is>
          <t>Azure採用時に、CLOUD-COMMONで未評価のAzure固有差分へ適用。</t>
        </is>
      </c>
      <c r="K145" s="4" t="inlineStr">
        <is>
          <t>SRC-AZR-AI</t>
        </is>
      </c>
      <c r="L145" s="4" t="inlineStr"/>
      <c r="M145" s="4" t="n"/>
      <c r="N145" s="4" t="n"/>
      <c r="O145" s="4" t="n"/>
      <c r="P145" s="4" t="n"/>
      <c r="Q145" s="4" t="n"/>
      <c r="R145" s="4" t="n"/>
      <c r="S145" s="4" t="n"/>
      <c r="T145" s="4" t="n"/>
      <c r="U145" s="4" t="n"/>
      <c r="V145" s="4" t="n"/>
      <c r="W145" s="4" t="n"/>
    </row>
    <row r="146">
      <c r="A146" s="5" t="inlineStr">
        <is>
          <t>AZR-282</t>
        </is>
      </c>
      <c r="B146" s="5" t="inlineStr">
        <is>
          <t>WAF</t>
        </is>
      </c>
      <c r="C146" s="4" t="inlineStr">
        <is>
          <t>AI: responsible AI</t>
        </is>
      </c>
      <c r="D146" s="8" t="inlineStr">
        <is>
          <t>Critical</t>
        </is>
      </c>
      <c r="E146" s="4" t="inlineStr">
        <is>
          <t>エージェント異常を人間へエスカレーションする条件と経路を実装している</t>
        </is>
      </c>
      <c r="F146" s="4" t="inlineStr">
        <is>
          <t>反復、低信頼度、ポリシー違反、依存障害の通知と引継ぎがテストされている</t>
        </is>
      </c>
      <c r="G146" s="4" t="inlineStr">
        <is>
          <t>エージェント異常を人間へエスカレーションする条件と経路を実装していることを独立に判定し、部分実装を一括Passにしない。</t>
        </is>
      </c>
      <c r="H146" s="4" t="inlineStr">
        <is>
          <t>Responsible AI in Azure Workloads &gt; Implement agentic AI safeguards / Operationalize content safety measures(Build escape hatches into your agentic design)</t>
        </is>
      </c>
      <c r="I146" s="4" t="inlineStr">
        <is>
          <t>AZURE-DELTA</t>
        </is>
      </c>
      <c r="J146" s="4" t="inlineStr">
        <is>
          <t>Azure採用時に、CLOUD-COMMONで未評価のAzure固有差分へ適用。</t>
        </is>
      </c>
      <c r="K146" s="4" t="inlineStr">
        <is>
          <t>SRC-AZR-AI</t>
        </is>
      </c>
      <c r="L146" s="4" t="inlineStr"/>
      <c r="M146" s="4" t="n"/>
      <c r="N146" s="4" t="n"/>
      <c r="O146" s="4" t="n"/>
      <c r="P146" s="4" t="n"/>
      <c r="Q146" s="4" t="n"/>
      <c r="R146" s="4" t="n"/>
      <c r="S146" s="4" t="n"/>
      <c r="T146" s="4" t="n"/>
      <c r="U146" s="4" t="n"/>
      <c r="V146" s="4" t="n"/>
      <c r="W146" s="4" t="n"/>
    </row>
    <row r="147">
      <c r="A147" s="5" t="inlineStr">
        <is>
          <t>AZR-249</t>
        </is>
      </c>
      <c r="B147" s="5" t="inlineStr">
        <is>
          <t>WAF</t>
        </is>
      </c>
      <c r="C147" s="4" t="inlineStr">
        <is>
          <t>AI: responsible AI</t>
        </is>
      </c>
      <c r="D147" s="8" t="inlineStr">
        <is>
          <t>Critical</t>
        </is>
      </c>
      <c r="E147" s="4" t="inlineStr">
        <is>
          <t>AZR-249に関する統制範囲・責任者・適用条件が一つの設計判断として定義されている</t>
        </is>
      </c>
      <c r="F147" s="4" t="inlineStr">
        <is>
          <t>対象コンポーネント、責任者、適用・非適用条件、関連する個別統制IDが文書化されている</t>
        </is>
      </c>
      <c r="G147" s="4" t="inlineStr">
        <is>
          <t>複合項目を個別に判定できるサブ統制へ分解し、親項目は適用範囲の統制に限定する。</t>
        </is>
      </c>
      <c r="H147" s="4" t="inlineStr">
        <is>
          <t>Responsible AI in Azure Workloads &gt; Inspect incoming and outgoing data</t>
        </is>
      </c>
      <c r="I147" s="4" t="inlineStr">
        <is>
          <t>AZURE-DELTA</t>
        </is>
      </c>
      <c r="J147" s="4" t="inlineStr">
        <is>
          <t>Azure採用時に、CLOUD-COMMONで未評価のAzure固有差分へ適用。</t>
        </is>
      </c>
      <c r="K147" s="4" t="inlineStr">
        <is>
          <t>SRC-AZR-WAF</t>
        </is>
      </c>
      <c r="L147" s="4" t="inlineStr"/>
      <c r="M147" s="4" t="n"/>
      <c r="N147" s="4" t="n"/>
      <c r="O147" s="4" t="n"/>
      <c r="P147" s="4" t="n"/>
      <c r="Q147" s="4" t="n"/>
      <c r="R147" s="4" t="n"/>
      <c r="S147" s="4" t="n"/>
      <c r="T147" s="4" t="n"/>
      <c r="U147" s="4" t="n"/>
      <c r="V147" s="4" t="n"/>
      <c r="W147" s="4" t="n"/>
    </row>
    <row r="148">
      <c r="A148" s="5" t="inlineStr">
        <is>
          <t>AZR-283</t>
        </is>
      </c>
      <c r="B148" s="5" t="inlineStr">
        <is>
          <t>WAF</t>
        </is>
      </c>
      <c r="C148" s="4" t="inlineStr">
        <is>
          <t>AI: responsible AI</t>
        </is>
      </c>
      <c r="D148" s="8" t="inlineStr">
        <is>
          <t>Critical</t>
        </is>
      </c>
      <c r="E148" s="4" t="inlineStr">
        <is>
          <t>ユーザー入力をコンテンツ安全性サービスで検査している</t>
        </is>
      </c>
      <c r="F148" s="4" t="inlineStr">
        <is>
          <t>全入力経路でカテゴリ別の検知・拒否・記録が動作する</t>
        </is>
      </c>
      <c r="G148" s="4" t="inlineStr">
        <is>
          <t>ユーザー入力をコンテンツ安全性サービスで検査していることを独立に判定し、部分実装を一括Passにしない。</t>
        </is>
      </c>
      <c r="H148" s="4" t="inlineStr">
        <is>
          <t>Responsible AI in Azure Workloads &gt; Inspect incoming and outgoing data</t>
        </is>
      </c>
      <c r="I148" s="4" t="inlineStr">
        <is>
          <t>AZURE-DELTA</t>
        </is>
      </c>
      <c r="J148" s="4" t="inlineStr">
        <is>
          <t>Azure採用時に、CLOUD-COMMONで未評価のAzure固有差分へ適用。</t>
        </is>
      </c>
      <c r="K148" s="4" t="inlineStr">
        <is>
          <t>SRC-AZR-WAF</t>
        </is>
      </c>
      <c r="L148" s="4" t="inlineStr"/>
      <c r="M148" s="4" t="n"/>
      <c r="N148" s="4" t="n"/>
      <c r="O148" s="4" t="n"/>
      <c r="P148" s="4" t="n"/>
      <c r="Q148" s="4" t="n"/>
      <c r="R148" s="4" t="n"/>
      <c r="S148" s="4" t="n"/>
      <c r="T148" s="4" t="n"/>
      <c r="U148" s="4" t="n"/>
      <c r="V148" s="4" t="n"/>
      <c r="W148" s="4" t="n"/>
    </row>
    <row r="149">
      <c r="A149" s="5" t="inlineStr">
        <is>
          <t>AZR-284</t>
        </is>
      </c>
      <c r="B149" s="5" t="inlineStr">
        <is>
          <t>WAF</t>
        </is>
      </c>
      <c r="C149" s="4" t="inlineStr">
        <is>
          <t>AI: responsible AI</t>
        </is>
      </c>
      <c r="D149" s="8" t="inlineStr">
        <is>
          <t>Critical</t>
        </is>
      </c>
      <c r="E149" s="4" t="inlineStr">
        <is>
          <t>モデル出力をコンテンツ安全性サービスで検査している</t>
        </is>
      </c>
      <c r="F149" s="4" t="inlineStr">
        <is>
          <t>全出力経路で違反内容が利用者・ツールへ渡らない</t>
        </is>
      </c>
      <c r="G149" s="4" t="inlineStr">
        <is>
          <t>モデル出力をコンテンツ安全性サービスで検査していることを独立に判定し、部分実装を一括Passにしない。</t>
        </is>
      </c>
      <c r="H149" s="4" t="inlineStr">
        <is>
          <t>Responsible AI in Azure Workloads &gt; Inspect incoming and outgoing data</t>
        </is>
      </c>
      <c r="I149" s="4" t="inlineStr">
        <is>
          <t>AZURE-DELTA</t>
        </is>
      </c>
      <c r="J149" s="4" t="inlineStr">
        <is>
          <t>Azure採用時に、CLOUD-COMMONで未評価のAzure固有差分へ適用。</t>
        </is>
      </c>
      <c r="K149" s="4" t="inlineStr">
        <is>
          <t>SRC-AZR-WAF</t>
        </is>
      </c>
      <c r="L149" s="4" t="inlineStr"/>
      <c r="M149" s="4" t="n"/>
      <c r="N149" s="4" t="n"/>
      <c r="O149" s="4" t="n"/>
      <c r="P149" s="4" t="n"/>
      <c r="Q149" s="4" t="n"/>
      <c r="R149" s="4" t="n"/>
      <c r="S149" s="4" t="n"/>
      <c r="T149" s="4" t="n"/>
      <c r="U149" s="4" t="n"/>
      <c r="V149" s="4" t="n"/>
      <c r="W149" s="4" t="n"/>
    </row>
    <row r="150">
      <c r="A150" s="5" t="inlineStr">
        <is>
          <t>AZR-285</t>
        </is>
      </c>
      <c r="B150" s="5" t="inlineStr">
        <is>
          <t>WAF</t>
        </is>
      </c>
      <c r="C150" s="4" t="inlineStr">
        <is>
          <t>AI: responsible AI</t>
        </is>
      </c>
      <c r="D150" s="8" t="inlineStr">
        <is>
          <t>Critical</t>
        </is>
      </c>
      <c r="E150" s="4" t="inlineStr">
        <is>
          <t>画像等のマルチモーダル入力に埋め込まれた有害・隠れ命令を検査している</t>
        </is>
      </c>
      <c r="F150" s="4" t="inlineStr">
        <is>
          <t>採用モダリティごとの攻撃・有害内容テストがある</t>
        </is>
      </c>
      <c r="G150" s="4" t="inlineStr">
        <is>
          <t>画像等のマルチモーダル入力に埋め込まれた有害・隠れ命令を検査していることを独立に判定し、部分実装を一括Passにしない。</t>
        </is>
      </c>
      <c r="H150" s="4" t="inlineStr">
        <is>
          <t>Responsible AI in Azure Workloads &gt; Inspect incoming and outgoing data</t>
        </is>
      </c>
      <c r="I150" s="4" t="inlineStr">
        <is>
          <t>AZURE-DELTA</t>
        </is>
      </c>
      <c r="J150" s="4" t="inlineStr">
        <is>
          <t>Azure採用時に、CLOUD-COMMONで未評価のAzure固有差分へ適用。</t>
        </is>
      </c>
      <c r="K150" s="4" t="inlineStr">
        <is>
          <t>SRC-AZR-WAF</t>
        </is>
      </c>
      <c r="L150" s="4" t="inlineStr"/>
      <c r="M150" s="4" t="n"/>
      <c r="N150" s="4" t="n"/>
      <c r="O150" s="4" t="n"/>
      <c r="P150" s="4" t="n"/>
      <c r="Q150" s="4" t="n"/>
      <c r="R150" s="4" t="n"/>
      <c r="S150" s="4" t="n"/>
      <c r="T150" s="4" t="n"/>
      <c r="U150" s="4" t="n"/>
      <c r="V150" s="4" t="n"/>
      <c r="W150" s="4" t="n"/>
    </row>
    <row r="151">
      <c r="A151" s="5" t="inlineStr">
        <is>
          <t>AZR-286</t>
        </is>
      </c>
      <c r="B151" s="5" t="inlineStr">
        <is>
          <t>WAF</t>
        </is>
      </c>
      <c r="C151" s="4" t="inlineStr">
        <is>
          <t>AI: responsible AI</t>
        </is>
      </c>
      <c r="D151" s="8" t="inlineStr">
        <is>
          <t>Critical</t>
        </is>
      </c>
      <c r="E151" s="4" t="inlineStr">
        <is>
          <t>複数モデル呼出しの安全性検査をゲートウェイ／オーケストレーション層へ集約している</t>
        </is>
      </c>
      <c r="F151" s="4" t="inlineStr">
        <is>
          <t>モデル直結の迂回経路がなく、共通ポリシーの性能・費用影響を測定している</t>
        </is>
      </c>
      <c r="G151" s="4" t="inlineStr">
        <is>
          <t>複数モデル呼出しの安全性検査をゲートウェイ／オーケストレーション層へ集約していることを独立に判定し、部分実装を一括Passにしない。</t>
        </is>
      </c>
      <c r="H151" s="4" t="inlineStr">
        <is>
          <t>Responsible AI in Azure Workloads &gt; Inspect incoming and outgoing data</t>
        </is>
      </c>
      <c r="I151" s="4" t="inlineStr">
        <is>
          <t>AZURE-DELTA</t>
        </is>
      </c>
      <c r="J151" s="4" t="inlineStr">
        <is>
          <t>Azure採用時に、CLOUD-COMMONで未評価のAzure固有差分へ適用。</t>
        </is>
      </c>
      <c r="K151" s="4" t="inlineStr">
        <is>
          <t>SRC-AZR-WAF</t>
        </is>
      </c>
      <c r="L151" s="4" t="inlineStr"/>
      <c r="M151" s="4" t="n"/>
      <c r="N151" s="4" t="n"/>
      <c r="O151" s="4" t="n"/>
      <c r="P151" s="4" t="n"/>
      <c r="Q151" s="4" t="n"/>
      <c r="R151" s="4" t="n"/>
      <c r="S151" s="4" t="n"/>
      <c r="T151" s="4" t="n"/>
      <c r="U151" s="4" t="n"/>
      <c r="V151" s="4" t="n"/>
      <c r="W151" s="4" t="n"/>
    </row>
    <row r="152">
      <c r="A152" s="5" t="inlineStr">
        <is>
          <t>AZR-250</t>
        </is>
      </c>
      <c r="B152" s="5" t="inlineStr">
        <is>
          <t>WAF</t>
        </is>
      </c>
      <c r="C152" s="4" t="inlineStr">
        <is>
          <t>AI: responsible AI</t>
        </is>
      </c>
      <c r="D152" s="9" t="inlineStr">
        <is>
          <t>High</t>
        </is>
      </c>
      <c r="E152" s="4" t="inlineStr">
        <is>
          <t>モデル選定・更新、アルゴリズム/ハイパーパラメータ調整、データ処理設計の変更等の AI 技術判断を記録し、監査可能にしているか。Foundry の評価メトリクス(groundedness 等)や Azure Machine Learning のメトリクスでモデル挙動を測定しているか</t>
        </is>
      </c>
      <c r="F152" s="4" t="inlineStr">
        <is>
          <t>AI 技術判断の監査証跡がガバナンス要件を満たす詳細度で存在し、モデル種別に適した評価メトリクスが選定・記録されている</t>
        </is>
      </c>
      <c r="G152" s="4" t="inlineStr">
        <is>
          <t>怠ると法的・コンプライアンス上の説明責任を果たせず、公平性の問題を検出できない。</t>
        </is>
      </c>
      <c r="H152" s="4" t="inlineStr">
        <is>
          <t>Responsible AI in Azure Workloads &gt; Operationalize content safety measures(Make technical decisions about the AI system auditable / Use the right metrics / Tools)</t>
        </is>
      </c>
      <c r="I152" s="4" t="inlineStr">
        <is>
          <t>AZURE-DELTA</t>
        </is>
      </c>
      <c r="J152" s="4" t="inlineStr">
        <is>
          <t>Azure採用時に、CLOUD-COMMONで未評価のAzure固有差分へ適用。</t>
        </is>
      </c>
      <c r="K152" s="4" t="inlineStr">
        <is>
          <t>SRC-AZR-WAF;SRC-CIS</t>
        </is>
      </c>
      <c r="L152" s="4" t="inlineStr">
        <is>
          <t>CONTINUITY-DR;OPS-OBSERVABILITY</t>
        </is>
      </c>
      <c r="M152" s="4" t="n"/>
      <c r="N152" s="4" t="n"/>
      <c r="O152" s="4" t="n"/>
      <c r="P152" s="4" t="n"/>
      <c r="Q152" s="4" t="n"/>
      <c r="R152" s="4" t="n"/>
      <c r="S152" s="4" t="n"/>
      <c r="T152" s="4" t="n"/>
      <c r="U152" s="4" t="n"/>
      <c r="V152" s="4" t="n"/>
      <c r="W152" s="4" t="n"/>
    </row>
  </sheetData>
  <autoFilter ref="A1:W152"/>
  <conditionalFormatting sqref="O2:O2000">
    <cfRule type="cellIs" priority="1" operator="equal" dxfId="0">
      <formula>"Fail"</formula>
    </cfRule>
    <cfRule type="cellIs" priority="2" operator="equal" dxfId="1">
      <formula>"Pass"</formula>
    </cfRule>
    <cfRule type="cellIs" priority="4" operator="equal" dxfId="0">
      <formula>"Fail"</formula>
    </cfRule>
    <cfRule type="cellIs" priority="5" operator="equal" dxfId="1">
      <formula>"Pass"</formula>
    </cfRule>
    <cfRule type="cellIs" priority="7" operator="equal" dxfId="0">
      <formula>"Fail"</formula>
    </cfRule>
    <cfRule type="cellIs" priority="8" operator="equal" dxfId="1">
      <formula>"Pass"</formula>
    </cfRule>
    <cfRule type="cellIs" priority="10" operator="equal" dxfId="0">
      <formula>"Fail"</formula>
    </cfRule>
    <cfRule type="cellIs" priority="11" operator="equal" dxfId="1">
      <formula>"Pass"</formula>
    </cfRule>
    <cfRule type="cellIs" priority="13" operator="equal" dxfId="0">
      <formula>"Fail"</formula>
    </cfRule>
    <cfRule type="cellIs" priority="14" operator="equal" dxfId="1">
      <formula>"Pass"</formula>
    </cfRule>
  </conditionalFormatting>
  <conditionalFormatting sqref="N2:N2000">
    <cfRule type="cellIs" priority="3" operator="equal" dxfId="2">
      <formula>"N/A"</formula>
    </cfRule>
    <cfRule type="cellIs" priority="6" operator="equal" dxfId="2">
      <formula>"N/A"</formula>
    </cfRule>
    <cfRule type="cellIs" priority="9" operator="equal" dxfId="2">
      <formula>"N/A"</formula>
    </cfRule>
    <cfRule type="cellIs" priority="12" operator="equal" dxfId="2">
      <formula>"N/A"</formula>
    </cfRule>
    <cfRule type="cellIs" priority="15" operator="equal" dxfId="2">
      <formula>"N/A"</formula>
    </cfRule>
  </conditionalFormatting>
  <dataValidations count="20">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s>
  <pageMargins left="0.75" right="0.75" top="1" bottom="1" header="0.5" footer="0.5"/>
  <pageSetup orientation="landscape" fitToWidth="1"/>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W81"/>
  <sheetViews>
    <sheetView workbookViewId="0">
      <pane xSplit="4" ySplit="1" topLeftCell="E2"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4" customWidth="1" min="1" max="1"/>
    <col width="14" customWidth="1" min="2" max="2"/>
    <col width="28" customWidth="1" min="3" max="3"/>
    <col width="12" customWidth="1" min="4" max="4"/>
    <col width="46" customWidth="1" min="5" max="5"/>
    <col width="52" customWidth="1" min="6" max="6"/>
    <col width="48" customWidth="1" min="7" max="7"/>
    <col width="46" customWidth="1" min="8" max="8"/>
    <col width="18" customWidth="1" min="9" max="9"/>
    <col width="38" customWidth="1" min="10" max="10"/>
    <col width="28" customWidth="1" min="11" max="11"/>
    <col width="25" customWidth="1" min="12" max="12"/>
    <col width="13" customWidth="1" min="13" max="13"/>
    <col width="12" customWidth="1" min="14" max="14"/>
    <col width="12" customWidth="1" min="15" max="15"/>
    <col width="38" customWidth="1" min="16" max="16"/>
    <col width="24" customWidth="1" min="17" max="17"/>
    <col width="30" customWidth="1" min="18" max="18"/>
    <col width="23" customWidth="1" min="19" max="19"/>
    <col width="15" customWidth="1" min="20" max="20"/>
    <col width="18" customWidth="1" min="21" max="21"/>
    <col width="15" customWidth="1" min="22" max="22"/>
    <col width="15" customWidth="1" min="23" max="23"/>
  </cols>
  <sheetData>
    <row r="1">
      <c r="A1" s="3" t="inlineStr">
        <is>
          <t>ID</t>
        </is>
      </c>
      <c r="B1" s="3" t="inlineStr">
        <is>
          <t>区分</t>
        </is>
      </c>
      <c r="C1" s="3" t="inlineStr">
        <is>
          <t>カテゴリ</t>
        </is>
      </c>
      <c r="D1" s="3" t="inlineStr">
        <is>
          <t>基準重要度</t>
        </is>
      </c>
      <c r="E1" s="3" t="inlineStr">
        <is>
          <t>チェック項目</t>
        </is>
      </c>
      <c r="F1" s="3" t="inlineStr">
        <is>
          <t>合格基準</t>
        </is>
      </c>
      <c r="G1" s="3" t="inlineStr">
        <is>
          <t>意図(なぜ確認するか)</t>
        </is>
      </c>
      <c r="H1" s="3" t="inlineStr">
        <is>
          <t>対象ドキュメント(参照箇所)</t>
        </is>
      </c>
      <c r="I1" s="21" t="inlineStr">
        <is>
          <t>適用プロファイル</t>
        </is>
      </c>
      <c r="J1" s="21" t="inlineStr">
        <is>
          <t>適用条件</t>
        </is>
      </c>
      <c r="K1" s="21" t="inlineStr">
        <is>
          <t>出典ID</t>
        </is>
      </c>
      <c r="L1" s="21" t="inlineStr">
        <is>
          <t>重複統制グループ</t>
        </is>
      </c>
      <c r="M1" s="21" t="inlineStr">
        <is>
          <t>案件重要度</t>
        </is>
      </c>
      <c r="N1" s="21" t="inlineStr">
        <is>
          <t>適用判定</t>
        </is>
      </c>
      <c r="O1" s="21" t="inlineStr">
        <is>
          <t>判定</t>
        </is>
      </c>
      <c r="P1" s="21" t="inlineStr">
        <is>
          <t>証跡・参照箇所</t>
        </is>
      </c>
      <c r="Q1" s="21" t="inlineStr">
        <is>
          <t>指摘・Issue ID</t>
        </is>
      </c>
      <c r="R1" s="21" t="inlineStr">
        <is>
          <t>対応方針</t>
        </is>
      </c>
      <c r="S1" s="21" t="inlineStr">
        <is>
          <t>例外・リスク受容承認者</t>
        </is>
      </c>
      <c r="T1" s="21" t="inlineStr">
        <is>
          <t>是正期限</t>
        </is>
      </c>
      <c r="U1" s="21" t="inlineStr">
        <is>
          <t>レビュアー</t>
        </is>
      </c>
      <c r="V1" s="21" t="inlineStr">
        <is>
          <t>レビュー日</t>
        </is>
      </c>
      <c r="W1" s="21" t="inlineStr">
        <is>
          <t>再確認結果</t>
        </is>
      </c>
    </row>
    <row r="2">
      <c r="A2" s="5" t="inlineStr">
        <is>
          <t>OCI-001</t>
        </is>
      </c>
      <c r="B2" s="5" t="inlineStr">
        <is>
          <t>WAF</t>
        </is>
      </c>
      <c r="C2" s="4" t="inlineStr">
        <is>
          <t>セキュリティとコンプライアンス / Security and Compliance</t>
        </is>
      </c>
      <c r="D2" s="8" t="inlineStr">
        <is>
          <t>Critical</t>
        </is>
      </c>
      <c r="E2" s="4" t="inlineStr">
        <is>
          <t>テナンシ管理者およびIAM管理者権限を持つ全ローカルユーザーにMFA(多要素認証)が有効化されているか</t>
        </is>
      </c>
      <c r="F2" s="4" t="inlineStr">
        <is>
          <t>OCI IAMアイデンティティドメインのサインオンポリシーでMFAが必須化され、管理者グループの全メンバーがMFA登録済みであること</t>
        </is>
      </c>
      <c r="G2" s="4" t="inlineStr">
        <is>
          <t>パスワード漏えい単独でテナンシ全体の乗っ取りに直結するのを防ぐ。管理者アカウント侵害は全リソースの破壊・データ侵害につながる。</t>
        </is>
      </c>
      <c r="H2" s="4" t="inlineStr">
        <is>
          <t>Well-Architected Framework for OCI &gt; Security and Compliance &gt; Manage Identities and Authorization Policies &gt; Use Multi-Factor Authentication (MFA)</t>
        </is>
      </c>
      <c r="I2" s="4" t="inlineStr">
        <is>
          <t>OCI-DELTA</t>
        </is>
      </c>
      <c r="J2" s="4" t="inlineStr">
        <is>
          <t>OCI採用時に、CLOUD-COMMONで未評価のOCI固有差分へ適用。</t>
        </is>
      </c>
      <c r="K2" s="4" t="inlineStr">
        <is>
          <t>SRC-OCI-WAF</t>
        </is>
      </c>
      <c r="L2" s="4" t="inlineStr">
        <is>
          <t>SEC-IAM</t>
        </is>
      </c>
      <c r="M2" s="4" t="n"/>
      <c r="N2" s="4" t="n"/>
      <c r="O2" s="4" t="n"/>
      <c r="P2" s="4" t="n"/>
      <c r="Q2" s="4" t="n"/>
      <c r="R2" s="4" t="n"/>
      <c r="S2" s="4" t="n"/>
      <c r="T2" s="4" t="n"/>
      <c r="U2" s="4" t="n"/>
      <c r="V2" s="4" t="n"/>
      <c r="W2" s="4" t="n"/>
    </row>
    <row r="3">
      <c r="A3" s="5" t="inlineStr">
        <is>
          <t>OCI-002</t>
        </is>
      </c>
      <c r="B3" s="5" t="inlineStr">
        <is>
          <t>WAF</t>
        </is>
      </c>
      <c r="C3" s="4" t="inlineStr">
        <is>
          <t>セキュリティとコンプライアンス / Security and Compliance</t>
        </is>
      </c>
      <c r="D3" s="9" t="inlineStr">
        <is>
          <t>High</t>
        </is>
      </c>
      <c r="E3" s="4" t="inlineStr">
        <is>
          <t>テナンシ管理者アカウントを日常運用に使用せず、業務ロール別のグループ・ユーザーで運用しているか</t>
        </is>
      </c>
      <c r="F3" s="4" t="inlineStr">
        <is>
          <t>テナンシ管理者アカウントの利用が緊急時に限定され、日常操作は最小権限の専用グループ経由であることが監査ログで確認できること</t>
        </is>
      </c>
      <c r="G3" s="4" t="inlineStr">
        <is>
          <t>全能アカウントの常用は誤操作・侵害時の被害範囲を最大化する。ブレークグラス運用に限定して爆発半径を抑える。</t>
        </is>
      </c>
      <c r="H3" s="4" t="inlineStr">
        <is>
          <t>Well-Architected Framework for OCI &gt; Security and Compliance &gt; Manage Identities and Authorization Policies &gt; Don't Use the Tenancy Administrator Account for Day-to-Day Operations</t>
        </is>
      </c>
      <c r="I3" s="4" t="inlineStr">
        <is>
          <t>OCI-DELTA</t>
        </is>
      </c>
      <c r="J3" s="4" t="inlineStr">
        <is>
          <t>OCI採用時に、CLOUD-COMMONで未評価のOCI固有差分へ適用。</t>
        </is>
      </c>
      <c r="K3" s="4" t="inlineStr">
        <is>
          <t>SRC-OCI-WAF;SRC-NIST</t>
        </is>
      </c>
      <c r="L3" s="4" t="inlineStr"/>
      <c r="M3" s="4" t="n"/>
      <c r="N3" s="4" t="n"/>
      <c r="O3" s="4" t="n"/>
      <c r="P3" s="4" t="n"/>
      <c r="Q3" s="4" t="n"/>
      <c r="R3" s="4" t="n"/>
      <c r="S3" s="4" t="n"/>
      <c r="T3" s="4" t="n"/>
      <c r="U3" s="4" t="n"/>
      <c r="V3" s="4" t="n"/>
      <c r="W3" s="4" t="n"/>
    </row>
    <row r="4">
      <c r="A4" s="5" t="inlineStr">
        <is>
          <t>OCI-003</t>
        </is>
      </c>
      <c r="B4" s="5" t="inlineStr">
        <is>
          <t>WAF</t>
        </is>
      </c>
      <c r="C4" s="4" t="inlineStr">
        <is>
          <t>セキュリティとコンプライアンス / Security and Compliance</t>
        </is>
      </c>
      <c r="D4" s="9" t="inlineStr">
        <is>
          <t>High</t>
        </is>
      </c>
      <c r="E4" s="4" t="inlineStr">
        <is>
          <t>IAM管理者グループがデフォルト管理者(Administrators)グループや資格情報管理者グループを管理できないよう制限されているか</t>
        </is>
      </c>
      <c r="F4" s="4" t="inlineStr">
        <is>
          <t>IAMポリシーで委任管理者グループのtarget.group条件にAdministrators等が除外指定されていること</t>
        </is>
      </c>
      <c r="G4" s="4" t="inlineStr">
        <is>
          <t>委任されたIAM管理者が自身を最上位管理者グループへ追加する権限昇格経路を塞ぐ。</t>
        </is>
      </c>
      <c r="H4" s="4" t="inlineStr">
        <is>
          <t>Well-Architected Framework for OCI &gt; Security and Compliance &gt; Manage Identities and Authorization Policies &gt; Restrict IAM Administrator Groups from Managing Default Administrators and Credential Administrators Groups</t>
        </is>
      </c>
      <c r="I4" s="4" t="inlineStr">
        <is>
          <t>OCI-DELTA</t>
        </is>
      </c>
      <c r="J4" s="4" t="inlineStr">
        <is>
          <t>OCI採用時に、CLOUD-COMMONで未評価のOCI固有差分へ適用。</t>
        </is>
      </c>
      <c r="K4" s="4" t="inlineStr">
        <is>
          <t>SRC-OCI-WAF;SRC-NIST</t>
        </is>
      </c>
      <c r="L4" s="4" t="inlineStr">
        <is>
          <t>SEC-IAM</t>
        </is>
      </c>
      <c r="M4" s="4" t="n"/>
      <c r="N4" s="4" t="n"/>
      <c r="O4" s="4" t="n"/>
      <c r="P4" s="4" t="n"/>
      <c r="Q4" s="4" t="n"/>
      <c r="R4" s="4" t="n"/>
      <c r="S4" s="4" t="n"/>
      <c r="T4" s="4" t="n"/>
      <c r="U4" s="4" t="n"/>
      <c r="V4" s="4" t="n"/>
      <c r="W4" s="4" t="n"/>
    </row>
    <row r="5">
      <c r="A5" s="5" t="inlineStr">
        <is>
          <t>OCI-004</t>
        </is>
      </c>
      <c r="B5" s="5" t="inlineStr">
        <is>
          <t>WAF</t>
        </is>
      </c>
      <c r="C5" s="4" t="inlineStr">
        <is>
          <t>セキュリティとコンプライアンス / Security and Compliance</t>
        </is>
      </c>
      <c r="D5" s="9" t="inlineStr">
        <is>
          <t>High</t>
        </is>
      </c>
      <c r="E5" s="4" t="inlineStr">
        <is>
          <t>アクセスポリシーの誤削除・改変を防止する統制(ポリシー管理権限の限定)があるか</t>
        </is>
      </c>
      <c r="F5" s="4" t="inlineStr">
        <is>
          <t>ポリシーのmanage権限が特定グループに限定され、ポリシー変更がOCI Auditイベントとして監視・通知されること</t>
        </is>
      </c>
      <c r="G5" s="4" t="inlineStr">
        <is>
          <t>ポリシーの意図しない削除は正当なアクセスの全停止または過剰許可による侵害を引き起こす。</t>
        </is>
      </c>
      <c r="H5" s="4" t="inlineStr">
        <is>
          <t>Well-Architected Framework for OCI &gt; Security and Compliance &gt; Manage Identities and Authorization Policies &gt; Prevent Accidental or Malicious Deletion of (and Changes to) Access Policies</t>
        </is>
      </c>
      <c r="I5" s="4" t="inlineStr">
        <is>
          <t>OCI-DELTA</t>
        </is>
      </c>
      <c r="J5" s="4" t="inlineStr">
        <is>
          <t>OCI採用時に、CLOUD-COMMONで未評価のOCI固有差分へ適用。</t>
        </is>
      </c>
      <c r="K5" s="4" t="inlineStr">
        <is>
          <t>SRC-OCI-WAF</t>
        </is>
      </c>
      <c r="L5" s="4" t="inlineStr"/>
      <c r="M5" s="4" t="n"/>
      <c r="N5" s="4" t="n"/>
      <c r="O5" s="4" t="n"/>
      <c r="P5" s="4" t="n"/>
      <c r="Q5" s="4" t="n"/>
      <c r="R5" s="4" t="n"/>
      <c r="S5" s="4" t="n"/>
      <c r="T5" s="4" t="n"/>
      <c r="U5" s="4" t="n"/>
      <c r="V5" s="4" t="n"/>
      <c r="W5" s="4" t="n"/>
    </row>
    <row r="6">
      <c r="A6" s="5" t="inlineStr">
        <is>
          <t>OCI-005</t>
        </is>
      </c>
      <c r="B6" s="5" t="inlineStr">
        <is>
          <t>WAF</t>
        </is>
      </c>
      <c r="C6" s="4" t="inlineStr">
        <is>
          <t>セキュリティとコンプライアンス / Security and Compliance</t>
        </is>
      </c>
      <c r="D6" s="10" t="inlineStr">
        <is>
          <t>Medium</t>
        </is>
      </c>
      <c r="E6" s="4" t="inlineStr">
        <is>
          <t>環境・用途(本番/非本番、社員/顧客)ごとに複数のアイデンティティドメインを分離しているか</t>
        </is>
      </c>
      <c r="F6" s="4" t="inlineStr">
        <is>
          <t>本番と開発・テスト、内部ユーザーと外部ユーザーで別のIAMアイデンティティドメインが定義されていること</t>
        </is>
      </c>
      <c r="G6" s="4" t="inlineStr">
        <is>
          <t>単一ドメイン共用では非本番のユーザー管理ミスが本番アクセスに波及する。認証境界を分けて影響を局所化する。</t>
        </is>
      </c>
      <c r="H6" s="4" t="inlineStr">
        <is>
          <t>Well-Architected Framework for OCI &gt; Security and Compliance &gt; Manage Identities and Authorization Policies &gt; Use Multiple Identity Domains</t>
        </is>
      </c>
      <c r="I6" s="4" t="inlineStr">
        <is>
          <t>OCI-DELTA</t>
        </is>
      </c>
      <c r="J6" s="4" t="inlineStr">
        <is>
          <t>OCI採用時に、CLOUD-COMMONで未評価のOCI固有差分へ適用。</t>
        </is>
      </c>
      <c r="K6" s="4" t="inlineStr">
        <is>
          <t>SRC-OCI-WAF</t>
        </is>
      </c>
      <c r="L6" s="4" t="inlineStr"/>
      <c r="M6" s="4" t="n"/>
      <c r="N6" s="4" t="n"/>
      <c r="O6" s="4" t="n"/>
      <c r="P6" s="4" t="n"/>
      <c r="Q6" s="4" t="n"/>
      <c r="R6" s="4" t="n"/>
      <c r="S6" s="4" t="n"/>
      <c r="T6" s="4" t="n"/>
      <c r="U6" s="4" t="n"/>
      <c r="V6" s="4" t="n"/>
      <c r="W6" s="4" t="n"/>
    </row>
    <row r="7">
      <c r="A7" s="5" t="inlineStr">
        <is>
          <t>OCI-006</t>
        </is>
      </c>
      <c r="B7" s="5" t="inlineStr">
        <is>
          <t>WAF</t>
        </is>
      </c>
      <c r="C7" s="4" t="inlineStr">
        <is>
          <t>セキュリティとコンプライアンス / Security and Compliance</t>
        </is>
      </c>
      <c r="D7" s="10" t="inlineStr">
        <is>
          <t>Medium</t>
        </is>
      </c>
      <c r="E7" s="4" t="inlineStr">
        <is>
          <t>OCI IAMを既存IdP(Azure AD/Okta等)とフェデレーションし、ID管理を一元化しているか</t>
        </is>
      </c>
      <c r="F7" s="4" t="inlineStr">
        <is>
          <t>SAML/OIDCフェデレーションが構成され、ローカルIAMユーザーがブレークグラス等の例外に限定されていること</t>
        </is>
      </c>
      <c r="G7" s="4" t="inlineStr">
        <is>
          <t>IDの二重管理は退職者アカウントの残存や棚卸し漏れを生み、不正アクセスの温床となる。</t>
        </is>
      </c>
      <c r="H7" s="4" t="inlineStr">
        <is>
          <t>Well-Architected Framework for OCI &gt; Security and Compliance &gt; Manage Identities and Authorization Policies &gt; Federate Oracle Cloud Infrastructure Identity and Access Management</t>
        </is>
      </c>
      <c r="I7" s="4" t="inlineStr">
        <is>
          <t>OCI-DELTA</t>
        </is>
      </c>
      <c r="J7" s="4" t="inlineStr">
        <is>
          <t>OCI採用時に、CLOUD-COMMONで未評価のOCI固有差分へ適用。</t>
        </is>
      </c>
      <c r="K7" s="4" t="inlineStr">
        <is>
          <t>SRC-OCI-WAF</t>
        </is>
      </c>
      <c r="L7" s="4" t="inlineStr">
        <is>
          <t>SEC-IAM</t>
        </is>
      </c>
      <c r="M7" s="4" t="n"/>
      <c r="N7" s="4" t="n"/>
      <c r="O7" s="4" t="n"/>
      <c r="P7" s="4" t="n"/>
      <c r="Q7" s="4" t="n"/>
      <c r="R7" s="4" t="n"/>
      <c r="S7" s="4" t="n"/>
      <c r="T7" s="4" t="n"/>
      <c r="U7" s="4" t="n"/>
      <c r="V7" s="4" t="n"/>
      <c r="W7" s="4" t="n"/>
    </row>
    <row r="8">
      <c r="A8" s="5" t="inlineStr">
        <is>
          <t>OCI-007</t>
        </is>
      </c>
      <c r="B8" s="5" t="inlineStr">
        <is>
          <t>WAF</t>
        </is>
      </c>
      <c r="C8" s="4" t="inlineStr">
        <is>
          <t>セキュリティとコンプライアンス / Security and Compliance</t>
        </is>
      </c>
      <c r="D8" s="10" t="inlineStr">
        <is>
          <t>Medium</t>
        </is>
      </c>
      <c r="E8" s="4" t="inlineStr">
        <is>
          <t>全ユーザーのアクティビティと状態(未使用アカウント、APIキーの棚卸し)を定期的に監視・管理しているか</t>
        </is>
      </c>
      <c r="F8" s="4" t="inlineStr">
        <is>
          <t>未使用ユーザー・古いAPIキー/認証トークンの検出と無効化のプロセスが定義され、定期実行の記録があること</t>
        </is>
      </c>
      <c r="G8" s="4" t="inlineStr">
        <is>
          <t>放置された休眠アカウントや長期未ローテーションの認証情報は攻撃者の侵入口となる。</t>
        </is>
      </c>
      <c r="H8" s="4" t="inlineStr">
        <is>
          <t>Well-Architected Framework for OCI &gt; Security and Compliance &gt; Manage Identities and Authorization Policies &gt; Monitor and Manage the Activities and Status of All Users</t>
        </is>
      </c>
      <c r="I8" s="4" t="inlineStr">
        <is>
          <t>OCI-DELTA</t>
        </is>
      </c>
      <c r="J8" s="4" t="inlineStr">
        <is>
          <t>OCI採用時に、CLOUD-COMMONで未評価のOCI固有差分へ適用。</t>
        </is>
      </c>
      <c r="K8" s="4" t="inlineStr">
        <is>
          <t>SRC-OCI-WAF</t>
        </is>
      </c>
      <c r="L8" s="4" t="inlineStr">
        <is>
          <t>OPS-OBSERVABILITY</t>
        </is>
      </c>
      <c r="M8" s="4" t="n"/>
      <c r="N8" s="4" t="n"/>
      <c r="O8" s="4" t="n"/>
      <c r="P8" s="4" t="n"/>
      <c r="Q8" s="4" t="n"/>
      <c r="R8" s="4" t="n"/>
      <c r="S8" s="4" t="n"/>
      <c r="T8" s="4" t="n"/>
      <c r="U8" s="4" t="n"/>
      <c r="V8" s="4" t="n"/>
      <c r="W8" s="4" t="n"/>
    </row>
    <row r="9">
      <c r="A9" s="5" t="inlineStr">
        <is>
          <t>OCI-008</t>
        </is>
      </c>
      <c r="B9" s="5" t="inlineStr">
        <is>
          <t>WAF</t>
        </is>
      </c>
      <c r="C9" s="4" t="inlineStr">
        <is>
          <t>セキュリティとコンプライアンス / Security and Compliance</t>
        </is>
      </c>
      <c r="D9" s="9" t="inlineStr">
        <is>
          <t>High</t>
        </is>
      </c>
      <c r="E9" s="4" t="inlineStr">
        <is>
          <t>コンパートメントとタグでリソースが組織・環境・ワークロード単位に整理され、コンパートメント単位でアクセス制御されているか</t>
        </is>
      </c>
      <c r="F9" s="4" t="inlineStr">
        <is>
          <t>ルートコンパートメント直下にリソースを置かず、環境/プロジェクト別のコンパートメント階層とIAMポリシーが定義されていること</t>
        </is>
      </c>
      <c r="G9" s="4" t="inlineStr">
        <is>
          <t>コンパートメント未分離ではポリシーが粗くなり過剰権限が常態化する。課金・監査の単位も失われる。</t>
        </is>
      </c>
      <c r="H9" s="4" t="inlineStr">
        <is>
          <t>Well-Architected Framework for OCI &gt; Security and Compliance &gt; Isolate Resources and Control Access &gt; Organize Resources Using Compartments and Tags</t>
        </is>
      </c>
      <c r="I9" s="4" t="inlineStr">
        <is>
          <t>OCI-DELTA</t>
        </is>
      </c>
      <c r="J9" s="4" t="inlineStr">
        <is>
          <t>OCI採用時に、CLOUD-COMMONで未評価のOCI固有差分へ適用。</t>
        </is>
      </c>
      <c r="K9" s="4" t="inlineStr">
        <is>
          <t>SRC-OCI-WAF;SRC-ISO-GENERAL</t>
        </is>
      </c>
      <c r="L9" s="4" t="inlineStr"/>
      <c r="M9" s="4" t="n"/>
      <c r="N9" s="4" t="n"/>
      <c r="O9" s="4" t="n"/>
      <c r="P9" s="4" t="n"/>
      <c r="Q9" s="4" t="n"/>
      <c r="R9" s="4" t="n"/>
      <c r="S9" s="4" t="n"/>
      <c r="T9" s="4" t="n"/>
      <c r="U9" s="4" t="n"/>
      <c r="V9" s="4" t="n"/>
      <c r="W9" s="4" t="n"/>
    </row>
    <row r="10">
      <c r="A10" s="5" t="inlineStr">
        <is>
          <t>OCI-009</t>
        </is>
      </c>
      <c r="B10" s="5" t="inlineStr">
        <is>
          <t>WAF</t>
        </is>
      </c>
      <c r="C10" s="4" t="inlineStr">
        <is>
          <t>セキュリティとコンプライアンス / Security and Compliance</t>
        </is>
      </c>
      <c r="D10" s="8" t="inlineStr">
        <is>
          <t>Critical</t>
        </is>
      </c>
      <c r="E10" s="4" t="inlineStr">
        <is>
          <t>コンピュートインスタンス上にユーザー資格情報(APIキー等)を保存せず、インスタンスプリンシパル/リソースプリンシパルを使用しているか</t>
        </is>
      </c>
      <c r="F10" s="4" t="inlineStr">
        <is>
          <t>インスタンスからのOCI API呼び出しが動的グループ+インスタンスプリンシパル認証で行われ、構成ファイル内に秘密鍵が存在しないこと</t>
        </is>
      </c>
      <c r="G10" s="4" t="inlineStr">
        <is>
          <t>インスタンス侵害時に埋め込み資格情報が窃取されると、被害がテナンシ全体へ横展開する。</t>
        </is>
      </c>
      <c r="H10" s="4" t="inlineStr">
        <is>
          <t>Well-Architected Framework for OCI &gt; Security and Compliance &gt; Isolate Resources and Control Access &gt; Don't Store User Credentials on Compute Instances</t>
        </is>
      </c>
      <c r="I10" s="4" t="inlineStr">
        <is>
          <t>OCI-DELTA</t>
        </is>
      </c>
      <c r="J10" s="4" t="inlineStr">
        <is>
          <t>OCI採用時に、CLOUD-COMMONで未評価のOCI固有差分へ適用。</t>
        </is>
      </c>
      <c r="K10" s="4" t="inlineStr">
        <is>
          <t>SRC-OCI-WAF;SRC-ISO-GENERAL</t>
        </is>
      </c>
      <c r="L10" s="4" t="inlineStr"/>
      <c r="M10" s="4" t="n"/>
      <c r="N10" s="4" t="n"/>
      <c r="O10" s="4" t="n"/>
      <c r="P10" s="4" t="n"/>
      <c r="Q10" s="4" t="n"/>
      <c r="R10" s="4" t="n"/>
      <c r="S10" s="4" t="n"/>
      <c r="T10" s="4" t="n"/>
      <c r="U10" s="4" t="n"/>
      <c r="V10" s="4" t="n"/>
      <c r="W10" s="4" t="n"/>
    </row>
    <row r="11">
      <c r="A11" s="5" t="inlineStr">
        <is>
          <t>OCI-010</t>
        </is>
      </c>
      <c r="B11" s="5" t="inlineStr">
        <is>
          <t>WAF</t>
        </is>
      </c>
      <c r="C11" s="4" t="inlineStr">
        <is>
          <t>セキュリティとコンプライアンス / Security and Compliance</t>
        </is>
      </c>
      <c r="D11" s="9" t="inlineStr">
        <is>
          <t>High</t>
        </is>
      </c>
      <c r="E11" s="4" t="inlineStr">
        <is>
          <t>コンピュートインスタンスへのログインが強化されているか(SSH鍵認証、パスワードログイン禁止、Bastion経由アクセス)</t>
        </is>
      </c>
      <c r="F11" s="4" t="inlineStr">
        <is>
          <t>パスワードSSHが無効、管理アクセスがOCI Bastion等の踏み台経由に限定され、公開サブネットへの直接SSH許可がないこと</t>
        </is>
      </c>
      <c r="G11" s="4" t="inlineStr">
        <is>
          <t>インターネットに露出したSSH/RDPはブルートフォースの標的となり、侵入起点になる。</t>
        </is>
      </c>
      <c r="H11" s="4" t="inlineStr">
        <is>
          <t>Well-Architected Framework for OCI &gt; Security and Compliance &gt; Isolate Resources and Control Access &gt; Harden Login Access to Compute Instances</t>
        </is>
      </c>
      <c r="I11" s="4" t="inlineStr">
        <is>
          <t>OCI-DELTA</t>
        </is>
      </c>
      <c r="J11" s="4" t="inlineStr">
        <is>
          <t>OCI採用時に、CLOUD-COMMONで未評価のOCI固有差分へ適用。</t>
        </is>
      </c>
      <c r="K11" s="4" t="inlineStr">
        <is>
          <t>SRC-OCI-WAF;SRC-ISO-GENERAL</t>
        </is>
      </c>
      <c r="L11" s="4" t="inlineStr">
        <is>
          <t>SEC-IAM;OPS-OBSERVABILITY</t>
        </is>
      </c>
      <c r="M11" s="4" t="n"/>
      <c r="N11" s="4" t="n"/>
      <c r="O11" s="4" t="n"/>
      <c r="P11" s="4" t="n"/>
      <c r="Q11" s="4" t="n"/>
      <c r="R11" s="4" t="n"/>
      <c r="S11" s="4" t="n"/>
      <c r="T11" s="4" t="n"/>
      <c r="U11" s="4" t="n"/>
      <c r="V11" s="4" t="n"/>
      <c r="W11" s="4" t="n"/>
    </row>
    <row r="12">
      <c r="A12" s="5" t="inlineStr">
        <is>
          <t>OCI-011</t>
        </is>
      </c>
      <c r="B12" s="5" t="inlineStr">
        <is>
          <t>WAF</t>
        </is>
      </c>
      <c r="C12" s="4" t="inlineStr">
        <is>
          <t>セキュリティとコンプライアンス / Security and Compliance</t>
        </is>
      </c>
      <c r="D12" s="9" t="inlineStr">
        <is>
          <t>High</t>
        </is>
      </c>
      <c r="E12" s="4" t="inlineStr">
        <is>
          <t>機密性の高いコンパートメントにOCIセキュリティゾーンを適用し、セキュリティポリシー違反構成を作成不能にしているか</t>
        </is>
      </c>
      <c r="F12" s="4" t="inlineStr">
        <is>
          <t>本番の機密ワークロードのコンパートメントにセキュリティゾーンレシピが関連付けられ、パブリックバケット作成等が拒否されること</t>
        </is>
      </c>
      <c r="G12" s="4" t="inlineStr">
        <is>
          <t>予防的ガードレールがないと、人為ミスによる公開設定・非暗号化リソースの作成を事後にしか検知できない。</t>
        </is>
      </c>
      <c r="H12" s="4" t="inlineStr">
        <is>
          <t>Well-Architected Framework for OCI &gt; Security and Compliance &gt; Isolate Resources and Control Access &gt; Define Security Zones</t>
        </is>
      </c>
      <c r="I12" s="4" t="inlineStr">
        <is>
          <t>OCI-DELTA</t>
        </is>
      </c>
      <c r="J12" s="4" t="inlineStr">
        <is>
          <t>OCI採用時に、CLOUD-COMMONで未評価のOCI固有差分へ適用。</t>
        </is>
      </c>
      <c r="K12" s="4" t="inlineStr">
        <is>
          <t>SRC-OCI-WAF;SRC-ISO-GENERAL</t>
        </is>
      </c>
      <c r="L12" s="4" t="inlineStr"/>
      <c r="M12" s="4" t="n"/>
      <c r="N12" s="4" t="n"/>
      <c r="O12" s="4" t="n"/>
      <c r="P12" s="4" t="n"/>
      <c r="Q12" s="4" t="n"/>
      <c r="R12" s="4" t="n"/>
      <c r="S12" s="4" t="n"/>
      <c r="T12" s="4" t="n"/>
      <c r="U12" s="4" t="n"/>
      <c r="V12" s="4" t="n"/>
      <c r="W12" s="4" t="n"/>
    </row>
    <row r="13">
      <c r="A13" s="5" t="inlineStr">
        <is>
          <t>OCI-012</t>
        </is>
      </c>
      <c r="B13" s="5" t="inlineStr">
        <is>
          <t>WAF</t>
        </is>
      </c>
      <c r="C13" s="4" t="inlineStr">
        <is>
          <t>セキュリティとコンプライアンス / Security and Compliance</t>
        </is>
      </c>
      <c r="D13" s="9" t="inlineStr">
        <is>
          <t>High</t>
        </is>
      </c>
      <c r="E13" s="4" t="inlineStr">
        <is>
          <t>データベースへのユーザーアクセス・ネットワークアクセスが制御されているか(プライベートサブネット配置、NSG、最小権限DBユーザー)</t>
        </is>
      </c>
      <c r="F13" s="4" t="inlineStr">
        <is>
          <t>DBがプライベートサブネットに配置され、接続元がNSG/セキュリティリストでアプリ層に限定され、DBユーザー権限が業務単位で最小化されていること</t>
        </is>
      </c>
      <c r="G13" s="4" t="inlineStr">
        <is>
          <t>DBの公開露出や過剰権限はデータ侵害の最短経路。攻撃対象領域を最小化する。</t>
        </is>
      </c>
      <c r="H13" s="4" t="inlineStr">
        <is>
          <t>Well-Architected Framework for OCI &gt; Security and Compliance &gt; Secure Your Databases &gt; Control User and Network Access</t>
        </is>
      </c>
      <c r="I13" s="4" t="inlineStr">
        <is>
          <t>OCI-DELTA</t>
        </is>
      </c>
      <c r="J13" s="4" t="inlineStr">
        <is>
          <t>OCI採用時に、CLOUD-COMMONで未評価のOCI固有差分へ適用。</t>
        </is>
      </c>
      <c r="K13" s="4" t="inlineStr">
        <is>
          <t>SRC-OCI-WAF</t>
        </is>
      </c>
      <c r="L13" s="4" t="inlineStr">
        <is>
          <t>SEC-IAM</t>
        </is>
      </c>
      <c r="M13" s="4" t="n"/>
      <c r="N13" s="4" t="n"/>
      <c r="O13" s="4" t="n"/>
      <c r="P13" s="4" t="n"/>
      <c r="Q13" s="4" t="n"/>
      <c r="R13" s="4" t="n"/>
      <c r="S13" s="4" t="n"/>
      <c r="T13" s="4" t="n"/>
      <c r="U13" s="4" t="n"/>
      <c r="V13" s="4" t="n"/>
      <c r="W13" s="4" t="n"/>
    </row>
    <row r="14">
      <c r="A14" s="5" t="inlineStr">
        <is>
          <t>OCI-013</t>
        </is>
      </c>
      <c r="B14" s="5" t="inlineStr">
        <is>
          <t>WAF</t>
        </is>
      </c>
      <c r="C14" s="4" t="inlineStr">
        <is>
          <t>セキュリティとコンプライアンス / Security and Compliance</t>
        </is>
      </c>
      <c r="D14" s="9" t="inlineStr">
        <is>
          <t>High</t>
        </is>
      </c>
      <c r="E14" s="4" t="inlineStr">
        <is>
          <t>データベースリソースの削除権限が限定され、削除保護策が講じられているか</t>
        </is>
      </c>
      <c r="F14" s="4" t="inlineStr">
        <is>
          <t>DB削除を許可するIAMポリシーが専任グループに限定され、where条件等で削除操作が制限されていること</t>
        </is>
      </c>
      <c r="G14" s="4" t="inlineStr">
        <is>
          <t>誤操作・悪意によるDB削除は即データ損失となる。削除権限の分離で不可逆事故を防ぐ。</t>
        </is>
      </c>
      <c r="H14" s="4" t="inlineStr">
        <is>
          <t>Well-Architected Framework for OCI &gt; Security and Compliance &gt; Secure Your Databases &gt; Restrict Permissions for Deleting Database Resources</t>
        </is>
      </c>
      <c r="I14" s="4" t="inlineStr">
        <is>
          <t>OCI-DELTA</t>
        </is>
      </c>
      <c r="J14" s="4" t="inlineStr">
        <is>
          <t>OCI採用時に、CLOUD-COMMONで未評価のOCI固有差分へ適用。</t>
        </is>
      </c>
      <c r="K14" s="4" t="inlineStr">
        <is>
          <t>SRC-OCI-WAF</t>
        </is>
      </c>
      <c r="L14" s="4" t="inlineStr"/>
      <c r="M14" s="4" t="n"/>
      <c r="N14" s="4" t="n"/>
      <c r="O14" s="4" t="n"/>
      <c r="P14" s="4" t="n"/>
      <c r="Q14" s="4" t="n"/>
      <c r="R14" s="4" t="n"/>
      <c r="S14" s="4" t="n"/>
      <c r="T14" s="4" t="n"/>
      <c r="U14" s="4" t="n"/>
      <c r="V14" s="4" t="n"/>
      <c r="W14" s="4" t="n"/>
    </row>
    <row r="15">
      <c r="A15" s="5" t="inlineStr">
        <is>
          <t>OCI-014</t>
        </is>
      </c>
      <c r="B15" s="5" t="inlineStr">
        <is>
          <t>WAF</t>
        </is>
      </c>
      <c r="C15" s="4" t="inlineStr">
        <is>
          <t>セキュリティとコンプライアンス / Security and Compliance</t>
        </is>
      </c>
      <c r="D15" s="8" t="inlineStr">
        <is>
          <t>Critical</t>
        </is>
      </c>
      <c r="E15" s="4" t="inlineStr">
        <is>
          <t>データベースのデータが暗号化されているか(TDEによる保存時暗号化、TLSによる通信暗号化)</t>
        </is>
      </c>
      <c r="F15" s="4" t="inlineStr">
        <is>
          <t>全DBでTDEが有効、クライアント接続がTLS必須であり、暗号化無効のDBが存在しないこと</t>
        </is>
      </c>
      <c r="G15" s="4" t="inlineStr">
        <is>
          <t>ストレージやバックアップ媒体からの物理的・論理的窃取時に平文データが漏えいする事態を防ぐ。</t>
        </is>
      </c>
      <c r="H15" s="4" t="inlineStr">
        <is>
          <t>Well-Architected Framework for OCI &gt; Security and Compliance &gt; Secure Your Databases &gt; Encrypt Data</t>
        </is>
      </c>
      <c r="I15" s="4" t="inlineStr">
        <is>
          <t>OCI-DELTA</t>
        </is>
      </c>
      <c r="J15" s="4" t="inlineStr">
        <is>
          <t>OCI採用時に、CLOUD-COMMONで未評価のOCI固有差分へ適用。</t>
        </is>
      </c>
      <c r="K15" s="4" t="inlineStr">
        <is>
          <t>SRC-OCI-WAF</t>
        </is>
      </c>
      <c r="L15" s="4" t="inlineStr">
        <is>
          <t>SEC-CRYPTO</t>
        </is>
      </c>
      <c r="M15" s="4" t="n"/>
      <c r="N15" s="4" t="n"/>
      <c r="O15" s="4" t="n"/>
      <c r="P15" s="4" t="n"/>
      <c r="Q15" s="4" t="n"/>
      <c r="R15" s="4" t="n"/>
      <c r="S15" s="4" t="n"/>
      <c r="T15" s="4" t="n"/>
      <c r="U15" s="4" t="n"/>
      <c r="V15" s="4" t="n"/>
      <c r="W15" s="4" t="n"/>
    </row>
    <row r="16">
      <c r="A16" s="5" t="inlineStr">
        <is>
          <t>OCI-015</t>
        </is>
      </c>
      <c r="B16" s="5" t="inlineStr">
        <is>
          <t>WAF</t>
        </is>
      </c>
      <c r="C16" s="4" t="inlineStr">
        <is>
          <t>セキュリティとコンプライアンス / Security and Compliance</t>
        </is>
      </c>
      <c r="D16" s="9" t="inlineStr">
        <is>
          <t>High</t>
        </is>
      </c>
      <c r="E16" s="4" t="inlineStr">
        <is>
          <t>データベースへのセキュリティパッチ適用の計画・実績があるか</t>
        </is>
      </c>
      <c r="F16" s="4" t="inlineStr">
        <is>
          <t>四半期のRelease Update等のパッチ適用スケジュールが定義され、適用実績が記録されていること</t>
        </is>
      </c>
      <c r="G16" s="4" t="inlineStr">
        <is>
          <t>既知脆弱性の放置は攻撃の常套的な侵入口。パッチ運用の欠如は侵害リスクを継続的に増大させる。</t>
        </is>
      </c>
      <c r="H16" s="4" t="inlineStr">
        <is>
          <t>Well-Architected Framework for OCI &gt; Security and Compliance &gt; Secure Your Databases &gt; Apply Security Patches</t>
        </is>
      </c>
      <c r="I16" s="4" t="inlineStr">
        <is>
          <t>OCI-DELTA</t>
        </is>
      </c>
      <c r="J16" s="4" t="inlineStr">
        <is>
          <t>OCI採用時に、CLOUD-COMMONで未評価のOCI固有差分へ適用。</t>
        </is>
      </c>
      <c r="K16" s="4" t="inlineStr">
        <is>
          <t>SRC-OCI-WAF</t>
        </is>
      </c>
      <c r="L16" s="4" t="inlineStr"/>
      <c r="M16" s="4" t="n"/>
      <c r="N16" s="4" t="n"/>
      <c r="O16" s="4" t="n"/>
      <c r="P16" s="4" t="n"/>
      <c r="Q16" s="4" t="n"/>
      <c r="R16" s="4" t="n"/>
      <c r="S16" s="4" t="n"/>
      <c r="T16" s="4" t="n"/>
      <c r="U16" s="4" t="n"/>
      <c r="V16" s="4" t="n"/>
      <c r="W16" s="4" t="n"/>
    </row>
    <row r="17">
      <c r="A17" s="5" t="inlineStr">
        <is>
          <t>OCI-016</t>
        </is>
      </c>
      <c r="B17" s="5" t="inlineStr">
        <is>
          <t>WAF</t>
        </is>
      </c>
      <c r="C17" s="4" t="inlineStr">
        <is>
          <t>セキュリティとコンプライアンス / Security and Compliance</t>
        </is>
      </c>
      <c r="D17" s="10" t="inlineStr">
        <is>
          <t>Medium</t>
        </is>
      </c>
      <c r="E17" s="4" t="inlineStr">
        <is>
          <t>Oracle Data Safeを有効化し、DBのセキュリティ評価・ユーザー評価・機密データ検出・監査を行っているか</t>
        </is>
      </c>
      <c r="F17" s="4" t="inlineStr">
        <is>
          <t>対象DBがData Safeに登録され、セキュリティアセスメントと監査証跡収集が定期実行されていること</t>
        </is>
      </c>
      <c r="G17" s="4" t="inlineStr">
        <is>
          <t>DB構成のドリフトや機密データの所在不明は、コンプライアンス違反や検知遅延を招く。</t>
        </is>
      </c>
      <c r="H17" s="4" t="inlineStr">
        <is>
          <t>Well-Architected Framework for OCI &gt; Security and Compliance &gt; Secure Your Databases &gt; Enable Data Safe</t>
        </is>
      </c>
      <c r="I17" s="4" t="inlineStr">
        <is>
          <t>OCI-DELTA</t>
        </is>
      </c>
      <c r="J17" s="4" t="inlineStr">
        <is>
          <t>OCI採用時に、CLOUD-COMMONで未評価のOCI固有差分へ適用。</t>
        </is>
      </c>
      <c r="K17" s="4" t="inlineStr">
        <is>
          <t>SRC-OCI-WAF</t>
        </is>
      </c>
      <c r="L17" s="4" t="inlineStr"/>
      <c r="M17" s="4" t="n"/>
      <c r="N17" s="4" t="n"/>
      <c r="O17" s="4" t="n"/>
      <c r="P17" s="4" t="n"/>
      <c r="Q17" s="4" t="n"/>
      <c r="R17" s="4" t="n"/>
      <c r="S17" s="4" t="n"/>
      <c r="T17" s="4" t="n"/>
      <c r="U17" s="4" t="n"/>
      <c r="V17" s="4" t="n"/>
      <c r="W17" s="4" t="n"/>
    </row>
    <row r="18">
      <c r="A18" s="5" t="inlineStr">
        <is>
          <t>OCI-017</t>
        </is>
      </c>
      <c r="B18" s="5" t="inlineStr">
        <is>
          <t>WAF</t>
        </is>
      </c>
      <c r="C18" s="4" t="inlineStr">
        <is>
          <t>セキュリティとコンプライアンス / Security and Compliance</t>
        </is>
      </c>
      <c r="D18" s="9" t="inlineStr">
        <is>
          <t>High</t>
        </is>
      </c>
      <c r="E18" s="4" t="inlineStr">
        <is>
          <t>Autonomous Databaseにプライベートエンドポイントを使用し、パブリックアクセスを避けているか</t>
        </is>
      </c>
      <c r="F18" s="4" t="inlineStr">
        <is>
          <t>本番Autonomous DBがVCN内プライベートエンドポイント構成であり、パブリックエンドポイントの場合はアクセス制御リストが構成されていること</t>
        </is>
      </c>
      <c r="G18" s="4" t="inlineStr">
        <is>
          <t>パブリックエンドポイントのDBは認証情報漏えい時にインターネットから直接攻撃可能になる。</t>
        </is>
      </c>
      <c r="H18" s="4" t="inlineStr">
        <is>
          <t>Well-Architected Framework for OCI &gt; Security and Compliance &gt; Secure Your Databases &gt; Enable Private Endpoints for Autonomous Databases</t>
        </is>
      </c>
      <c r="I18" s="4" t="inlineStr">
        <is>
          <t>OCI-DELTA</t>
        </is>
      </c>
      <c r="J18" s="4" t="inlineStr">
        <is>
          <t>OCI採用時に、CLOUD-COMMONで未評価のOCI固有差分へ適用。</t>
        </is>
      </c>
      <c r="K18" s="4" t="inlineStr">
        <is>
          <t>SRC-OCI-WAF</t>
        </is>
      </c>
      <c r="L18" s="4" t="inlineStr"/>
      <c r="M18" s="4" t="n"/>
      <c r="N18" s="4" t="n"/>
      <c r="O18" s="4" t="n"/>
      <c r="P18" s="4" t="n"/>
      <c r="Q18" s="4" t="n"/>
      <c r="R18" s="4" t="n"/>
      <c r="S18" s="4" t="n"/>
      <c r="T18" s="4" t="n"/>
      <c r="U18" s="4" t="n"/>
      <c r="V18" s="4" t="n"/>
      <c r="W18" s="4" t="n"/>
    </row>
    <row r="19">
      <c r="A19" s="5" t="inlineStr">
        <is>
          <t>OCI-018</t>
        </is>
      </c>
      <c r="B19" s="5" t="inlineStr">
        <is>
          <t>WAF</t>
        </is>
      </c>
      <c r="C19" s="4" t="inlineStr">
        <is>
          <t>セキュリティとコンプライアンス / Security and Compliance</t>
        </is>
      </c>
      <c r="D19" s="9" t="inlineStr">
        <is>
          <t>High</t>
        </is>
      </c>
      <c r="E19" s="4" t="inlineStr">
        <is>
          <t>ストレージリソース(Block Volume/Object Storage/File Storage)の削除権限が限定されているか</t>
        </is>
      </c>
      <c r="F19" s="4" t="inlineStr">
        <is>
          <t>ストレージ削除・上書きを許可するポリシーが専任グループに限定され、必要に応じ保持ルール(Retention Rules)が設定されていること</t>
        </is>
      </c>
      <c r="G19" s="4" t="inlineStr">
        <is>
          <t>削除権限の拡散は誤削除・ランサムウェアによる一括破壊のリスクを高める。</t>
        </is>
      </c>
      <c r="H19" s="4" t="inlineStr">
        <is>
          <t>Well-Architected Framework for OCI &gt; Security and Compliance &gt; Protect Data at Rest &gt; Restrict Permissions for Deleting Storage Resources</t>
        </is>
      </c>
      <c r="I19" s="4" t="inlineStr">
        <is>
          <t>OCI-DELTA</t>
        </is>
      </c>
      <c r="J19" s="4" t="inlineStr">
        <is>
          <t>OCI採用時に、CLOUD-COMMONで未評価のOCI固有差分へ適用。</t>
        </is>
      </c>
      <c r="K19" s="4" t="inlineStr">
        <is>
          <t>SRC-OCI-WAF</t>
        </is>
      </c>
      <c r="L19" s="4" t="inlineStr"/>
      <c r="M19" s="4" t="n"/>
      <c r="N19" s="4" t="n"/>
      <c r="O19" s="4" t="n"/>
      <c r="P19" s="4" t="n"/>
      <c r="Q19" s="4" t="n"/>
      <c r="R19" s="4" t="n"/>
      <c r="S19" s="4" t="n"/>
      <c r="T19" s="4" t="n"/>
      <c r="U19" s="4" t="n"/>
      <c r="V19" s="4" t="n"/>
      <c r="W19" s="4" t="n"/>
    </row>
    <row r="20">
      <c r="A20" s="5" t="inlineStr">
        <is>
          <t>OCI-019</t>
        </is>
      </c>
      <c r="B20" s="5" t="inlineStr">
        <is>
          <t>WAF</t>
        </is>
      </c>
      <c r="C20" s="4" t="inlineStr">
        <is>
          <t>セキュリティとコンプライアンス / Security and Compliance</t>
        </is>
      </c>
      <c r="D20" s="8" t="inlineStr">
        <is>
          <t>Critical</t>
        </is>
      </c>
      <c r="E20" s="4" t="inlineStr">
        <is>
          <t>Object Storageバケットがパブリックアクセス不可に設定され、事前認証リクエスト(PAR)の利用が統制されているか</t>
        </is>
      </c>
      <c r="F20" s="4" t="inlineStr">
        <is>
          <t>業務上の明示的な理由がある場合を除き全バケットがprivateであり、PARに有効期限が設定され棚卸しされていること</t>
        </is>
      </c>
      <c r="G20" s="4" t="inlineStr">
        <is>
          <t>パブリックバケットは最も頻発するクラウドデータ漏えい経路。設定ミス一つで全データが公開される。</t>
        </is>
      </c>
      <c r="H20" s="4" t="inlineStr">
        <is>
          <t>Well-Architected Framework for OCI &gt; Security and Compliance &gt; Protect Data at Rest &gt; Ensure Secure Access to Object Storage</t>
        </is>
      </c>
      <c r="I20" s="4" t="inlineStr">
        <is>
          <t>OCI-DELTA</t>
        </is>
      </c>
      <c r="J20" s="4" t="inlineStr">
        <is>
          <t>OCI採用時に、CLOUD-COMMONで未評価のOCI固有差分へ適用。</t>
        </is>
      </c>
      <c r="K20" s="4" t="inlineStr">
        <is>
          <t>SRC-OCI-WAF</t>
        </is>
      </c>
      <c r="L20" s="4" t="inlineStr">
        <is>
          <t>SEC-IAM</t>
        </is>
      </c>
      <c r="M20" s="4" t="n"/>
      <c r="N20" s="4" t="n"/>
      <c r="O20" s="4" t="n"/>
      <c r="P20" s="4" t="n"/>
      <c r="Q20" s="4" t="n"/>
      <c r="R20" s="4" t="n"/>
      <c r="S20" s="4" t="n"/>
      <c r="T20" s="4" t="n"/>
      <c r="U20" s="4" t="n"/>
      <c r="V20" s="4" t="n"/>
      <c r="W20" s="4" t="n"/>
    </row>
    <row r="21">
      <c r="A21" s="5" t="inlineStr">
        <is>
          <t>OCI-020</t>
        </is>
      </c>
      <c r="B21" s="5" t="inlineStr">
        <is>
          <t>WAF</t>
        </is>
      </c>
      <c r="C21" s="4" t="inlineStr">
        <is>
          <t>セキュリティとコンプライアンス / Security and Compliance</t>
        </is>
      </c>
      <c r="D21" s="9" t="inlineStr">
        <is>
          <t>High</t>
        </is>
      </c>
      <c r="E21" s="4" t="inlineStr">
        <is>
          <t>File Storageへのアクセスがエクスポートオプション・NFSセキュリティ設定で制限されているか</t>
        </is>
      </c>
      <c r="F21" s="4" t="inlineStr">
        <is>
          <t>ファイルシステムのエクスポートでソースCIDR制限・読み書き権限・squash設定が明示され、全開放(0.0.0.0/0でRW)がないこと</t>
        </is>
      </c>
      <c r="G21" s="4" t="inlineStr">
        <is>
          <t>エクスポート設定の不備は同一ネットワーク上の任意ホストからのファイル読み書きを許してしまう。</t>
        </is>
      </c>
      <c r="H21" s="4" t="inlineStr">
        <is>
          <t>Well-Architected Framework for OCI &gt; Security and Compliance &gt; Protect Data at Rest &gt; Ensure Secure Access to File Storage</t>
        </is>
      </c>
      <c r="I21" s="4" t="inlineStr">
        <is>
          <t>OCI-DELTA</t>
        </is>
      </c>
      <c r="J21" s="4" t="inlineStr">
        <is>
          <t>OCI採用時に、CLOUD-COMMONで未評価のOCI固有差分へ適用。</t>
        </is>
      </c>
      <c r="K21" s="4" t="inlineStr">
        <is>
          <t>SRC-OCI-WAF</t>
        </is>
      </c>
      <c r="L21" s="4" t="inlineStr"/>
      <c r="M21" s="4" t="n"/>
      <c r="N21" s="4" t="n"/>
      <c r="O21" s="4" t="n"/>
      <c r="P21" s="4" t="n"/>
      <c r="Q21" s="4" t="n"/>
      <c r="R21" s="4" t="n"/>
      <c r="S21" s="4" t="n"/>
      <c r="T21" s="4" t="n"/>
      <c r="U21" s="4" t="n"/>
      <c r="V21" s="4" t="n"/>
      <c r="W21" s="4" t="n"/>
    </row>
    <row r="22">
      <c r="A22" s="5" t="inlineStr">
        <is>
          <t>OCI-021</t>
        </is>
      </c>
      <c r="B22" s="5" t="inlineStr">
        <is>
          <t>WAF</t>
        </is>
      </c>
      <c r="C22" s="4" t="inlineStr">
        <is>
          <t>セキュリティとコンプライアンス / Security and Compliance</t>
        </is>
      </c>
      <c r="D22" s="9" t="inlineStr">
        <is>
          <t>High</t>
        </is>
      </c>
      <c r="E22" s="4" t="inlineStr">
        <is>
          <t>Block Volume/File Storage/Object Storageの暗号化について、要件に応じて顧客管理キー(Vault管理キー)を使用しているか</t>
        </is>
      </c>
      <c r="F22" s="4" t="inlineStr">
        <is>
          <t>規制要件のあるデータを保持するストレージがVaultの顧客管理キーで暗号化され、キーのローテーション方針があること</t>
        </is>
      </c>
      <c r="G22" s="4" t="inlineStr">
        <is>
          <t>Oracle管理キーのみではキーライフサイクルの統制要件(ローテーション・失効)を満たせない場合がある。</t>
        </is>
      </c>
      <c r="H22" s="4" t="inlineStr">
        <is>
          <t>Well-Architected Framework for OCI &gt; Security and Compliance &gt; Protect Data at Rest &gt; Encrypt Data in Block Volumes / Encrypt Data in Object Storage</t>
        </is>
      </c>
      <c r="I22" s="4" t="inlineStr">
        <is>
          <t>OCI-DELTA</t>
        </is>
      </c>
      <c r="J22" s="4" t="inlineStr">
        <is>
          <t>OCI採用時に、CLOUD-COMMONで未評価のOCI固有差分へ適用。</t>
        </is>
      </c>
      <c r="K22" s="4" t="inlineStr">
        <is>
          <t>SRC-OCI-WAF</t>
        </is>
      </c>
      <c r="L22" s="4" t="inlineStr">
        <is>
          <t>SEC-CRYPTO</t>
        </is>
      </c>
      <c r="M22" s="4" t="n"/>
      <c r="N22" s="4" t="n"/>
      <c r="O22" s="4" t="n"/>
      <c r="P22" s="4" t="n"/>
      <c r="Q22" s="4" t="n"/>
      <c r="R22" s="4" t="n"/>
      <c r="S22" s="4" t="n"/>
      <c r="T22" s="4" t="n"/>
      <c r="U22" s="4" t="n"/>
      <c r="V22" s="4" t="n"/>
      <c r="W22" s="4" t="n"/>
    </row>
    <row r="23">
      <c r="A23" s="5" t="inlineStr">
        <is>
          <t>OCI-022</t>
        </is>
      </c>
      <c r="B23" s="5" t="inlineStr">
        <is>
          <t>WAF</t>
        </is>
      </c>
      <c r="C23" s="4" t="inlineStr">
        <is>
          <t>セキュリティとコンプライアンス / Security and Compliance</t>
        </is>
      </c>
      <c r="D23" s="8" t="inlineStr">
        <is>
          <t>Critical</t>
        </is>
      </c>
      <c r="E23" s="4" t="inlineStr">
        <is>
          <t>暗号鍵とシークレット(パスワード・APIキー等)をOCI Vaultで集中管理し、コードや設定ファイルに平文で保持していないか</t>
        </is>
      </c>
      <c r="F23" s="4" t="inlineStr">
        <is>
          <t>アプリケーションのシークレットがVaultシークレットから動的に取得され、リポジトリ・イメージ内に平文シークレットが存在しないこと</t>
        </is>
      </c>
      <c r="G23" s="4" t="inlineStr">
        <is>
          <t>ハードコードされたシークレットはコード流出と同時に漏えいし、ローテーションも不可能になる。</t>
        </is>
      </c>
      <c r="H23" s="4" t="inlineStr">
        <is>
          <t>Well-Architected Framework for OCI &gt; Security and Compliance &gt; Protect Data at Rest &gt; Maintain Keys and Secrets in Oracle Cloud Infrastructure Vault</t>
        </is>
      </c>
      <c r="I23" s="4" t="inlineStr">
        <is>
          <t>OCI-DELTA</t>
        </is>
      </c>
      <c r="J23" s="4" t="inlineStr">
        <is>
          <t>OCI採用時に、CLOUD-COMMONで未評価のOCI固有差分へ適用。</t>
        </is>
      </c>
      <c r="K23" s="4" t="inlineStr">
        <is>
          <t>SRC-OCI-WAF</t>
        </is>
      </c>
      <c r="L23" s="4" t="inlineStr">
        <is>
          <t>SEC-CRYPTO</t>
        </is>
      </c>
      <c r="M23" s="4" t="n"/>
      <c r="N23" s="4" t="n"/>
      <c r="O23" s="4" t="n"/>
      <c r="P23" s="4" t="n"/>
      <c r="Q23" s="4" t="n"/>
      <c r="R23" s="4" t="n"/>
      <c r="S23" s="4" t="n"/>
      <c r="T23" s="4" t="n"/>
      <c r="U23" s="4" t="n"/>
      <c r="V23" s="4" t="n"/>
      <c r="W23" s="4" t="n"/>
    </row>
    <row r="24">
      <c r="A24" s="5" t="inlineStr">
        <is>
          <t>OCI-023</t>
        </is>
      </c>
      <c r="B24" s="5" t="inlineStr">
        <is>
          <t>WAF</t>
        </is>
      </c>
      <c r="C24" s="4" t="inlineStr">
        <is>
          <t>セキュリティとコンプライアンス / Security and Compliance</t>
        </is>
      </c>
      <c r="D24" s="8" t="inlineStr">
        <is>
          <t>Critical</t>
        </is>
      </c>
      <c r="E24" s="4" t="inlineStr">
        <is>
          <t>セキュリティリスト/NSGによるネットワークアクセス制御が最小許可で構成されているか(0.0.0.0/0の広範な許可がない)</t>
        </is>
      </c>
      <c r="F24" s="4" t="inlineStr">
        <is>
          <t>インターネットからの許可が必要なポート(443等)に限定され、SSH/RDP/DBポートの0.0.0.0/0許可が存在せず、NSGでロール単位に制御されていること</t>
        </is>
      </c>
      <c r="G24" s="4" t="inlineStr">
        <is>
          <t>広範なイングレス許可は侵入・スキャン・ラテラルムーブメントの起点となる。</t>
        </is>
      </c>
      <c r="H24" s="4" t="inlineStr">
        <is>
          <t>Well-Architected Framework for OCI &gt; Security and Compliance &gt; Ensure Secure Network Access &gt; Implement Network Access Controls</t>
        </is>
      </c>
      <c r="I24" s="4" t="inlineStr">
        <is>
          <t>OCI-DELTA</t>
        </is>
      </c>
      <c r="J24" s="4" t="inlineStr">
        <is>
          <t>OCI採用時に、CLOUD-COMMONで未評価のOCI固有差分へ適用。</t>
        </is>
      </c>
      <c r="K24" s="4" t="inlineStr">
        <is>
          <t>SRC-OCI-WAF</t>
        </is>
      </c>
      <c r="L24" s="4" t="inlineStr"/>
      <c r="M24" s="4" t="n"/>
      <c r="N24" s="4" t="n"/>
      <c r="O24" s="4" t="n"/>
      <c r="P24" s="4" t="n"/>
      <c r="Q24" s="4" t="n"/>
      <c r="R24" s="4" t="n"/>
      <c r="S24" s="4" t="n"/>
      <c r="T24" s="4" t="n"/>
      <c r="U24" s="4" t="n"/>
      <c r="V24" s="4" t="n"/>
      <c r="W24" s="4" t="n"/>
    </row>
    <row r="25">
      <c r="A25" s="5" t="inlineStr">
        <is>
          <t>OCI-024</t>
        </is>
      </c>
      <c r="B25" s="5" t="inlineStr">
        <is>
          <t>WAF</t>
        </is>
      </c>
      <c r="C25" s="4" t="inlineStr">
        <is>
          <t>セキュリティとコンプライアンス / Security and Compliance</t>
        </is>
      </c>
      <c r="D25" s="9" t="inlineStr">
        <is>
          <t>High</t>
        </is>
      </c>
      <c r="E25" s="4" t="inlineStr">
        <is>
          <t>ロードバランサがTLS終端・最新TLSバージョン・適切な証明書管理で保護されているか</t>
        </is>
      </c>
      <c r="F25" s="4" t="inlineStr">
        <is>
          <t>LBリスナーがTLS1.2以上のみ許可し、証明書の期限管理(OCI Certificates等)とバックエンドセットのNSG制御が構成されていること</t>
        </is>
      </c>
      <c r="G25" s="4" t="inlineStr">
        <is>
          <t>弱いTLS設定や証明書失効の放置は盗聴・なりすまし・サービス停止を招く。</t>
        </is>
      </c>
      <c r="H25" s="4" t="inlineStr">
        <is>
          <t>Well-Architected Framework for OCI &gt; Security and Compliance &gt; Ensure Secure Network Access &gt; Secure the Load Balancers</t>
        </is>
      </c>
      <c r="I25" s="4" t="inlineStr">
        <is>
          <t>OCI-DELTA</t>
        </is>
      </c>
      <c r="J25" s="4" t="inlineStr">
        <is>
          <t>OCI採用時に、CLOUD-COMMONで未評価のOCI固有差分へ適用。</t>
        </is>
      </c>
      <c r="K25" s="4" t="inlineStr">
        <is>
          <t>SRC-OCI-WAF</t>
        </is>
      </c>
      <c r="L25" s="4" t="inlineStr"/>
      <c r="M25" s="4" t="n"/>
      <c r="N25" s="4" t="n"/>
      <c r="O25" s="4" t="n"/>
      <c r="P25" s="4" t="n"/>
      <c r="Q25" s="4" t="n"/>
      <c r="R25" s="4" t="n"/>
      <c r="S25" s="4" t="n"/>
      <c r="T25" s="4" t="n"/>
      <c r="U25" s="4" t="n"/>
      <c r="V25" s="4" t="n"/>
      <c r="W25" s="4" t="n"/>
    </row>
    <row r="26">
      <c r="A26" s="5" t="inlineStr">
        <is>
          <t>OCI-025</t>
        </is>
      </c>
      <c r="B26" s="5" t="inlineStr">
        <is>
          <t>WAF</t>
        </is>
      </c>
      <c r="C26" s="4" t="inlineStr">
        <is>
          <t>セキュリティとコンプライアンス / Security and Compliance</t>
        </is>
      </c>
      <c r="D26" s="10" t="inlineStr">
        <is>
          <t>Medium</t>
        </is>
      </c>
      <c r="E26" s="4" t="inlineStr">
        <is>
          <t>IAMポリシーにネットワークソース(Network Sources)条件を使用し、管理操作の接続元を制限しているか</t>
        </is>
      </c>
      <c r="F26" s="4" t="inlineStr">
        <is>
          <t>重要操作を許可するポリシーに社内IPレンジ/VCN限定のネットワークソース条件が付与されていること</t>
        </is>
      </c>
      <c r="G26" s="4" t="inlineStr">
        <is>
          <t>資格情報が漏えいしても接続元制限があれば外部からの悪用を阻止できる。</t>
        </is>
      </c>
      <c r="H26" s="4" t="inlineStr">
        <is>
          <t>Well-Architected Framework for OCI &gt; Security and Compliance &gt; Ensure Secure Network Access &gt; Restrict Access Using Network Sources</t>
        </is>
      </c>
      <c r="I26" s="4" t="inlineStr">
        <is>
          <t>OCI-DELTA</t>
        </is>
      </c>
      <c r="J26" s="4" t="inlineStr">
        <is>
          <t>OCI採用時に、CLOUD-COMMONで未評価のOCI固有差分へ適用。</t>
        </is>
      </c>
      <c r="K26" s="4" t="inlineStr">
        <is>
          <t>SRC-OCI-WAF</t>
        </is>
      </c>
      <c r="L26" s="4" t="inlineStr">
        <is>
          <t>SEC-IAM</t>
        </is>
      </c>
      <c r="M26" s="4" t="n"/>
      <c r="N26" s="4" t="n"/>
      <c r="O26" s="4" t="n"/>
      <c r="P26" s="4" t="n"/>
      <c r="Q26" s="4" t="n"/>
      <c r="R26" s="4" t="n"/>
      <c r="S26" s="4" t="n"/>
      <c r="T26" s="4" t="n"/>
      <c r="U26" s="4" t="n"/>
      <c r="V26" s="4" t="n"/>
      <c r="W26" s="4" t="n"/>
    </row>
    <row r="27">
      <c r="A27" s="5" t="inlineStr">
        <is>
          <t>OCI-026</t>
        </is>
      </c>
      <c r="B27" s="5" t="inlineStr">
        <is>
          <t>WAF</t>
        </is>
      </c>
      <c r="C27" s="4" t="inlineStr">
        <is>
          <t>セキュリティとコンプライアンス / Security and Compliance</t>
        </is>
      </c>
      <c r="D27" s="10" t="inlineStr">
        <is>
          <t>Medium</t>
        </is>
      </c>
      <c r="E27" s="4" t="inlineStr">
        <is>
          <t>DNSゾーンとレコードの変更権限が制限され、保護されているか</t>
        </is>
      </c>
      <c r="F27" s="4" t="inlineStr">
        <is>
          <t>DNSゾーン管理のIAMポリシーが専任グループに限定され、ゾーン変更が監査されていること</t>
        </is>
      </c>
      <c r="G27" s="4" t="inlineStr">
        <is>
          <t>DNS改ざんはフィッシング・トラフィック乗っ取りに直結する。</t>
        </is>
      </c>
      <c r="H27" s="4" t="inlineStr">
        <is>
          <t>Well-Architected Framework for OCI &gt; Security and Compliance &gt; Ensure Secure Network Access &gt; Secure DNS Zones and Records</t>
        </is>
      </c>
      <c r="I27" s="4" t="inlineStr">
        <is>
          <t>OCI-DELTA</t>
        </is>
      </c>
      <c r="J27" s="4" t="inlineStr">
        <is>
          <t>OCI採用時に、CLOUD-COMMONで未評価のOCI固有差分へ適用。</t>
        </is>
      </c>
      <c r="K27" s="4" t="inlineStr">
        <is>
          <t>SRC-OCI-WAF</t>
        </is>
      </c>
      <c r="L27" s="4" t="inlineStr"/>
      <c r="M27" s="4" t="n"/>
      <c r="N27" s="4" t="n"/>
      <c r="O27" s="4" t="n"/>
      <c r="P27" s="4" t="n"/>
      <c r="Q27" s="4" t="n"/>
      <c r="R27" s="4" t="n"/>
      <c r="S27" s="4" t="n"/>
      <c r="T27" s="4" t="n"/>
      <c r="U27" s="4" t="n"/>
      <c r="V27" s="4" t="n"/>
      <c r="W27" s="4" t="n"/>
    </row>
    <row r="28">
      <c r="A28" s="5" t="inlineStr">
        <is>
          <t>OCI-027</t>
        </is>
      </c>
      <c r="B28" s="5" t="inlineStr">
        <is>
          <t>WAF</t>
        </is>
      </c>
      <c r="C28" s="4" t="inlineStr">
        <is>
          <t>セキュリティとコンプライアンス / Security and Compliance</t>
        </is>
      </c>
      <c r="D28" s="9" t="inlineStr">
        <is>
          <t>High</t>
        </is>
      </c>
      <c r="E28" s="4" t="inlineStr">
        <is>
          <t>Oracle Cloud Guardが有効化され、検出レシピとレスポンダによる継続的なセキュリティ監視が行われているか</t>
        </is>
      </c>
      <c r="F28" s="4" t="inlineStr">
        <is>
          <t>テナンシでCloud Guardが有効、対象コンパートメントがカバーされ、High/Critical検出の通知・対応フローが定義されていること</t>
        </is>
      </c>
      <c r="G28" s="4" t="inlineStr">
        <is>
          <t>設定ミスや危険なアクティビティの検知が遅れると、侵害が長期化し被害が拡大する。</t>
        </is>
      </c>
      <c r="H28" s="4" t="inlineStr">
        <is>
          <t>Well-Architected Framework for OCI &gt; Security and Compliance &gt; Monitor and Audit Your Environment &gt; Enable Cloud Guard for Monitoring</t>
        </is>
      </c>
      <c r="I28" s="4" t="inlineStr">
        <is>
          <t>OCI-DELTA</t>
        </is>
      </c>
      <c r="J28" s="4" t="inlineStr">
        <is>
          <t>OCI採用時に、CLOUD-COMMONで未評価のOCI固有差分へ適用。</t>
        </is>
      </c>
      <c r="K28" s="4" t="inlineStr">
        <is>
          <t>SRC-OCI-WAF</t>
        </is>
      </c>
      <c r="L28" s="4" t="inlineStr">
        <is>
          <t>OPS-OBSERVABILITY</t>
        </is>
      </c>
      <c r="M28" s="4" t="n"/>
      <c r="N28" s="4" t="n"/>
      <c r="O28" s="4" t="n"/>
      <c r="P28" s="4" t="n"/>
      <c r="Q28" s="4" t="n"/>
      <c r="R28" s="4" t="n"/>
      <c r="S28" s="4" t="n"/>
      <c r="T28" s="4" t="n"/>
      <c r="U28" s="4" t="n"/>
      <c r="V28" s="4" t="n"/>
      <c r="W28" s="4" t="n"/>
    </row>
    <row r="29">
      <c r="A29" s="5" t="inlineStr">
        <is>
          <t>OCI-028</t>
        </is>
      </c>
      <c r="B29" s="5" t="inlineStr">
        <is>
          <t>WAF</t>
        </is>
      </c>
      <c r="C29" s="4" t="inlineStr">
        <is>
          <t>セキュリティとコンプライアンス / Security and Compliance</t>
        </is>
      </c>
      <c r="D29" s="9" t="inlineStr">
        <is>
          <t>High</t>
        </is>
      </c>
      <c r="E29" s="4" t="inlineStr">
        <is>
          <t>OCI Auditログの保持期間が要件に応じて設定され、監査ログが分析可能な形で保全されているか</t>
        </is>
      </c>
      <c r="F29" s="4" t="inlineStr">
        <is>
          <t>Audit保持期間が既定(365日)を含めコンプライアンス要件を満たし、長期保存が必要な場合はObject Storage等へのアーカイブが構成されていること</t>
        </is>
      </c>
      <c r="G29" s="4" t="inlineStr">
        <is>
          <t>監査証跡の不足はインシデント調査・フォレンジックとコンプライアンス報告を不可能にする。</t>
        </is>
      </c>
      <c r="H29" s="4" t="inlineStr">
        <is>
          <t>Well-Architected Framework for OCI &gt; Security and Compliance &gt; Monitor and Audit Your Environment &gt; Configure Auditing</t>
        </is>
      </c>
      <c r="I29" s="4" t="inlineStr">
        <is>
          <t>OCI-DELTA</t>
        </is>
      </c>
      <c r="J29" s="4" t="inlineStr">
        <is>
          <t>OCI採用時に、CLOUD-COMMONで未評価のOCI固有差分へ適用。</t>
        </is>
      </c>
      <c r="K29" s="4" t="inlineStr">
        <is>
          <t>SRC-OCI-WAF</t>
        </is>
      </c>
      <c r="L29" s="4" t="inlineStr">
        <is>
          <t>OPS-OBSERVABILITY</t>
        </is>
      </c>
      <c r="M29" s="4" t="n"/>
      <c r="N29" s="4" t="n"/>
      <c r="O29" s="4" t="n"/>
      <c r="P29" s="4" t="n"/>
      <c r="Q29" s="4" t="n"/>
      <c r="R29" s="4" t="n"/>
      <c r="S29" s="4" t="n"/>
      <c r="T29" s="4" t="n"/>
      <c r="U29" s="4" t="n"/>
      <c r="V29" s="4" t="n"/>
      <c r="W29" s="4" t="n"/>
    </row>
    <row r="30">
      <c r="A30" s="5" t="inlineStr">
        <is>
          <t>OCI-029</t>
        </is>
      </c>
      <c r="B30" s="5" t="inlineStr">
        <is>
          <t>WAF</t>
        </is>
      </c>
      <c r="C30" s="4" t="inlineStr">
        <is>
          <t>セキュリティとコンプライアンス / Security and Compliance</t>
        </is>
      </c>
      <c r="D30" s="10" t="inlineStr">
        <is>
          <t>Medium</t>
        </is>
      </c>
      <c r="E30" s="4" t="inlineStr">
        <is>
          <t>VCNフローログを有効化し、ネットワークトラフィックの監視・分析を行っているか</t>
        </is>
      </c>
      <c r="F30" s="4" t="inlineStr">
        <is>
          <t>重要サブネットでフローログが有効化され、Loggingサービスで拒否トラフィック等の分析が可能であること</t>
        </is>
      </c>
      <c r="G30" s="4" t="inlineStr">
        <is>
          <t>フローログがないと不審な通信・データ持ち出しの検知と事後調査ができない。</t>
        </is>
      </c>
      <c r="H30" s="4" t="inlineStr">
        <is>
          <t>Well-Architected Framework for OCI &gt; Security and Compliance &gt; Monitor and Audit Your Environment &gt; Monitor VCN Flow Logs</t>
        </is>
      </c>
      <c r="I30" s="4" t="inlineStr">
        <is>
          <t>OCI-DELTA</t>
        </is>
      </c>
      <c r="J30" s="4" t="inlineStr">
        <is>
          <t>OCI採用時に、CLOUD-COMMONで未評価のOCI固有差分へ適用。</t>
        </is>
      </c>
      <c r="K30" s="4" t="inlineStr">
        <is>
          <t>SRC-OCI-WAF</t>
        </is>
      </c>
      <c r="L30" s="4" t="inlineStr">
        <is>
          <t>OPS-OBSERVABILITY</t>
        </is>
      </c>
      <c r="M30" s="4" t="n"/>
      <c r="N30" s="4" t="n"/>
      <c r="O30" s="4" t="n"/>
      <c r="P30" s="4" t="n"/>
      <c r="Q30" s="4" t="n"/>
      <c r="R30" s="4" t="n"/>
      <c r="S30" s="4" t="n"/>
      <c r="T30" s="4" t="n"/>
      <c r="U30" s="4" t="n"/>
      <c r="V30" s="4" t="n"/>
      <c r="W30" s="4" t="n"/>
    </row>
    <row r="31">
      <c r="A31" s="5" t="inlineStr">
        <is>
          <t>OCI-030</t>
        </is>
      </c>
      <c r="B31" s="5" t="inlineStr">
        <is>
          <t>WAF</t>
        </is>
      </c>
      <c r="C31" s="4" t="inlineStr">
        <is>
          <t>セキュリティとコンプライアンス / Security and Compliance</t>
        </is>
      </c>
      <c r="D31" s="9" t="inlineStr">
        <is>
          <t>High</t>
        </is>
      </c>
      <c r="E31" s="4" t="inlineStr">
        <is>
          <t>OCI Vulnerability Scanning Serviceなどでホスト・コンテナイメージの脆弱性を継続的にスキャンしているか</t>
        </is>
      </c>
      <c r="F31" s="4" t="inlineStr">
        <is>
          <t>対象コンピュートインスタンスにスキャンレシピ・ターゲットが構成され、検出脆弱性の対応SLAが定義されていること</t>
        </is>
      </c>
      <c r="G31" s="4" t="inlineStr">
        <is>
          <t>未検出の既知脆弱性は攻撃者の主要な侵入経路であり、放置期間に比例してリスクが増大する。</t>
        </is>
      </c>
      <c r="H31" s="4" t="inlineStr">
        <is>
          <t>Well-Architected Framework for OCI &gt; Security and Compliance &gt; Monitor and Audit Your Environment &gt; Continuously Scan for Vulnerabilities</t>
        </is>
      </c>
      <c r="I31" s="4" t="inlineStr">
        <is>
          <t>OCI-DELTA</t>
        </is>
      </c>
      <c r="J31" s="4" t="inlineStr">
        <is>
          <t>OCI採用時に、CLOUD-COMMONで未評価のOCI固有差分へ適用。</t>
        </is>
      </c>
      <c r="K31" s="4" t="inlineStr">
        <is>
          <t>SRC-OCI-WAF</t>
        </is>
      </c>
      <c r="L31" s="4" t="inlineStr">
        <is>
          <t>SEC-SUPPLY-CHAIN</t>
        </is>
      </c>
      <c r="M31" s="4" t="n"/>
      <c r="N31" s="4" t="n"/>
      <c r="O31" s="4" t="n"/>
      <c r="P31" s="4" t="n"/>
      <c r="Q31" s="4" t="n"/>
      <c r="R31" s="4" t="n"/>
      <c r="S31" s="4" t="n"/>
      <c r="T31" s="4" t="n"/>
      <c r="U31" s="4" t="n"/>
      <c r="V31" s="4" t="n"/>
      <c r="W31" s="4" t="n"/>
    </row>
    <row r="32">
      <c r="A32" s="5" t="inlineStr">
        <is>
          <t>OCI-031</t>
        </is>
      </c>
      <c r="B32" s="5" t="inlineStr">
        <is>
          <t>WAF</t>
        </is>
      </c>
      <c r="C32" s="4" t="inlineStr">
        <is>
          <t>セキュリティとコンプライアンス / Security and Compliance</t>
        </is>
      </c>
      <c r="D32" s="10" t="inlineStr">
        <is>
          <t>Medium</t>
        </is>
      </c>
      <c r="E32" s="4" t="inlineStr">
        <is>
          <t>OCIのサービスログ・監査ログをSIEMプラットフォームへ集約しているか</t>
        </is>
      </c>
      <c r="F32" s="4" t="inlineStr">
        <is>
          <t>Service Connector Hub等でAudit/サービスログがSIEM(またはLogging Analytics)へ転送され、相関分析が可能であること</t>
        </is>
      </c>
      <c r="G32" s="4" t="inlineStr">
        <is>
          <t>ログが分散したままでは横断的な攻撃の相関検知ができず、対応が遅れる。</t>
        </is>
      </c>
      <c r="H32" s="4" t="inlineStr">
        <is>
          <t>Well-Architected Framework for OCI &gt; Security and Compliance &gt; Monitor and Audit Your Environment &gt; Aggregate Service Logs to SIEM Platforms</t>
        </is>
      </c>
      <c r="I32" s="4" t="inlineStr">
        <is>
          <t>OCI-DELTA</t>
        </is>
      </c>
      <c r="J32" s="4" t="inlineStr">
        <is>
          <t>OCI採用時に、CLOUD-COMMONで未評価のOCI固有差分へ適用。</t>
        </is>
      </c>
      <c r="K32" s="4" t="inlineStr">
        <is>
          <t>SRC-OCI-WAF</t>
        </is>
      </c>
      <c r="L32" s="4" t="inlineStr">
        <is>
          <t>OPS-OBSERVABILITY</t>
        </is>
      </c>
      <c r="M32" s="4" t="n"/>
      <c r="N32" s="4" t="n"/>
      <c r="O32" s="4" t="n"/>
      <c r="P32" s="4" t="n"/>
      <c r="Q32" s="4" t="n"/>
      <c r="R32" s="4" t="n"/>
      <c r="S32" s="4" t="n"/>
      <c r="T32" s="4" t="n"/>
      <c r="U32" s="4" t="n"/>
      <c r="V32" s="4" t="n"/>
      <c r="W32" s="4" t="n"/>
    </row>
    <row r="33">
      <c r="A33" s="5" t="inlineStr">
        <is>
          <t>OCI-032</t>
        </is>
      </c>
      <c r="B33" s="5" t="inlineStr">
        <is>
          <t>WAF</t>
        </is>
      </c>
      <c r="C33" s="4" t="inlineStr">
        <is>
          <t>信頼性とレジリエンス / Reliability and Resilience</t>
        </is>
      </c>
      <c r="D33" s="8" t="inlineStr">
        <is>
          <t>Critical</t>
        </is>
      </c>
      <c r="E33" s="4" t="inlineStr">
        <is>
          <t>ワークロードが複数の可用性ドメイン(AD)またはフォルトドメイン(FD)に分散配置されているか</t>
        </is>
      </c>
      <c r="F33" s="4" t="inlineStr">
        <is>
          <t>本番の各層(LB/アプリ/DB)が複数AD(単一ADリージョンでは複数FD)に分散し、単一AD/FD障害でサービス継続できる構成であること</t>
        </is>
      </c>
      <c r="G33" s="4" t="inlineStr">
        <is>
          <t>単一AD/FD集中配置ではデータセンター障害・ハードウェア障害で全面停止する。</t>
        </is>
      </c>
      <c r="H33" s="4" t="inlineStr">
        <is>
          <t>Well-Architected Framework for OCI &gt; Reliability and Resilience &gt; Design for Scalability &gt; Distribute Your Traffic Across Availability Domains and Regions</t>
        </is>
      </c>
      <c r="I33" s="4" t="inlineStr">
        <is>
          <t>OCI-DELTA</t>
        </is>
      </c>
      <c r="J33" s="4" t="inlineStr">
        <is>
          <t>OCI採用時に、CLOUD-COMMONで未評価のOCI固有差分へ適用。</t>
        </is>
      </c>
      <c r="K33" s="4" t="inlineStr">
        <is>
          <t>SRC-OCI-WAF</t>
        </is>
      </c>
      <c r="L33" s="4" t="inlineStr">
        <is>
          <t>RELIABILITY-HA</t>
        </is>
      </c>
      <c r="M33" s="4" t="n"/>
      <c r="N33" s="4" t="n"/>
      <c r="O33" s="4" t="n"/>
      <c r="P33" s="4" t="n"/>
      <c r="Q33" s="4" t="n"/>
      <c r="R33" s="4" t="n"/>
      <c r="S33" s="4" t="n"/>
      <c r="T33" s="4" t="n"/>
      <c r="U33" s="4" t="n"/>
      <c r="V33" s="4" t="n"/>
      <c r="W33" s="4" t="n"/>
    </row>
    <row r="34">
      <c r="A34" s="5" t="inlineStr">
        <is>
          <t>OCI-033</t>
        </is>
      </c>
      <c r="B34" s="5" t="inlineStr">
        <is>
          <t>WAF</t>
        </is>
      </c>
      <c r="C34" s="4" t="inlineStr">
        <is>
          <t>信頼性とレジリエンス / Reliability and Resilience</t>
        </is>
      </c>
      <c r="D34" s="9" t="inlineStr">
        <is>
          <t>High</t>
        </is>
      </c>
      <c r="E34" s="4" t="inlineStr">
        <is>
          <t>インスタンスプール+自動スケーリング等でワークロード要件に応じてリソースをスケールできる設計になっているか</t>
        </is>
      </c>
      <c r="F34" s="4" t="inlineStr">
        <is>
          <t>スケールアウト対象層にインスタンスプールとオートスケーリング構成(メトリクス/スケジュールベース)が定義されていること</t>
        </is>
      </c>
      <c r="G34" s="4" t="inlineStr">
        <is>
          <t>固定キャパシティでは負荷急増時に性能劣化・停止し、過剰確保ではコストが浪費される。</t>
        </is>
      </c>
      <c r="H34" s="4" t="inlineStr">
        <is>
          <t>Well-Architected Framework for OCI &gt; Reliability and Resilience &gt; Design for Scalability &gt; Scale Cloud Resources to Meet Your Workload Requirements</t>
        </is>
      </c>
      <c r="I34" s="4" t="inlineStr">
        <is>
          <t>OCI-DELTA</t>
        </is>
      </c>
      <c r="J34" s="4" t="inlineStr">
        <is>
          <t>OCI採用時に、CLOUD-COMMONで未評価のOCI固有差分へ適用。</t>
        </is>
      </c>
      <c r="K34" s="4" t="inlineStr">
        <is>
          <t>SRC-OCI-WAF</t>
        </is>
      </c>
      <c r="L34" s="4" t="inlineStr"/>
      <c r="M34" s="4" t="n"/>
      <c r="N34" s="4" t="n"/>
      <c r="O34" s="4" t="n"/>
      <c r="P34" s="4" t="n"/>
      <c r="Q34" s="4" t="n"/>
      <c r="R34" s="4" t="n"/>
      <c r="S34" s="4" t="n"/>
      <c r="T34" s="4" t="n"/>
      <c r="U34" s="4" t="n"/>
      <c r="V34" s="4" t="n"/>
      <c r="W34" s="4" t="n"/>
    </row>
    <row r="35">
      <c r="A35" s="5" t="inlineStr">
        <is>
          <t>OCI-034</t>
        </is>
      </c>
      <c r="B35" s="5" t="inlineStr">
        <is>
          <t>WAF</t>
        </is>
      </c>
      <c r="C35" s="4" t="inlineStr">
        <is>
          <t>信頼性とレジリエンス / Reliability and Resilience</t>
        </is>
      </c>
      <c r="D35" s="10" t="inlineStr">
        <is>
          <t>Medium</t>
        </is>
      </c>
      <c r="E35" s="4" t="inlineStr">
        <is>
          <t>想定ピーク負荷に対する負荷テストを実施し、スケーリング動作を検証しているか</t>
        </is>
      </c>
      <c r="F35" s="4" t="inlineStr">
        <is>
          <t>本番相当構成での負荷テスト結果(ピーク時のレイテンシ・スループット・オートスケール動作)が記録されていること</t>
        </is>
      </c>
      <c r="G35" s="4" t="inlineStr">
        <is>
          <t>未検証のスケーリング設定は本番のピークで初めて破綻が露見する。</t>
        </is>
      </c>
      <c r="H35" s="4" t="inlineStr">
        <is>
          <t>Well-Architected Framework for OCI &gt; Reliability and Resilience &gt; Design for Scalability &gt; Perform Load Tests</t>
        </is>
      </c>
      <c r="I35" s="4" t="inlineStr">
        <is>
          <t>OCI-DELTA</t>
        </is>
      </c>
      <c r="J35" s="4" t="inlineStr">
        <is>
          <t>OCI採用時に、CLOUD-COMMONで未評価のOCI固有差分へ適用。</t>
        </is>
      </c>
      <c r="K35" s="4" t="inlineStr">
        <is>
          <t>SRC-OCI-WAF</t>
        </is>
      </c>
      <c r="L35" s="4" t="inlineStr"/>
      <c r="M35" s="4" t="n"/>
      <c r="N35" s="4" t="n"/>
      <c r="O35" s="4" t="n"/>
      <c r="P35" s="4" t="n"/>
      <c r="Q35" s="4" t="n"/>
      <c r="R35" s="4" t="n"/>
      <c r="S35" s="4" t="n"/>
      <c r="T35" s="4" t="n"/>
      <c r="U35" s="4" t="n"/>
      <c r="V35" s="4" t="n"/>
      <c r="W35" s="4" t="n"/>
    </row>
    <row r="36">
      <c r="A36" s="5" t="inlineStr">
        <is>
          <t>OCI-035</t>
        </is>
      </c>
      <c r="B36" s="5" t="inlineStr">
        <is>
          <t>WAF</t>
        </is>
      </c>
      <c r="C36" s="4" t="inlineStr">
        <is>
          <t>信頼性とレジリエンス / Reliability and Resilience</t>
        </is>
      </c>
      <c r="D36" s="9" t="inlineStr">
        <is>
          <t>High</t>
        </is>
      </c>
      <c r="E36" s="4" t="inlineStr">
        <is>
          <t>テナンシのサービス制限(Service Limits)を把握し、使用量を監視して事前に引き上げ申請するプロセスがあるか</t>
        </is>
      </c>
      <c r="F36" s="4" t="inlineStr">
        <is>
          <t>主要サービスの制限と現在使用量が定期確認され、閾値超過時のアラームと制限引き上げ手順が定義されていること</t>
        </is>
      </c>
      <c r="G36" s="4" t="inlineStr">
        <is>
          <t>サービス制限への到達はスケールアウトやフェイルオーバーの失敗として顕在化し、障害時の復旧を妨げる。</t>
        </is>
      </c>
      <c r="H36" s="4" t="inlineStr">
        <is>
          <t>Well-Architected Framework for OCI &gt; Reliability and Resilience &gt; Manage Your Service Limits &gt; Monitor and Manage Your Service Limits</t>
        </is>
      </c>
      <c r="I36" s="4" t="inlineStr">
        <is>
          <t>OCI-DELTA</t>
        </is>
      </c>
      <c r="J36" s="4" t="inlineStr">
        <is>
          <t>OCI採用時に、CLOUD-COMMONで未評価のOCI固有差分へ適用。</t>
        </is>
      </c>
      <c r="K36" s="4" t="inlineStr">
        <is>
          <t>SRC-OCI-WAF</t>
        </is>
      </c>
      <c r="L36" s="4" t="inlineStr">
        <is>
          <t>OPS-OBSERVABILITY</t>
        </is>
      </c>
      <c r="M36" s="4" t="n"/>
      <c r="N36" s="4" t="n"/>
      <c r="O36" s="4" t="n"/>
      <c r="P36" s="4" t="n"/>
      <c r="Q36" s="4" t="n"/>
      <c r="R36" s="4" t="n"/>
      <c r="S36" s="4" t="n"/>
      <c r="T36" s="4" t="n"/>
      <c r="U36" s="4" t="n"/>
      <c r="V36" s="4" t="n"/>
      <c r="W36" s="4" t="n"/>
    </row>
    <row r="37">
      <c r="A37" s="5" t="inlineStr">
        <is>
          <t>OCI-036</t>
        </is>
      </c>
      <c r="B37" s="5" t="inlineStr">
        <is>
          <t>WAF</t>
        </is>
      </c>
      <c r="C37" s="4" t="inlineStr">
        <is>
          <t>信頼性とレジリエンス / Reliability and Resilience</t>
        </is>
      </c>
      <c r="D37" s="10" t="inlineStr">
        <is>
          <t>Medium</t>
        </is>
      </c>
      <c r="E37" s="4" t="inlineStr">
        <is>
          <t>コンパートメントクォータを設定し、環境ごとのリソース消費を統制しているか</t>
        </is>
      </c>
      <c r="F37" s="4" t="inlineStr">
        <is>
          <t>非本番コンパートメント等にquotaポリシーが定義され、本番のキャパシティを圧迫しない統制があること</t>
        </is>
      </c>
      <c r="G37" s="4" t="inlineStr">
        <is>
          <t>クォータ未設定では開発環境の無秩序な消費がテナンシ制限を食いつぶし、本番の拡張を阻害する。</t>
        </is>
      </c>
      <c r="H37" s="4" t="inlineStr">
        <is>
          <t>Well-Architected Framework for OCI &gt; Reliability and Resilience &gt; Manage Your Service Limits &gt; Set Compartment Quotas</t>
        </is>
      </c>
      <c r="I37" s="4" t="inlineStr">
        <is>
          <t>OCI-DELTA</t>
        </is>
      </c>
      <c r="J37" s="4" t="inlineStr">
        <is>
          <t>OCI採用時に、CLOUD-COMMONで未評価のOCI固有差分へ適用。</t>
        </is>
      </c>
      <c r="K37" s="4" t="inlineStr">
        <is>
          <t>SRC-OCI-WAF</t>
        </is>
      </c>
      <c r="L37" s="4" t="inlineStr"/>
      <c r="M37" s="4" t="n"/>
      <c r="N37" s="4" t="n"/>
      <c r="O37" s="4" t="n"/>
      <c r="P37" s="4" t="n"/>
      <c r="Q37" s="4" t="n"/>
      <c r="R37" s="4" t="n"/>
      <c r="S37" s="4" t="n"/>
      <c r="T37" s="4" t="n"/>
      <c r="U37" s="4" t="n"/>
      <c r="V37" s="4" t="n"/>
      <c r="W37" s="4" t="n"/>
    </row>
    <row r="38">
      <c r="A38" s="5" t="inlineStr">
        <is>
          <t>OCI-037</t>
        </is>
      </c>
      <c r="B38" s="5" t="inlineStr">
        <is>
          <t>WAF</t>
        </is>
      </c>
      <c r="C38" s="4" t="inlineStr">
        <is>
          <t>信頼性とレジリエンス / Reliability and Resilience</t>
        </is>
      </c>
      <c r="D38" s="9" t="inlineStr">
        <is>
          <t>High</t>
        </is>
      </c>
      <c r="E38" s="4" t="inlineStr">
        <is>
          <t>フェイルオーバー時に必要となる追加リソース分をサービス制限に織り込んでいるか</t>
        </is>
      </c>
      <c r="F38" s="4" t="inlineStr">
        <is>
          <t>DRリージョン・スタンバイ構成の起動に必要なコンピュート/ストレージ制限が事前に確保されていることが確認できること</t>
        </is>
      </c>
      <c r="G38" s="4" t="inlineStr">
        <is>
          <t>災害時にDRリージョンの制限不足でインスタンスが起動できず、DR計画が机上の空論になる。</t>
        </is>
      </c>
      <c r="H38" s="4" t="inlineStr">
        <is>
          <t>Well-Architected Framework for OCI &gt; Reliability and Resilience &gt; Manage Your Service Limits &gt; Factor Failover Usage in Your Service Limits</t>
        </is>
      </c>
      <c r="I38" s="4" t="inlineStr">
        <is>
          <t>OCI-DELTA</t>
        </is>
      </c>
      <c r="J38" s="4" t="inlineStr">
        <is>
          <t>OCI採用時に、CLOUD-COMMONで未評価のOCI固有差分へ適用。</t>
        </is>
      </c>
      <c r="K38" s="4" t="inlineStr">
        <is>
          <t>SRC-OCI-WAF</t>
        </is>
      </c>
      <c r="L38" s="4" t="inlineStr">
        <is>
          <t>RELIABILITY-HA</t>
        </is>
      </c>
      <c r="M38" s="4" t="n"/>
      <c r="N38" s="4" t="n"/>
      <c r="O38" s="4" t="n"/>
      <c r="P38" s="4" t="n"/>
      <c r="Q38" s="4" t="n"/>
      <c r="R38" s="4" t="n"/>
      <c r="S38" s="4" t="n"/>
      <c r="T38" s="4" t="n"/>
      <c r="U38" s="4" t="n"/>
      <c r="V38" s="4" t="n"/>
      <c r="W38" s="4" t="n"/>
    </row>
    <row r="39">
      <c r="A39" s="5" t="inlineStr">
        <is>
          <t>OCI-038</t>
        </is>
      </c>
      <c r="B39" s="5" t="inlineStr">
        <is>
          <t>WAF</t>
        </is>
      </c>
      <c r="C39" s="4" t="inlineStr">
        <is>
          <t>信頼性とレジリエンス / Reliability and Resilience</t>
        </is>
      </c>
      <c r="D39" s="9" t="inlineStr">
        <is>
          <t>High</t>
        </is>
      </c>
      <c r="E39" s="4" t="inlineStr">
        <is>
          <t>オンプレミス接続にFastConnectとSite-to-Site VPNの冗長構成など、冗長な接続経路を確保しているか</t>
        </is>
      </c>
      <c r="F39" s="4" t="inlineStr">
        <is>
          <t>オンプレ接続が複数経路(FastConnect2回線、またはFastConnect+VPNバックアップ)で構成され、片系断のフェイルオーバーがテスト済みであること</t>
        </is>
      </c>
      <c r="G39" s="4" t="inlineStr">
        <is>
          <t>単一回線構成では回線・プロバイダ障害でハイブリッド接続が全断し、業務が停止する。</t>
        </is>
      </c>
      <c r="H39" s="4" t="inlineStr">
        <is>
          <t>Well-Architected Framework for OCI &gt; Reliability and Resilience &gt; Define Your Network and Connectivity Architecture &gt; Use Redundant Connections for Your On-Premises Environments and Private Resources</t>
        </is>
      </c>
      <c r="I39" s="4" t="inlineStr">
        <is>
          <t>OCI-DELTA</t>
        </is>
      </c>
      <c r="J39" s="4" t="inlineStr">
        <is>
          <t>OCI採用時に、CLOUD-COMMONで未評価のOCI固有差分へ適用。</t>
        </is>
      </c>
      <c r="K39" s="4" t="inlineStr">
        <is>
          <t>SRC-OCI-WAF</t>
        </is>
      </c>
      <c r="L39" s="4" t="inlineStr">
        <is>
          <t>RELIABILITY-HA</t>
        </is>
      </c>
      <c r="M39" s="4" t="n"/>
      <c r="N39" s="4" t="n"/>
      <c r="O39" s="4" t="n"/>
      <c r="P39" s="4" t="n"/>
      <c r="Q39" s="4" t="n"/>
      <c r="R39" s="4" t="n"/>
      <c r="S39" s="4" t="n"/>
      <c r="T39" s="4" t="n"/>
      <c r="U39" s="4" t="n"/>
      <c r="V39" s="4" t="n"/>
      <c r="W39" s="4" t="n"/>
    </row>
    <row r="40">
      <c r="A40" s="5" t="inlineStr">
        <is>
          <t>OCI-039</t>
        </is>
      </c>
      <c r="B40" s="5" t="inlineStr">
        <is>
          <t>WAF</t>
        </is>
      </c>
      <c r="C40" s="4" t="inlineStr">
        <is>
          <t>信頼性とレジリエンス / Reliability and Resilience</t>
        </is>
      </c>
      <c r="D40" s="10" t="inlineStr">
        <is>
          <t>Medium</t>
        </is>
      </c>
      <c r="E40" s="4" t="inlineStr">
        <is>
          <t>プライベートネットワークのCIDRがオンプレミス・他VCN・他クラウドと重複しないよう設計されているか</t>
        </is>
      </c>
      <c r="F40" s="4" t="inlineStr">
        <is>
          <t>全環境のIPアドレス計画表が存在し、VCN/サブネットのCIDRに重複がないこと</t>
        </is>
      </c>
      <c r="G40" s="4" t="inlineStr">
        <is>
          <t>CIDR重複は後からのピアリング・ハイブリッド接続を不可能にし、再構築コストが莫大になる。</t>
        </is>
      </c>
      <c r="H40" s="4" t="inlineStr">
        <is>
          <t>Well-Architected Framework for OCI &gt; Reliability and Resilience &gt; Define Your Network and Connectivity Architecture &gt; Establish Non-Overlapping Private Network Ranges Across Private Environments</t>
        </is>
      </c>
      <c r="I40" s="4" t="inlineStr">
        <is>
          <t>OCI-DELTA</t>
        </is>
      </c>
      <c r="J40" s="4" t="inlineStr">
        <is>
          <t>OCI採用時に、CLOUD-COMMONで未評価のOCI固有差分へ適用。</t>
        </is>
      </c>
      <c r="K40" s="4" t="inlineStr">
        <is>
          <t>SRC-OCI-WAF</t>
        </is>
      </c>
      <c r="L40" s="4" t="inlineStr">
        <is>
          <t>CONTINUITY-DR</t>
        </is>
      </c>
      <c r="M40" s="4" t="n"/>
      <c r="N40" s="4" t="n"/>
      <c r="O40" s="4" t="n"/>
      <c r="P40" s="4" t="n"/>
      <c r="Q40" s="4" t="n"/>
      <c r="R40" s="4" t="n"/>
      <c r="S40" s="4" t="n"/>
      <c r="T40" s="4" t="n"/>
      <c r="U40" s="4" t="n"/>
      <c r="V40" s="4" t="n"/>
      <c r="W40" s="4" t="n"/>
    </row>
    <row r="41">
      <c r="A41" s="5" t="inlineStr">
        <is>
          <t>OCI-040</t>
        </is>
      </c>
      <c r="B41" s="5" t="inlineStr">
        <is>
          <t>WAF</t>
        </is>
      </c>
      <c r="C41" s="4" t="inlineStr">
        <is>
          <t>信頼性とレジリエンス / Reliability and Resilience</t>
        </is>
      </c>
      <c r="D41" s="10" t="inlineStr">
        <is>
          <t>Medium</t>
        </is>
      </c>
      <c r="E41" s="4" t="inlineStr">
        <is>
          <t>VCN/サブネットのサイズが将来の拡張を見込んで設計されているか</t>
        </is>
      </c>
      <c r="F41" s="4" t="inlineStr">
        <is>
          <t>VCN CIDRに拡張余地(未割当レンジ)があり、サブネット設計が増設を考慮していること</t>
        </is>
      </c>
      <c r="G41" s="4" t="inlineStr">
        <is>
          <t>手狭なCIDRはIP枯渇によるスケール不能・再設計を招く。</t>
        </is>
      </c>
      <c r="H41" s="4" t="inlineStr">
        <is>
          <t>Well-Architected Framework for OCI &gt; Reliability and Resilience &gt; Define Your Network and Connectivity Architecture &gt; Size Your Virtual Cloud Network to Allow for Expansion</t>
        </is>
      </c>
      <c r="I41" s="4" t="inlineStr">
        <is>
          <t>OCI-DELTA</t>
        </is>
      </c>
      <c r="J41" s="4" t="inlineStr">
        <is>
          <t>OCI採用時に、CLOUD-COMMONで未評価のOCI固有差分へ適用。</t>
        </is>
      </c>
      <c r="K41" s="4" t="inlineStr">
        <is>
          <t>SRC-OCI-WAF</t>
        </is>
      </c>
      <c r="L41" s="4" t="inlineStr"/>
      <c r="M41" s="4" t="n"/>
      <c r="N41" s="4" t="n"/>
      <c r="O41" s="4" t="n"/>
      <c r="P41" s="4" t="n"/>
      <c r="Q41" s="4" t="n"/>
      <c r="R41" s="4" t="n"/>
      <c r="S41" s="4" t="n"/>
      <c r="T41" s="4" t="n"/>
      <c r="U41" s="4" t="n"/>
      <c r="V41" s="4" t="n"/>
      <c r="W41" s="4" t="n"/>
    </row>
    <row r="42">
      <c r="A42" s="5" t="inlineStr">
        <is>
          <t>OCI-041</t>
        </is>
      </c>
      <c r="B42" s="5" t="inlineStr">
        <is>
          <t>WAF</t>
        </is>
      </c>
      <c r="C42" s="4" t="inlineStr">
        <is>
          <t>信頼性とレジリエンス / Reliability and Resilience</t>
        </is>
      </c>
      <c r="D42" s="10" t="inlineStr">
        <is>
          <t>Medium</t>
        </is>
      </c>
      <c r="E42" s="4" t="inlineStr">
        <is>
          <t>OCIパブリックサービスへの接続にサービスゲートウェイを使用し、インターネット経由を回避しているか</t>
        </is>
      </c>
      <c r="F42" s="4" t="inlineStr">
        <is>
          <t>Object Storage等OCIサービスへのアクセスがサービスゲートウェイ経由で構成され、不要なNAT/インターネットゲートウェイ経由がないこと</t>
        </is>
      </c>
      <c r="G42" s="4" t="inlineStr">
        <is>
          <t>インターネット経由のサービスアクセスは露出面と障害点を増やし、データ転送の信頼性も低下する。</t>
        </is>
      </c>
      <c r="H42" s="4" t="inlineStr">
        <is>
          <t>Well-Architected Framework for OCI &gt; Reliability and Resilience &gt; Define Your Network and Connectivity Architecture &gt; Bypass the Internet When Connecting to Public Resources</t>
        </is>
      </c>
      <c r="I42" s="4" t="inlineStr">
        <is>
          <t>OCI-DELTA</t>
        </is>
      </c>
      <c r="J42" s="4" t="inlineStr">
        <is>
          <t>OCI採用時に、CLOUD-COMMONで未評価のOCI固有差分へ適用。</t>
        </is>
      </c>
      <c r="K42" s="4" t="inlineStr">
        <is>
          <t>SRC-OCI-WAF</t>
        </is>
      </c>
      <c r="L42" s="4" t="inlineStr"/>
      <c r="M42" s="4" t="n"/>
      <c r="N42" s="4" t="n"/>
      <c r="O42" s="4" t="n"/>
      <c r="P42" s="4" t="n"/>
      <c r="Q42" s="4" t="n"/>
      <c r="R42" s="4" t="n"/>
      <c r="S42" s="4" t="n"/>
      <c r="T42" s="4" t="n"/>
      <c r="U42" s="4" t="n"/>
      <c r="V42" s="4" t="n"/>
      <c r="W42" s="4" t="n"/>
    </row>
    <row r="43">
      <c r="A43" s="5" t="inlineStr">
        <is>
          <t>OCI-042</t>
        </is>
      </c>
      <c r="B43" s="5" t="inlineStr">
        <is>
          <t>WAF</t>
        </is>
      </c>
      <c r="C43" s="4" t="inlineStr">
        <is>
          <t>信頼性とレジリエンス / Reliability and Resilience</t>
        </is>
      </c>
      <c r="D43" s="9" t="inlineStr">
        <is>
          <t>High</t>
        </is>
      </c>
      <c r="E43" s="4" t="inlineStr">
        <is>
          <t>ワークロードのヘルスチェック(LBヘルスチェック、Health Checksサービス)が実装され、異常を検知できるか</t>
        </is>
      </c>
      <c r="F43" s="4" t="inlineStr">
        <is>
          <t>LBバックエンドセットにアプリの実際の健全性を反映するヘルスチェックが定義され、外形監視(Health Checks)が主要エンドポイントに構成されていること</t>
        </is>
      </c>
      <c r="G43" s="4" t="inlineStr">
        <is>
          <t>ヘルスチェック欠如では異常インスタンスへの振り分けが続き、部分障害がユーザー影響として長期化する。</t>
        </is>
      </c>
      <c r="H43" s="4" t="inlineStr">
        <is>
          <t>Well-Architected Framework for OCI &gt; Reliability and Resilience &gt; Understand the Health of Your Workload &gt; Implement Health Checks</t>
        </is>
      </c>
      <c r="I43" s="4" t="inlineStr">
        <is>
          <t>OCI-DELTA</t>
        </is>
      </c>
      <c r="J43" s="4" t="inlineStr">
        <is>
          <t>OCI採用時に、CLOUD-COMMONで未評価のOCI固有差分へ適用。</t>
        </is>
      </c>
      <c r="K43" s="4" t="inlineStr">
        <is>
          <t>SRC-OCI-WAF</t>
        </is>
      </c>
      <c r="L43" s="4" t="inlineStr"/>
      <c r="M43" s="4" t="n"/>
      <c r="N43" s="4" t="n"/>
      <c r="O43" s="4" t="n"/>
      <c r="P43" s="4" t="n"/>
      <c r="Q43" s="4" t="n"/>
      <c r="R43" s="4" t="n"/>
      <c r="S43" s="4" t="n"/>
      <c r="T43" s="4" t="n"/>
      <c r="U43" s="4" t="n"/>
      <c r="V43" s="4" t="n"/>
      <c r="W43" s="4" t="n"/>
    </row>
    <row r="44">
      <c r="A44" s="5" t="inlineStr">
        <is>
          <t>OCI-043</t>
        </is>
      </c>
      <c r="B44" s="5" t="inlineStr">
        <is>
          <t>WAF</t>
        </is>
      </c>
      <c r="C44" s="4" t="inlineStr">
        <is>
          <t>信頼性とレジリエンス / Reliability and Resilience</t>
        </is>
      </c>
      <c r="D44" s="8" t="inlineStr">
        <is>
          <t>Critical</t>
        </is>
      </c>
      <c r="E44" s="4" t="inlineStr">
        <is>
          <t>Block Volume/File Storage/Object Storageのデータがバックアップポリシー等で定期バックアップされているか</t>
        </is>
      </c>
      <c r="F44" s="4" t="inlineStr">
        <is>
          <t>本番ボリュームにバックアップポリシー(日次以上+保持期間)が割当てられ、NVMeローカルストレージ利用時は独自バックアップ手段が構成されていること</t>
        </is>
      </c>
      <c r="G44" s="4" t="inlineStr">
        <is>
          <t>バックアップ欠如は論理破壊・ランサムウェア・誤削除からの回復手段を失い、恒久的データ損失に至る。</t>
        </is>
      </c>
      <c r="H44" s="4" t="inlineStr">
        <is>
          <t>Well-Architected Framework for OCI &gt; Reliability and Resilience &gt; Back Up Your Data &gt; Backup Data in Storage Services</t>
        </is>
      </c>
      <c r="I44" s="4" t="inlineStr">
        <is>
          <t>OCI-DELTA</t>
        </is>
      </c>
      <c r="J44" s="4" t="inlineStr">
        <is>
          <t>OCI採用時に、CLOUD-COMMONで未評価のOCI固有差分へ適用。</t>
        </is>
      </c>
      <c r="K44" s="4" t="inlineStr">
        <is>
          <t>SRC-OCI-WAF</t>
        </is>
      </c>
      <c r="L44" s="4" t="inlineStr">
        <is>
          <t>CONTINUITY-BACKUP</t>
        </is>
      </c>
      <c r="M44" s="4" t="n"/>
      <c r="N44" s="4" t="n"/>
      <c r="O44" s="4" t="n"/>
      <c r="P44" s="4" t="n"/>
      <c r="Q44" s="4" t="n"/>
      <c r="R44" s="4" t="n"/>
      <c r="S44" s="4" t="n"/>
      <c r="T44" s="4" t="n"/>
      <c r="U44" s="4" t="n"/>
      <c r="V44" s="4" t="n"/>
      <c r="W44" s="4" t="n"/>
    </row>
    <row r="45">
      <c r="A45" s="5" t="inlineStr">
        <is>
          <t>OCI-044</t>
        </is>
      </c>
      <c r="B45" s="5" t="inlineStr">
        <is>
          <t>WAF</t>
        </is>
      </c>
      <c r="C45" s="4" t="inlineStr">
        <is>
          <t>信頼性とレジリエンス / Reliability and Resilience</t>
        </is>
      </c>
      <c r="D45" s="8" t="inlineStr">
        <is>
          <t>Critical</t>
        </is>
      </c>
      <c r="E45" s="4" t="inlineStr">
        <is>
          <t>データベースの自動バックアップが有効で、RPO/RTO要件に応じてAutonomous Recovery Service等の保管先が選定されているか</t>
        </is>
      </c>
      <c r="F45" s="4" t="inlineStr">
        <is>
          <t>本番DBで自動バックアップが有効、保持期間がRPO要件を満たし、保管先(Recovery Service/Object Storage)が要件に基づき選定されていること</t>
        </is>
      </c>
      <c r="G45" s="4" t="inlineStr">
        <is>
          <t>DBバックアップの不備は障害・破損時に業務データを恒久喪失させる最大級の事故要因。</t>
        </is>
      </c>
      <c r="H45" s="4" t="inlineStr">
        <is>
          <t>Well-Architected Framework for OCI &gt; Reliability and Resilience &gt; Back Up Your Data &gt; Backup Data in Your Databases</t>
        </is>
      </c>
      <c r="I45" s="4" t="inlineStr">
        <is>
          <t>OCI-DELTA</t>
        </is>
      </c>
      <c r="J45" s="4" t="inlineStr">
        <is>
          <t>OCI採用時に、CLOUD-COMMONで未評価のOCI固有差分へ適用。</t>
        </is>
      </c>
      <c r="K45" s="4" t="inlineStr">
        <is>
          <t>SRC-OCI-WAF</t>
        </is>
      </c>
      <c r="L45" s="4" t="inlineStr">
        <is>
          <t>CONTINUITY-BACKUP;CONTINUITY-DR</t>
        </is>
      </c>
      <c r="M45" s="4" t="n"/>
      <c r="N45" s="4" t="n"/>
      <c r="O45" s="4" t="n"/>
      <c r="P45" s="4" t="n"/>
      <c r="Q45" s="4" t="n"/>
      <c r="R45" s="4" t="n"/>
      <c r="S45" s="4" t="n"/>
      <c r="T45" s="4" t="n"/>
      <c r="U45" s="4" t="n"/>
      <c r="V45" s="4" t="n"/>
      <c r="W45" s="4" t="n"/>
    </row>
    <row r="46">
      <c r="A46" s="5" t="inlineStr">
        <is>
          <t>OCI-045</t>
        </is>
      </c>
      <c r="B46" s="5" t="inlineStr">
        <is>
          <t>WAF</t>
        </is>
      </c>
      <c r="C46" s="4" t="inlineStr">
        <is>
          <t>信頼性とレジリエンス / Reliability and Resilience</t>
        </is>
      </c>
      <c r="D46" s="8" t="inlineStr">
        <is>
          <t>Critical</t>
        </is>
      </c>
      <c r="E46" s="4" t="inlineStr">
        <is>
          <t>バックアップからのリストアテストを定期的に実施し、RTO/RPOを満たすことを検証しているか</t>
        </is>
      </c>
      <c r="F46" s="4" t="inlineStr">
        <is>
          <t>リストア/フェイルオーバーテストの定期実施記録があり、測定された復旧時間がRTO/RPO要件内であること</t>
        </is>
      </c>
      <c r="G46" s="4" t="inlineStr">
        <is>
          <t>未検証のバックアップは「取れているつもり」で終わる。復元できないバックアップは存在しないのと同じ。</t>
        </is>
      </c>
      <c r="H46" s="4" t="inlineStr">
        <is>
          <t>Well-Architected Framework for OCI &gt; Reliability and Resilience &gt; Back Up Your Data &gt; Verify Your Backup Integrity and Processes</t>
        </is>
      </c>
      <c r="I46" s="4" t="inlineStr">
        <is>
          <t>OCI-DELTA</t>
        </is>
      </c>
      <c r="J46" s="4" t="inlineStr">
        <is>
          <t>OCI採用時に、CLOUD-COMMONで未評価のOCI固有差分へ適用。</t>
        </is>
      </c>
      <c r="K46" s="4" t="inlineStr">
        <is>
          <t>SRC-OCI-WAF</t>
        </is>
      </c>
      <c r="L46" s="4" t="inlineStr">
        <is>
          <t>CONTINUITY-BACKUP;CONTINUITY-DR</t>
        </is>
      </c>
      <c r="M46" s="4" t="n"/>
      <c r="N46" s="4" t="n"/>
      <c r="O46" s="4" t="n"/>
      <c r="P46" s="4" t="n"/>
      <c r="Q46" s="4" t="n"/>
      <c r="R46" s="4" t="n"/>
      <c r="S46" s="4" t="n"/>
      <c r="T46" s="4" t="n"/>
      <c r="U46" s="4" t="n"/>
      <c r="V46" s="4" t="n"/>
      <c r="W46" s="4" t="n"/>
    </row>
    <row r="47">
      <c r="A47" s="5" t="inlineStr">
        <is>
          <t>OCI-046</t>
        </is>
      </c>
      <c r="B47" s="5" t="inlineStr">
        <is>
          <t>WAF</t>
        </is>
      </c>
      <c r="C47" s="4" t="inlineStr">
        <is>
          <t>信頼性とレジリエンス / Reliability and Resilience</t>
        </is>
      </c>
      <c r="D47" s="9" t="inlineStr">
        <is>
          <t>High</t>
        </is>
      </c>
      <c r="E47" s="4" t="inlineStr">
        <is>
          <t>バックアップデータの暗号化(保存時AES-256・転送時TLS)とアクセス制御が検証されているか</t>
        </is>
      </c>
      <c r="F47" s="4" t="inlineStr">
        <is>
          <t>バックアップの暗号化設定とバックアップ操作を制限するIAMポリシーが確認でき、鍵管理方針が定義されていること</t>
        </is>
      </c>
      <c r="G47" s="4" t="inlineStr">
        <is>
          <t>バックアップは本番同等の機密データの複製であり、保護が弱いと格好の窃取対象になる。</t>
        </is>
      </c>
      <c r="H47" s="4" t="inlineStr">
        <is>
          <t>Well-Architected Framework for OCI &gt; Reliability and Resilience &gt; Back Up Your Data &gt; Validate Backup Security and Encryption</t>
        </is>
      </c>
      <c r="I47" s="4" t="inlineStr">
        <is>
          <t>OCI-DELTA</t>
        </is>
      </c>
      <c r="J47" s="4" t="inlineStr">
        <is>
          <t>OCI採用時に、CLOUD-COMMONで未評価のOCI固有差分へ適用。</t>
        </is>
      </c>
      <c r="K47" s="4" t="inlineStr">
        <is>
          <t>SRC-OCI-WAF</t>
        </is>
      </c>
      <c r="L47" s="4" t="inlineStr">
        <is>
          <t>CONTINUITY-BACKUP;SEC-CRYPTO</t>
        </is>
      </c>
      <c r="M47" s="4" t="n"/>
      <c r="N47" s="4" t="n"/>
      <c r="O47" s="4" t="n"/>
      <c r="P47" s="4" t="n"/>
      <c r="Q47" s="4" t="n"/>
      <c r="R47" s="4" t="n"/>
      <c r="S47" s="4" t="n"/>
      <c r="T47" s="4" t="n"/>
      <c r="U47" s="4" t="n"/>
      <c r="V47" s="4" t="n"/>
      <c r="W47" s="4" t="n"/>
    </row>
    <row r="48">
      <c r="A48" s="5" t="inlineStr">
        <is>
          <t>OCI-047</t>
        </is>
      </c>
      <c r="B48" s="5" t="inlineStr">
        <is>
          <t>WAF</t>
        </is>
      </c>
      <c r="C48" s="4" t="inlineStr">
        <is>
          <t>信頼性とレジリエンス / Reliability and Resilience</t>
        </is>
      </c>
      <c r="D48" s="9" t="inlineStr">
        <is>
          <t>High</t>
        </is>
      </c>
      <c r="E48" s="4" t="inlineStr">
        <is>
          <t>Block Volume/Object Storage/File Storageのクロスリージョンレプリケーションまたはリージョン間バックアップコピーが構成されているか(DR要件がある場合)</t>
        </is>
      </c>
      <c r="F48" s="4" t="inlineStr">
        <is>
          <t>DR対象データについてボリュームレプリケーション、バケットレプリケーション等がDRリージョンへ構成されていること</t>
        </is>
      </c>
      <c r="G48" s="4" t="inlineStr">
        <is>
          <t>単一リージョン内のみのデータ保持では、リージョン規模の障害でバックアップごと失われる。</t>
        </is>
      </c>
      <c r="H48" s="4" t="inlineStr">
        <is>
          <t>Well-Architected Framework for OCI &gt; Reliability and Resilience &gt; Replicate Your Data &gt; Boot and Block Volume Replication / Object Storage Replication</t>
        </is>
      </c>
      <c r="I48" s="4" t="inlineStr">
        <is>
          <t>OCI-DELTA</t>
        </is>
      </c>
      <c r="J48" s="4" t="inlineStr">
        <is>
          <t>OCI採用時に、CLOUD-COMMONで未評価のOCI固有差分へ適用。</t>
        </is>
      </c>
      <c r="K48" s="4" t="inlineStr">
        <is>
          <t>SRC-OCI-WAF</t>
        </is>
      </c>
      <c r="L48" s="4" t="inlineStr">
        <is>
          <t>CONTINUITY-BACKUP;CONTINUITY-DR</t>
        </is>
      </c>
      <c r="M48" s="4" t="n"/>
      <c r="N48" s="4" t="n"/>
      <c r="O48" s="4" t="n"/>
      <c r="P48" s="4" t="n"/>
      <c r="Q48" s="4" t="n"/>
      <c r="R48" s="4" t="n"/>
      <c r="S48" s="4" t="n"/>
      <c r="T48" s="4" t="n"/>
      <c r="U48" s="4" t="n"/>
      <c r="V48" s="4" t="n"/>
      <c r="W48" s="4" t="n"/>
    </row>
    <row r="49">
      <c r="A49" s="5" t="inlineStr">
        <is>
          <t>OCI-048</t>
        </is>
      </c>
      <c r="B49" s="5" t="inlineStr">
        <is>
          <t>WAF</t>
        </is>
      </c>
      <c r="C49" s="4" t="inlineStr">
        <is>
          <t>信頼性とレジリエンス / Reliability and Resilience</t>
        </is>
      </c>
      <c r="D49" s="9" t="inlineStr">
        <is>
          <t>High</t>
        </is>
      </c>
      <c r="E49" s="4" t="inlineStr">
        <is>
          <t>Oracle DatabaseのDRにData Guard/Autonomous Data Guardによるレプリケーションを使用しているか</t>
        </is>
      </c>
      <c r="F49" s="4" t="inlineStr">
        <is>
          <t>本番DBにスタンバイ(ローカルまたはクロスリージョン)が構成され、スイッチオーバー手順がテスト済みであること</t>
        </is>
      </c>
      <c r="G49" s="4" t="inlineStr">
        <is>
          <t>DBレプリカがないとリージョン/AD障害時の復旧がバックアップリストアのみとなり、RTO/RPOが大幅に悪化する。</t>
        </is>
      </c>
      <c r="H49" s="4" t="inlineStr">
        <is>
          <t>Well-Architected Framework for OCI &gt; Reliability and Resilience &gt; Replicate Your Data &gt; Oracle Database Replication</t>
        </is>
      </c>
      <c r="I49" s="4" t="inlineStr">
        <is>
          <t>OCI-DELTA</t>
        </is>
      </c>
      <c r="J49" s="4" t="inlineStr">
        <is>
          <t>OCI採用時に、CLOUD-COMMONで未評価のOCI固有差分へ適用。</t>
        </is>
      </c>
      <c r="K49" s="4" t="inlineStr">
        <is>
          <t>SRC-OCI-WAF</t>
        </is>
      </c>
      <c r="L49" s="4" t="inlineStr">
        <is>
          <t>CONTINUITY-DR</t>
        </is>
      </c>
      <c r="M49" s="4" t="n"/>
      <c r="N49" s="4" t="n"/>
      <c r="O49" s="4" t="n"/>
      <c r="P49" s="4" t="n"/>
      <c r="Q49" s="4" t="n"/>
      <c r="R49" s="4" t="n"/>
      <c r="S49" s="4" t="n"/>
      <c r="T49" s="4" t="n"/>
      <c r="U49" s="4" t="n"/>
      <c r="V49" s="4" t="n"/>
      <c r="W49" s="4" t="n"/>
    </row>
    <row r="50">
      <c r="A50" s="5" t="inlineStr">
        <is>
          <t>OCI-049</t>
        </is>
      </c>
      <c r="B50" s="5" t="inlineStr">
        <is>
          <t>WAF</t>
        </is>
      </c>
      <c r="C50" s="4" t="inlineStr">
        <is>
          <t>信頼性とレジリエンス / Reliability and Resilience</t>
        </is>
      </c>
      <c r="D50" s="8" t="inlineStr">
        <is>
          <t>Critical</t>
        </is>
      </c>
      <c r="E50" s="4" t="inlineStr">
        <is>
          <t>RTO/RPOを定義したディザスタリカバリ計画が文書化され、DR構成(ソリューション設計)が要件に対応しているか</t>
        </is>
      </c>
      <c r="F50" s="4" t="inlineStr">
        <is>
          <t>ワークロードごとのRTO/RPOが定義され、それを満たすDR方式(バックアップ/パイロットライト/スタンバイ等)が設計・文書化されていること</t>
        </is>
      </c>
      <c r="G50" s="4" t="inlineStr">
        <is>
          <t>DR計画の欠如は広域災害時に復旧方針の意思決定から始めることになり、停止が長期化する。</t>
        </is>
      </c>
      <c r="H50" s="4" t="inlineStr">
        <is>
          <t>Well-Architected Framework for OCI &gt; Reliability and Resilience &gt; Plan Your Disaster Recovery Strategy &gt; Develop a Disaster Recovery Plan / Design Disaster Recovery Solutions</t>
        </is>
      </c>
      <c r="I50" s="4" t="inlineStr">
        <is>
          <t>OCI-DELTA</t>
        </is>
      </c>
      <c r="J50" s="4" t="inlineStr">
        <is>
          <t>OCI採用時に、CLOUD-COMMONで未評価のOCI固有差分へ適用。</t>
        </is>
      </c>
      <c r="K50" s="4" t="inlineStr">
        <is>
          <t>SRC-OCI-WAF</t>
        </is>
      </c>
      <c r="L50" s="4" t="inlineStr">
        <is>
          <t>CONTINUITY-DR</t>
        </is>
      </c>
      <c r="M50" s="4" t="n"/>
      <c r="N50" s="4" t="n"/>
      <c r="O50" s="4" t="n"/>
      <c r="P50" s="4" t="n"/>
      <c r="Q50" s="4" t="n"/>
      <c r="R50" s="4" t="n"/>
      <c r="S50" s="4" t="n"/>
      <c r="T50" s="4" t="n"/>
      <c r="U50" s="4" t="n"/>
      <c r="V50" s="4" t="n"/>
      <c r="W50" s="4" t="n"/>
    </row>
    <row r="51">
      <c r="A51" s="5" t="inlineStr">
        <is>
          <t>OCI-050</t>
        </is>
      </c>
      <c r="B51" s="5" t="inlineStr">
        <is>
          <t>WAF</t>
        </is>
      </c>
      <c r="C51" s="4" t="inlineStr">
        <is>
          <t>信頼性とレジリエンス / Reliability and Resilience</t>
        </is>
      </c>
      <c r="D51" s="10" t="inlineStr">
        <is>
          <t>Medium</t>
        </is>
      </c>
      <c r="E51" s="4" t="inlineStr">
        <is>
          <t>OCI Full Stack Disaster Recoveryの活用を評価し、DR切替の自動化・オーケストレーションを行っているか</t>
        </is>
      </c>
      <c r="F51" s="4" t="inlineStr">
        <is>
          <t>対象ワークロードでFull Stack DR(またはそれに相当する自動化)によるDR計画の作成・事前チェック・切替が構成されていること</t>
        </is>
      </c>
      <c r="G51" s="4" t="inlineStr">
        <is>
          <t>手動DR切替は手順ミス・所要時間超過のリスクが高く、実際の災害時に機能しないことが多い。</t>
        </is>
      </c>
      <c r="H51" s="4" t="inlineStr">
        <is>
          <t>Well-Architected Framework for OCI &gt; Reliability and Resilience &gt; Plan Your Disaster Recovery Strategy &gt; Implement Full Stack Disaster Recovery</t>
        </is>
      </c>
      <c r="I51" s="4" t="inlineStr">
        <is>
          <t>OCI-DELTA</t>
        </is>
      </c>
      <c r="J51" s="4" t="inlineStr">
        <is>
          <t>OCI採用時に、CLOUD-COMMONで未評価のOCI固有差分へ適用。</t>
        </is>
      </c>
      <c r="K51" s="4" t="inlineStr">
        <is>
          <t>SRC-OCI-WAF</t>
        </is>
      </c>
      <c r="L51" s="4" t="inlineStr">
        <is>
          <t>CONTINUITY-DR</t>
        </is>
      </c>
      <c r="M51" s="4" t="n"/>
      <c r="N51" s="4" t="n"/>
      <c r="O51" s="4" t="n"/>
      <c r="P51" s="4" t="n"/>
      <c r="Q51" s="4" t="n"/>
      <c r="R51" s="4" t="n"/>
      <c r="S51" s="4" t="n"/>
      <c r="T51" s="4" t="n"/>
      <c r="U51" s="4" t="n"/>
      <c r="V51" s="4" t="n"/>
      <c r="W51" s="4" t="n"/>
    </row>
    <row r="52">
      <c r="A52" s="5" t="inlineStr">
        <is>
          <t>OCI-051</t>
        </is>
      </c>
      <c r="B52" s="5" t="inlineStr">
        <is>
          <t>WAF</t>
        </is>
      </c>
      <c r="C52" s="4" t="inlineStr">
        <is>
          <t>信頼性とレジリエンス / Reliability and Resilience</t>
        </is>
      </c>
      <c r="D52" s="9" t="inlineStr">
        <is>
          <t>High</t>
        </is>
      </c>
      <c r="E52" s="4" t="inlineStr">
        <is>
          <t>シミュレーションや強制フェイルオーバーによる定期的な障害訓練を実施しているか</t>
        </is>
      </c>
      <c r="F52" s="4" t="inlineStr">
        <is>
          <t>障害注入/フェイルオーバー訓練の計画と直近の実施結果(発見事項と是正)が記録されていること</t>
        </is>
      </c>
      <c r="G52" s="4" t="inlineStr">
        <is>
          <t>訓練なしの冗長構成は初回の本番障害がテストになる。切替不能・手順陳腐化が放置される。</t>
        </is>
      </c>
      <c r="H52" s="4" t="inlineStr">
        <is>
          <t>Well-Architected Framework for OCI &gt; Reliability and Resilience &gt; About Reliable and Resilient Cloud Topology Practices &gt; Periodically Test with Simulations and Forced Failovers</t>
        </is>
      </c>
      <c r="I52" s="4" t="inlineStr">
        <is>
          <t>OCI-DELTA</t>
        </is>
      </c>
      <c r="J52" s="4" t="inlineStr">
        <is>
          <t>OCI採用時に、CLOUD-COMMONで未評価のOCI固有差分へ適用。</t>
        </is>
      </c>
      <c r="K52" s="4" t="inlineStr">
        <is>
          <t>SRC-OCI-WAF</t>
        </is>
      </c>
      <c r="L52" s="4" t="inlineStr">
        <is>
          <t>RELIABILITY-HA</t>
        </is>
      </c>
      <c r="M52" s="4" t="n"/>
      <c r="N52" s="4" t="n"/>
      <c r="O52" s="4" t="n"/>
      <c r="P52" s="4" t="n"/>
      <c r="Q52" s="4" t="n"/>
      <c r="R52" s="4" t="n"/>
      <c r="S52" s="4" t="n"/>
      <c r="T52" s="4" t="n"/>
      <c r="U52" s="4" t="n"/>
      <c r="V52" s="4" t="n"/>
      <c r="W52" s="4" t="n"/>
    </row>
    <row r="53">
      <c r="A53" s="5" t="inlineStr">
        <is>
          <t>OCI-052</t>
        </is>
      </c>
      <c r="B53" s="5" t="inlineStr">
        <is>
          <t>WAF</t>
        </is>
      </c>
      <c r="C53" s="4" t="inlineStr">
        <is>
          <t>信頼性とレジリエンス / Reliability and Resilience</t>
        </is>
      </c>
      <c r="D53" s="9" t="inlineStr">
        <is>
          <t>High</t>
        </is>
      </c>
      <c r="E53" s="4" t="inlineStr">
        <is>
          <t>可用性・信頼性の要件(SLA、RTO/RPO、目標稼働率)が事前に定義され、アーキテクチャがそれに基づき設計されているか</t>
        </is>
      </c>
      <c r="F53" s="4" t="inlineStr">
        <is>
          <t>ワークロードごとの可用性要件が文書化され、採用構成(AD分散、レプリケーション等)との対応が説明できること</t>
        </is>
      </c>
      <c r="G53" s="4" t="inlineStr">
        <is>
          <t>要件不在の設計は過剰投資か過小保護のいずれかになり、障害時に責任範囲も曖昧になる。</t>
        </is>
      </c>
      <c r="H53" s="4" t="inlineStr">
        <is>
          <t>Well-Architected Framework for OCI &gt; Reliability and Resilience &gt; About Reliable and Resilient Cloud Topology Practices &gt; Define the Requirements / Architect for Reliability</t>
        </is>
      </c>
      <c r="I53" s="4" t="inlineStr">
        <is>
          <t>OCI-DELTA</t>
        </is>
      </c>
      <c r="J53" s="4" t="inlineStr">
        <is>
          <t>OCI採用時に、CLOUD-COMMONで未評価のOCI固有差分へ適用。</t>
        </is>
      </c>
      <c r="K53" s="4" t="inlineStr">
        <is>
          <t>SRC-OCI-WAF</t>
        </is>
      </c>
      <c r="L53" s="4" t="inlineStr">
        <is>
          <t>CONTINUITY-DR;RELIABILITY-HA</t>
        </is>
      </c>
      <c r="M53" s="4" t="n"/>
      <c r="N53" s="4" t="n"/>
      <c r="O53" s="4" t="n"/>
      <c r="P53" s="4" t="n"/>
      <c r="Q53" s="4" t="n"/>
      <c r="R53" s="4" t="n"/>
      <c r="S53" s="4" t="n"/>
      <c r="T53" s="4" t="n"/>
      <c r="U53" s="4" t="n"/>
      <c r="V53" s="4" t="n"/>
      <c r="W53" s="4" t="n"/>
    </row>
    <row r="54">
      <c r="A54" s="5" t="inlineStr">
        <is>
          <t>OCI-053</t>
        </is>
      </c>
      <c r="B54" s="5" t="inlineStr">
        <is>
          <t>WAF</t>
        </is>
      </c>
      <c r="C54" s="4" t="inlineStr">
        <is>
          <t>パフォーマンスとコスト最適化 / Performance and Cost Optimization</t>
        </is>
      </c>
      <c r="D54" s="10" t="inlineStr">
        <is>
          <t>Medium</t>
        </is>
      </c>
      <c r="E54" s="4" t="inlineStr">
        <is>
          <t>ワークロード特性に基づき適切なコンピュート構成(VM/ベアメタル、フレキシブルシェイプのOCPU/メモリ)を選定しているか</t>
        </is>
      </c>
      <c r="F54" s="4" t="inlineStr">
        <is>
          <t>シェイプ選定の根拠(CPU/メモリ/ネットワーク要件との対応)が文書化され、フレキシブルシェイプ等で要件に適合したサイジングであること</t>
        </is>
      </c>
      <c r="G54" s="4" t="inlineStr">
        <is>
          <t>根拠のないシェイプ選定は性能不足かコスト超過を生む。</t>
        </is>
      </c>
      <c r="H54" s="4" t="inlineStr">
        <is>
          <t>Well-Architected Framework for OCI &gt; Performance and Cost Optimization &gt; Plan the Compute Resources &gt; Learn About the Available Compute Instance Shapes</t>
        </is>
      </c>
      <c r="I54" s="4" t="inlineStr">
        <is>
          <t>OCI-DELTA</t>
        </is>
      </c>
      <c r="J54" s="4" t="inlineStr">
        <is>
          <t>OCI採用時に、CLOUD-COMMONで未評価のOCI固有差分へ適用。</t>
        </is>
      </c>
      <c r="K54" s="4" t="inlineStr">
        <is>
          <t>SRC-OCI-WAF</t>
        </is>
      </c>
      <c r="L54" s="4" t="inlineStr">
        <is>
          <t>COST</t>
        </is>
      </c>
      <c r="M54" s="4" t="n"/>
      <c r="N54" s="4" t="n"/>
      <c r="O54" s="4" t="n"/>
      <c r="P54" s="4" t="n"/>
      <c r="Q54" s="4" t="n"/>
      <c r="R54" s="4" t="n"/>
      <c r="S54" s="4" t="n"/>
      <c r="T54" s="4" t="n"/>
      <c r="U54" s="4" t="n"/>
      <c r="V54" s="4" t="n"/>
      <c r="W54" s="4" t="n"/>
    </row>
    <row r="55">
      <c r="A55" s="5" t="inlineStr">
        <is>
          <t>OCI-054</t>
        </is>
      </c>
      <c r="B55" s="5" t="inlineStr">
        <is>
          <t>WAF</t>
        </is>
      </c>
      <c r="C55" s="4" t="inlineStr">
        <is>
          <t>パフォーマンスとコスト最適化 / Performance and Cost Optimization</t>
        </is>
      </c>
      <c r="D55" s="10" t="inlineStr">
        <is>
          <t>Medium</t>
        </is>
      </c>
      <c r="E55" s="4" t="inlineStr">
        <is>
          <t>コンピュートメトリクス(CPU/メモリ使用率等)を収集し、データに基づいてサイジングを見直しているか</t>
        </is>
      </c>
      <c r="F55" s="4" t="inlineStr">
        <is>
          <t>Monitoringのコンピュートメトリクスに基づくライトサイジングのレビューが定期実施され、変更実績があること</t>
        </is>
      </c>
      <c r="G55" s="4" t="inlineStr">
        <is>
          <t>計測なしの固定サイジングは使用率の低い過剰リソースへの支払いを継続させる。</t>
        </is>
      </c>
      <c r="H55" s="4" t="inlineStr">
        <is>
          <t>Well-Architected Framework for OCI &gt; Performance and Cost Optimization &gt; Plan the Compute Resources &gt; Determine the Right Compute Sizing and Configuration by Collecting Compute Related Metrics</t>
        </is>
      </c>
      <c r="I55" s="4" t="inlineStr">
        <is>
          <t>OCI-DELTA</t>
        </is>
      </c>
      <c r="J55" s="4" t="inlineStr">
        <is>
          <t>OCI採用時に、CLOUD-COMMONで未評価のOCI固有差分へ適用。</t>
        </is>
      </c>
      <c r="K55" s="4" t="inlineStr">
        <is>
          <t>SRC-OCI-WAF</t>
        </is>
      </c>
      <c r="L55" s="4" t="inlineStr">
        <is>
          <t>OPS-OBSERVABILITY;COST</t>
        </is>
      </c>
      <c r="M55" s="4" t="n"/>
      <c r="N55" s="4" t="n"/>
      <c r="O55" s="4" t="n"/>
      <c r="P55" s="4" t="n"/>
      <c r="Q55" s="4" t="n"/>
      <c r="R55" s="4" t="n"/>
      <c r="S55" s="4" t="n"/>
      <c r="T55" s="4" t="n"/>
      <c r="U55" s="4" t="n"/>
      <c r="V55" s="4" t="n"/>
      <c r="W55" s="4" t="n"/>
    </row>
    <row r="56">
      <c r="A56" s="5" t="inlineStr">
        <is>
          <t>OCI-055</t>
        </is>
      </c>
      <c r="B56" s="5" t="inlineStr">
        <is>
          <t>WAF</t>
        </is>
      </c>
      <c r="C56" s="4" t="inlineStr">
        <is>
          <t>パフォーマンスとコスト最適化 / Performance and Cost Optimization</t>
        </is>
      </c>
      <c r="D56" s="10" t="inlineStr">
        <is>
          <t>Medium</t>
        </is>
      </c>
      <c r="E56" s="4" t="inlineStr">
        <is>
          <t>コンピュートの弾力性機能(オートスケーリング、プリエンプティブル/バースタブルインスタンス等)を評価・活用しているか</t>
        </is>
      </c>
      <c r="F56" s="4" t="inlineStr">
        <is>
          <t>変動負荷のワークロードでオートスケーリングや低コストな弾力性オプションの適用可否が評価され、適用箇所が記録されていること</t>
        </is>
      </c>
      <c r="G56" s="4" t="inlineStr">
        <is>
          <t>弾力性機能を使わない固定構成はピーク基準の常時課金となりコスト効率が悪い。</t>
        </is>
      </c>
      <c r="H56" s="4" t="inlineStr">
        <is>
          <t>Well-Architected Framework for OCI &gt; Performance and Cost Optimization &gt; Plan the Compute Resources &gt; Identify Available Elastic Features in the Compute Service</t>
        </is>
      </c>
      <c r="I56" s="4" t="inlineStr">
        <is>
          <t>OCI-DELTA</t>
        </is>
      </c>
      <c r="J56" s="4" t="inlineStr">
        <is>
          <t>OCI採用時に、CLOUD-COMMONで未評価のOCI固有差分へ適用。</t>
        </is>
      </c>
      <c r="K56" s="4" t="inlineStr">
        <is>
          <t>SRC-OCI-WAF</t>
        </is>
      </c>
      <c r="L56" s="4" t="inlineStr">
        <is>
          <t>COST</t>
        </is>
      </c>
      <c r="M56" s="4" t="n"/>
      <c r="N56" s="4" t="n"/>
      <c r="O56" s="4" t="n"/>
      <c r="P56" s="4" t="n"/>
      <c r="Q56" s="4" t="n"/>
      <c r="R56" s="4" t="n"/>
      <c r="S56" s="4" t="n"/>
      <c r="T56" s="4" t="n"/>
      <c r="U56" s="4" t="n"/>
      <c r="V56" s="4" t="n"/>
      <c r="W56" s="4" t="n"/>
    </row>
    <row r="57">
      <c r="A57" s="5" t="inlineStr">
        <is>
          <t>OCI-056</t>
        </is>
      </c>
      <c r="B57" s="5" t="inlineStr">
        <is>
          <t>WAF</t>
        </is>
      </c>
      <c r="C57" s="4" t="inlineStr">
        <is>
          <t>パフォーマンスとコスト最適化 / Performance and Cost Optimization</t>
        </is>
      </c>
      <c r="D57" s="10" t="inlineStr">
        <is>
          <t>Medium</t>
        </is>
      </c>
      <c r="E57" s="4" t="inlineStr">
        <is>
          <t>アプリケーションのストレージ特性(IOPS/スループット/レイテンシ/耐久性)を特定し、適合するストレージ(Block/File/Object/ローカルNVMe)を選定しているか</t>
        </is>
      </c>
      <c r="F57" s="4" t="inlineStr">
        <is>
          <t>ストレージ要件と選定結果の対応表があり、Block VolumeのVPU設定等が要件に基づいていること</t>
        </is>
      </c>
      <c r="G57" s="4" t="inlineStr">
        <is>
          <t>特性と不一致のストレージ選定は性能ボトルネックまたは過剰コストの恒常化を招く。</t>
        </is>
      </c>
      <c r="H57" s="4" t="inlineStr">
        <is>
          <t>Well-Architected Framework for OCI &gt; Performance and Cost Optimization &gt; Decide Your Storage Solution &gt; Identify the Application Storage Characteristics and Requirements / Evaluate Available Storage Options</t>
        </is>
      </c>
      <c r="I57" s="4" t="inlineStr">
        <is>
          <t>OCI-DELTA</t>
        </is>
      </c>
      <c r="J57" s="4" t="inlineStr">
        <is>
          <t>OCI採用時に、CLOUD-COMMONで未評価のOCI固有差分へ適用。</t>
        </is>
      </c>
      <c r="K57" s="4" t="inlineStr">
        <is>
          <t>SRC-OCI-WAF</t>
        </is>
      </c>
      <c r="L57" s="4" t="inlineStr">
        <is>
          <t>COST</t>
        </is>
      </c>
      <c r="M57" s="4" t="n"/>
      <c r="N57" s="4" t="n"/>
      <c r="O57" s="4" t="n"/>
      <c r="P57" s="4" t="n"/>
      <c r="Q57" s="4" t="n"/>
      <c r="R57" s="4" t="n"/>
      <c r="S57" s="4" t="n"/>
      <c r="T57" s="4" t="n"/>
      <c r="U57" s="4" t="n"/>
      <c r="V57" s="4" t="n"/>
      <c r="W57" s="4" t="n"/>
    </row>
    <row r="58">
      <c r="A58" s="5" t="inlineStr">
        <is>
          <t>OCI-057</t>
        </is>
      </c>
      <c r="B58" s="5" t="inlineStr">
        <is>
          <t>WAF</t>
        </is>
      </c>
      <c r="C58" s="4" t="inlineStr">
        <is>
          <t>パフォーマンスとコスト最適化 / Performance and Cost Optimization</t>
        </is>
      </c>
      <c r="D58" s="10" t="inlineStr">
        <is>
          <t>Medium</t>
        </is>
      </c>
      <c r="E58" s="4" t="inlineStr">
        <is>
          <t>利用者との距離・ネットワーク要件(レイテンシ)に基づいてリージョンを選定しているか</t>
        </is>
      </c>
      <c r="F58" s="4" t="inlineStr">
        <is>
          <t>リージョン選定の根拠(ユーザー所在地、レイテンシ測定、オンプレ接続点)が記録されていること</t>
        </is>
      </c>
      <c r="G58" s="4" t="inlineStr">
        <is>
          <t>遠隔リージョン選定は恒常的なレイテンシ劣化としてユーザー体験に影響し続ける。</t>
        </is>
      </c>
      <c r="H58" s="4" t="inlineStr">
        <is>
          <t>Well-Architected Framework for OCI &gt; Performance and Cost Optimization &gt; Tune and Monitor Network &gt; Choose a Region Location Based On Networking Requirements</t>
        </is>
      </c>
      <c r="I58" s="4" t="inlineStr">
        <is>
          <t>OCI-DELTA</t>
        </is>
      </c>
      <c r="J58" s="4" t="inlineStr">
        <is>
          <t>OCI採用時に、CLOUD-COMMONで未評価のOCI固有差分へ適用。</t>
        </is>
      </c>
      <c r="K58" s="4" t="inlineStr">
        <is>
          <t>SRC-OCI-WAF</t>
        </is>
      </c>
      <c r="L58" s="4" t="inlineStr">
        <is>
          <t>COST</t>
        </is>
      </c>
      <c r="M58" s="4" t="n"/>
      <c r="N58" s="4" t="n"/>
      <c r="O58" s="4" t="n"/>
      <c r="P58" s="4" t="n"/>
      <c r="Q58" s="4" t="n"/>
      <c r="R58" s="4" t="n"/>
      <c r="S58" s="4" t="n"/>
      <c r="T58" s="4" t="n"/>
      <c r="U58" s="4" t="n"/>
      <c r="V58" s="4" t="n"/>
      <c r="W58" s="4" t="n"/>
    </row>
    <row r="59">
      <c r="A59" s="5" t="inlineStr">
        <is>
          <t>OCI-058</t>
        </is>
      </c>
      <c r="B59" s="5" t="inlineStr">
        <is>
          <t>WAF</t>
        </is>
      </c>
      <c r="C59" s="4" t="inlineStr">
        <is>
          <t>パフォーマンスとコスト最適化 / Performance and Cost Optimization</t>
        </is>
      </c>
      <c r="D59" s="10" t="inlineStr">
        <is>
          <t>Medium</t>
        </is>
      </c>
      <c r="E59" s="4" t="inlineStr">
        <is>
          <t>ネットワークメトリクスとグローバルヘルスチェックを監視し、性能劣化を検知できるか</t>
        </is>
      </c>
      <c r="F59" s="4" t="inlineStr">
        <is>
          <t>VNIC/LB等のネットワークメトリクスにアラームが設定され、Health Checksによる外形レイテンシ監視があること</t>
        </is>
      </c>
      <c r="G59" s="4" t="inlineStr">
        <is>
          <t>ネットワーク性能の劣化は検知が遅れがちで、原因切り分けにも計測データが不可欠。</t>
        </is>
      </c>
      <c r="H59" s="4" t="inlineStr">
        <is>
          <t>Well-Architected Framework for OCI &gt; Performance and Cost Optimization &gt; Tune and Monitor Network &gt; Monitor Networking Metrics / Use Global Health Checks to Monitor Your Workload</t>
        </is>
      </c>
      <c r="I59" s="4" t="inlineStr">
        <is>
          <t>OCI-DELTA</t>
        </is>
      </c>
      <c r="J59" s="4" t="inlineStr">
        <is>
          <t>OCI採用時に、CLOUD-COMMONで未評価のOCI固有差分へ適用。</t>
        </is>
      </c>
      <c r="K59" s="4" t="inlineStr">
        <is>
          <t>SRC-OCI-WAF</t>
        </is>
      </c>
      <c r="L59" s="4" t="inlineStr">
        <is>
          <t>OPS-OBSERVABILITY;COST</t>
        </is>
      </c>
      <c r="M59" s="4" t="n"/>
      <c r="N59" s="4" t="n"/>
      <c r="O59" s="4" t="n"/>
      <c r="P59" s="4" t="n"/>
      <c r="Q59" s="4" t="n"/>
      <c r="R59" s="4" t="n"/>
      <c r="S59" s="4" t="n"/>
      <c r="T59" s="4" t="n"/>
      <c r="U59" s="4" t="n"/>
      <c r="V59" s="4" t="n"/>
      <c r="W59" s="4" t="n"/>
    </row>
    <row r="60">
      <c r="A60" s="5" t="inlineStr">
        <is>
          <t>OCI-059</t>
        </is>
      </c>
      <c r="B60" s="5" t="inlineStr">
        <is>
          <t>WAF</t>
        </is>
      </c>
      <c r="C60" s="4" t="inlineStr">
        <is>
          <t>パフォーマンスとコスト最適化 / Performance and Cost Optimization</t>
        </is>
      </c>
      <c r="D60" s="10" t="inlineStr">
        <is>
          <t>Medium</t>
        </is>
      </c>
      <c r="E60" s="4" t="inlineStr">
        <is>
          <t>価格モデル(従量制、Universal Credits年間契約、BYOL等)を評価し、利用実態に合う契約を選択しているか</t>
        </is>
      </c>
      <c r="F60" s="4" t="inlineStr">
        <is>
          <t>価格モデルの比較検討結果が記録され、既存ライセンスがある場合はBYOLの適用が評価されていること</t>
        </is>
      </c>
      <c r="G60" s="4" t="inlineStr">
        <is>
          <t>契約形態のミスマッチは同一構成でも大きなコスト差を生む。</t>
        </is>
      </c>
      <c r="H60" s="4" t="inlineStr">
        <is>
          <t>Well-Architected Framework for OCI &gt; Performance and Cost Optimization &gt; Track and Manage Usage and Cost &gt; Evaluate the Different Pricing Models</t>
        </is>
      </c>
      <c r="I60" s="4" t="inlineStr">
        <is>
          <t>OCI-DELTA</t>
        </is>
      </c>
      <c r="J60" s="4" t="inlineStr">
        <is>
          <t>OCI採用時に、CLOUD-COMMONで未評価のOCI固有差分へ適用。</t>
        </is>
      </c>
      <c r="K60" s="4" t="inlineStr">
        <is>
          <t>SRC-OCI-WAF</t>
        </is>
      </c>
      <c r="L60" s="4" t="inlineStr">
        <is>
          <t>COST</t>
        </is>
      </c>
      <c r="M60" s="4" t="n"/>
      <c r="N60" s="4" t="n"/>
      <c r="O60" s="4" t="n"/>
      <c r="P60" s="4" t="n"/>
      <c r="Q60" s="4" t="n"/>
      <c r="R60" s="4" t="n"/>
      <c r="S60" s="4" t="n"/>
      <c r="T60" s="4" t="n"/>
      <c r="U60" s="4" t="n"/>
      <c r="V60" s="4" t="n"/>
      <c r="W60" s="4" t="n"/>
    </row>
    <row r="61">
      <c r="A61" s="5" t="inlineStr">
        <is>
          <t>OCI-060</t>
        </is>
      </c>
      <c r="B61" s="5" t="inlineStr">
        <is>
          <t>WAF</t>
        </is>
      </c>
      <c r="C61" s="4" t="inlineStr">
        <is>
          <t>パフォーマンスとコスト最適化 / Performance and Cost Optimization</t>
        </is>
      </c>
      <c r="D61" s="10" t="inlineStr">
        <is>
          <t>Medium</t>
        </is>
      </c>
      <c r="E61" s="4" t="inlineStr">
        <is>
          <t>コスト管理を考慮したコンパートメント構造とコスト追跡タグ(Cost-Tracking Tags)が実装されているか</t>
        </is>
      </c>
      <c r="F61" s="4" t="inlineStr">
        <is>
          <t>部門・プロジェクト単位で集計可能なコンパートメント構造があり、コスト追跡タグが主要リソースに一貫して付与されていること</t>
        </is>
      </c>
      <c r="G61" s="4" t="inlineStr">
        <is>
          <t>コストの帰属が不明だと最適化の責任者が決まらず、無駄が放置される。</t>
        </is>
      </c>
      <c r="H61" s="4" t="inlineStr">
        <is>
          <t>Well-Architected Framework for OCI &gt; Performance and Cost Optimization &gt; Track and Manage Usage and Cost &gt; Implement a Compartment Structure to Help Manage Costs / Implement Cost Tracking Tags for Flexible Cost Tracking</t>
        </is>
      </c>
      <c r="I61" s="4" t="inlineStr">
        <is>
          <t>OCI-DELTA</t>
        </is>
      </c>
      <c r="J61" s="4" t="inlineStr">
        <is>
          <t>OCI採用時に、CLOUD-COMMONで未評価のOCI固有差分へ適用。</t>
        </is>
      </c>
      <c r="K61" s="4" t="inlineStr">
        <is>
          <t>SRC-OCI-WAF</t>
        </is>
      </c>
      <c r="L61" s="4" t="inlineStr">
        <is>
          <t>COST</t>
        </is>
      </c>
      <c r="M61" s="4" t="n"/>
      <c r="N61" s="4" t="n"/>
      <c r="O61" s="4" t="n"/>
      <c r="P61" s="4" t="n"/>
      <c r="Q61" s="4" t="n"/>
      <c r="R61" s="4" t="n"/>
      <c r="S61" s="4" t="n"/>
      <c r="T61" s="4" t="n"/>
      <c r="U61" s="4" t="n"/>
      <c r="V61" s="4" t="n"/>
      <c r="W61" s="4" t="n"/>
    </row>
    <row r="62">
      <c r="A62" s="5" t="inlineStr">
        <is>
          <t>OCI-061</t>
        </is>
      </c>
      <c r="B62" s="5" t="inlineStr">
        <is>
          <t>WAF</t>
        </is>
      </c>
      <c r="C62" s="4" t="inlineStr">
        <is>
          <t>パフォーマンスとコスト最適化 / Performance and Cost Optimization</t>
        </is>
      </c>
      <c r="D62" s="9" t="inlineStr">
        <is>
          <t>High</t>
        </is>
      </c>
      <c r="E62" s="4" t="inlineStr">
        <is>
          <t>予算(Budgets)とアラートが設定され、コスト超過を早期検知できるか</t>
        </is>
      </c>
      <c r="F62" s="4" t="inlineStr">
        <is>
          <t>コンパートメント/タグ単位のBudgetが定義され、閾値(予測含む)超過時の通知先と対応手順があること</t>
        </is>
      </c>
      <c r="G62" s="4" t="inlineStr">
        <is>
          <t>予算監視がないと設定ミスや不正利用による想定外の高額請求を月次請求書で初めて知ることになる。</t>
        </is>
      </c>
      <c r="H62" s="4" t="inlineStr">
        <is>
          <t>Well-Architected Framework for OCI &gt; Performance and Cost Optimization &gt; Track and Manage Usage and Cost &gt; Define Budgets</t>
        </is>
      </c>
      <c r="I62" s="4" t="inlineStr">
        <is>
          <t>OCI-DELTA</t>
        </is>
      </c>
      <c r="J62" s="4" t="inlineStr">
        <is>
          <t>OCI採用時に、CLOUD-COMMONで未評価のOCI固有差分へ適用。</t>
        </is>
      </c>
      <c r="K62" s="4" t="inlineStr">
        <is>
          <t>SRC-OCI-WAF</t>
        </is>
      </c>
      <c r="L62" s="4" t="inlineStr">
        <is>
          <t>OPS-OBSERVABILITY;COST</t>
        </is>
      </c>
      <c r="M62" s="4" t="n"/>
      <c r="N62" s="4" t="n"/>
      <c r="O62" s="4" t="n"/>
      <c r="P62" s="4" t="n"/>
      <c r="Q62" s="4" t="n"/>
      <c r="R62" s="4" t="n"/>
      <c r="S62" s="4" t="n"/>
      <c r="T62" s="4" t="n"/>
      <c r="U62" s="4" t="n"/>
      <c r="V62" s="4" t="n"/>
      <c r="W62" s="4" t="n"/>
    </row>
    <row r="63">
      <c r="A63" s="5" t="inlineStr">
        <is>
          <t>OCI-062</t>
        </is>
      </c>
      <c r="B63" s="5" t="inlineStr">
        <is>
          <t>WAF</t>
        </is>
      </c>
      <c r="C63" s="4" t="inlineStr">
        <is>
          <t>パフォーマンスとコスト最適化 / Performance and Cost Optimization</t>
        </is>
      </c>
      <c r="D63" s="10" t="inlineStr">
        <is>
          <t>Medium</t>
        </is>
      </c>
      <c r="E63" s="4" t="inlineStr">
        <is>
          <t>Object Storageのオブジェクトライフサイクル管理(アーカイブ移行・自動削除)を実装しているか</t>
        </is>
      </c>
      <c r="F63" s="4" t="inlineStr">
        <is>
          <t>ログ・バックアップ等のバケットにライフサイクルポリシー(Infrequent Access/Archive移行、期限削除)が定義されていること</t>
        </is>
      </c>
      <c r="G63" s="4" t="inlineStr">
        <is>
          <t>ライフサイクル未設定ではアクセスされないデータがStandard階層に堆積しコストが単調増加する。</t>
        </is>
      </c>
      <c r="H63" s="4" t="inlineStr">
        <is>
          <t>Well-Architected Framework for OCI &gt; Performance and Cost Optimization &gt; Track and Manage Usage and Cost &gt; Implement Object Storage, Object Lifecycle Management</t>
        </is>
      </c>
      <c r="I63" s="4" t="inlineStr">
        <is>
          <t>OCI-DELTA</t>
        </is>
      </c>
      <c r="J63" s="4" t="inlineStr">
        <is>
          <t>OCI採用時に、CLOUD-COMMONで未評価のOCI固有差分へ適用。</t>
        </is>
      </c>
      <c r="K63" s="4" t="inlineStr">
        <is>
          <t>SRC-OCI-WAF</t>
        </is>
      </c>
      <c r="L63" s="4" t="inlineStr">
        <is>
          <t>COST</t>
        </is>
      </c>
      <c r="M63" s="4" t="n"/>
      <c r="N63" s="4" t="n"/>
      <c r="O63" s="4" t="n"/>
      <c r="P63" s="4" t="n"/>
      <c r="Q63" s="4" t="n"/>
      <c r="R63" s="4" t="n"/>
      <c r="S63" s="4" t="n"/>
      <c r="T63" s="4" t="n"/>
      <c r="U63" s="4" t="n"/>
      <c r="V63" s="4" t="n"/>
      <c r="W63" s="4" t="n"/>
    </row>
    <row r="64">
      <c r="A64" s="5" t="inlineStr">
        <is>
          <t>OCI-063</t>
        </is>
      </c>
      <c r="B64" s="5" t="inlineStr">
        <is>
          <t>WAF</t>
        </is>
      </c>
      <c r="C64" s="4" t="inlineStr">
        <is>
          <t>パフォーマンスとコスト最適化 / Performance and Cost Optimization</t>
        </is>
      </c>
      <c r="D64" s="10" t="inlineStr">
        <is>
          <t>Medium</t>
        </is>
      </c>
      <c r="E64" s="4" t="inlineStr">
        <is>
          <t>コストレポートとコスト分析(Cost Analysis)を定期的に確認し、支出を追跡・最適化しているか</t>
        </is>
      </c>
      <c r="F64" s="4" t="inlineStr">
        <is>
          <t>コスト分析のレビューが定期実施され、コストレポート(CSV)による詳細分析の仕組みがあること</t>
        </is>
      </c>
      <c r="G64" s="4" t="inlineStr">
        <is>
          <t>支出の可視化と定点観測なしにはコスト異常もリザーブの過不足も発見できない。</t>
        </is>
      </c>
      <c r="H64" s="4" t="inlineStr">
        <is>
          <t>Well-Architected Framework for OCI &gt; Performance and Cost Optimization &gt; Track and Manage Usage and Cost &gt; Leverage Cost Reports / Track and Optimize Your Spending by Using Cost Analysis</t>
        </is>
      </c>
      <c r="I64" s="4" t="inlineStr">
        <is>
          <t>OCI-DELTA</t>
        </is>
      </c>
      <c r="J64" s="4" t="inlineStr">
        <is>
          <t>OCI採用時に、CLOUD-COMMONで未評価のOCI固有差分へ適用。</t>
        </is>
      </c>
      <c r="K64" s="4" t="inlineStr">
        <is>
          <t>SRC-OCI-WAF</t>
        </is>
      </c>
      <c r="L64" s="4" t="inlineStr">
        <is>
          <t>COST</t>
        </is>
      </c>
      <c r="M64" s="4" t="n"/>
      <c r="N64" s="4" t="n"/>
      <c r="O64" s="4" t="n"/>
      <c r="P64" s="4" t="n"/>
      <c r="Q64" s="4" t="n"/>
      <c r="R64" s="4" t="n"/>
      <c r="S64" s="4" t="n"/>
      <c r="T64" s="4" t="n"/>
      <c r="U64" s="4" t="n"/>
      <c r="V64" s="4" t="n"/>
      <c r="W64" s="4" t="n"/>
    </row>
    <row r="65">
      <c r="A65" s="5" t="inlineStr">
        <is>
          <t>OCI-064</t>
        </is>
      </c>
      <c r="B65" s="5" t="inlineStr">
        <is>
          <t>WAF</t>
        </is>
      </c>
      <c r="C65" s="4" t="inlineStr">
        <is>
          <t>パフォーマンスとコスト最適化 / Performance and Cost Optimization</t>
        </is>
      </c>
      <c r="D65" s="10" t="inlineStr">
        <is>
          <t>Medium</t>
        </is>
      </c>
      <c r="E65" s="4" t="inlineStr">
        <is>
          <t>未使用リソースの停止・削除(Terminate/STOP)プロセスが定義・実行されているか</t>
        </is>
      </c>
      <c r="F65" s="4" t="inlineStr">
        <is>
          <t>未使用インスタンス・未接続ボリューム・未使用予約IPの定期検出と停止/削除の運用記録があること</t>
        </is>
      </c>
      <c r="G65" s="4" t="inlineStr">
        <is>
          <t>ゾンビリソースは何の価値も生まずに課金され続ける。</t>
        </is>
      </c>
      <c r="H65" s="4" t="inlineStr">
        <is>
          <t>Well-Architected Framework for OCI &gt; Performance and Cost Optimization &gt; Track and Manage Usage and Cost &gt; Implement a Process to Terminate or STOP Unused Resources</t>
        </is>
      </c>
      <c r="I65" s="4" t="inlineStr">
        <is>
          <t>OCI-DELTA</t>
        </is>
      </c>
      <c r="J65" s="4" t="inlineStr">
        <is>
          <t>OCI採用時に、CLOUD-COMMONで未評価のOCI固有差分へ適用。</t>
        </is>
      </c>
      <c r="K65" s="4" t="inlineStr">
        <is>
          <t>SRC-OCI-WAF</t>
        </is>
      </c>
      <c r="L65" s="4" t="inlineStr">
        <is>
          <t>COST</t>
        </is>
      </c>
      <c r="M65" s="4" t="n"/>
      <c r="N65" s="4" t="n"/>
      <c r="O65" s="4" t="n"/>
      <c r="P65" s="4" t="n"/>
      <c r="Q65" s="4" t="n"/>
      <c r="R65" s="4" t="n"/>
      <c r="S65" s="4" t="n"/>
      <c r="T65" s="4" t="n"/>
      <c r="U65" s="4" t="n"/>
      <c r="V65" s="4" t="n"/>
      <c r="W65" s="4" t="n"/>
    </row>
    <row r="66">
      <c r="A66" s="5" t="inlineStr">
        <is>
          <t>OCI-065</t>
        </is>
      </c>
      <c r="B66" s="5" t="inlineStr">
        <is>
          <t>WAF</t>
        </is>
      </c>
      <c r="C66" s="4" t="inlineStr">
        <is>
          <t>運用効率 / Operational Efficiency</t>
        </is>
      </c>
      <c r="D66" s="9" t="inlineStr">
        <is>
          <t>High</t>
        </is>
      </c>
      <c r="E66" s="4" t="inlineStr">
        <is>
          <t>運用作業がコード化(Operations as Code)され、手作業に依存していないか</t>
        </is>
      </c>
      <c r="F66" s="4" t="inlineStr">
        <is>
          <t>プロビジョニング・構成変更・定型運用がスクリプト/IaC/自動化で実行され、手順書のみの手作業が例外扱いであること</t>
        </is>
      </c>
      <c r="G66" s="4" t="inlineStr">
        <is>
          <t>手作業運用は再現性がなくヒューマンエラーが混入し、スケールもしない。</t>
        </is>
      </c>
      <c r="H66" s="4" t="inlineStr">
        <is>
          <t>Well-Architected Framework for OCI &gt; Operational Efficiency &gt; About Best Practices for Operating Cloud Deployments Efficiently &gt; Perform Operations as Code</t>
        </is>
      </c>
      <c r="I66" s="4" t="inlineStr">
        <is>
          <t>OCI-DELTA</t>
        </is>
      </c>
      <c r="J66" s="4" t="inlineStr">
        <is>
          <t>OCI採用時に、CLOUD-COMMONで未評価のOCI固有差分へ適用。</t>
        </is>
      </c>
      <c r="K66" s="4" t="inlineStr">
        <is>
          <t>SRC-OCI-WAF</t>
        </is>
      </c>
      <c r="L66" s="4" t="inlineStr"/>
      <c r="M66" s="4" t="n"/>
      <c r="N66" s="4" t="n"/>
      <c r="O66" s="4" t="n"/>
      <c r="P66" s="4" t="n"/>
      <c r="Q66" s="4" t="n"/>
      <c r="R66" s="4" t="n"/>
      <c r="S66" s="4" t="n"/>
      <c r="T66" s="4" t="n"/>
      <c r="U66" s="4" t="n"/>
      <c r="V66" s="4" t="n"/>
      <c r="W66" s="4" t="n"/>
    </row>
    <row r="67">
      <c r="A67" s="5" t="inlineStr">
        <is>
          <t>OCI-066</t>
        </is>
      </c>
      <c r="B67" s="5" t="inlineStr">
        <is>
          <t>WAF</t>
        </is>
      </c>
      <c r="C67" s="4" t="inlineStr">
        <is>
          <t>運用効率 / Operational Efficiency</t>
        </is>
      </c>
      <c r="D67" s="9" t="inlineStr">
        <is>
          <t>High</t>
        </is>
      </c>
      <c r="E67" s="4" t="inlineStr">
        <is>
          <t>運用手順(Runbook)が定義され、障害から学ぶプロセス(Expect Failure, and Learn)があるか</t>
        </is>
      </c>
      <c r="F67" s="4" t="inlineStr">
        <is>
          <t>主要な運用・障害対応手順が文書化され、インシデント後のポストモーテム/改善反映のプロセスが運用されていること</t>
        </is>
      </c>
      <c r="G67" s="4" t="inlineStr">
        <is>
          <t>手順と学習の仕組みがないと、同じ障害が繰り返され対応が属人化する。</t>
        </is>
      </c>
      <c r="H67" s="4" t="inlineStr">
        <is>
          <t>Well-Architected Framework for OCI &gt; Operational Efficiency &gt; About Best Practices for Operating Cloud Deployments Efficiently &gt; Define Operational Procedures / Expect Failure, and Learn</t>
        </is>
      </c>
      <c r="I67" s="4" t="inlineStr">
        <is>
          <t>OCI-DELTA</t>
        </is>
      </c>
      <c r="J67" s="4" t="inlineStr">
        <is>
          <t>OCI採用時に、CLOUD-COMMONで未評価のOCI固有差分へ適用。</t>
        </is>
      </c>
      <c r="K67" s="4" t="inlineStr">
        <is>
          <t>SRC-OCI-WAF</t>
        </is>
      </c>
      <c r="L67" s="4" t="inlineStr"/>
      <c r="M67" s="4" t="n"/>
      <c r="N67" s="4" t="n"/>
      <c r="O67" s="4" t="n"/>
      <c r="P67" s="4" t="n"/>
      <c r="Q67" s="4" t="n"/>
      <c r="R67" s="4" t="n"/>
      <c r="S67" s="4" t="n"/>
      <c r="T67" s="4" t="n"/>
      <c r="U67" s="4" t="n"/>
      <c r="V67" s="4" t="n"/>
      <c r="W67" s="4" t="n"/>
    </row>
    <row r="68">
      <c r="A68" s="5" t="inlineStr">
        <is>
          <t>OCI-067</t>
        </is>
      </c>
      <c r="B68" s="5" t="inlineStr">
        <is>
          <t>WAF</t>
        </is>
      </c>
      <c r="C68" s="4" t="inlineStr">
        <is>
          <t>運用効率 / Operational Efficiency</t>
        </is>
      </c>
      <c r="D68" s="10" t="inlineStr">
        <is>
          <t>Medium</t>
        </is>
      </c>
      <c r="E68" s="4" t="inlineStr">
        <is>
          <t>ワークロードのKPI(ビジネス/技術指標)を特定し監視しているか</t>
        </is>
      </c>
      <c r="F68" s="4" t="inlineStr">
        <is>
          <t>サービスごとのKPIが定義され、ダッシュボード等で継続監視されていること</t>
        </is>
      </c>
      <c r="G68" s="4" t="inlineStr">
        <is>
          <t>KPI不在の運用は正常/異常の判断基準を持たず、改善の効果測定もできない。</t>
        </is>
      </c>
      <c r="H68" s="4" t="inlineStr">
        <is>
          <t>Well-Architected Framework for OCI &gt; Operational Efficiency &gt; About Best Practices for Operating Cloud Deployments Efficiently &gt; Identify and Monitor Workload Key Performance Indicators</t>
        </is>
      </c>
      <c r="I68" s="4" t="inlineStr">
        <is>
          <t>OCI-DELTA</t>
        </is>
      </c>
      <c r="J68" s="4" t="inlineStr">
        <is>
          <t>OCI採用時に、CLOUD-COMMONで未評価のOCI固有差分へ適用。</t>
        </is>
      </c>
      <c r="K68" s="4" t="inlineStr">
        <is>
          <t>SRC-OCI-WAF</t>
        </is>
      </c>
      <c r="L68" s="4" t="inlineStr">
        <is>
          <t>OPS-OBSERVABILITY</t>
        </is>
      </c>
      <c r="M68" s="4" t="n"/>
      <c r="N68" s="4" t="n"/>
      <c r="O68" s="4" t="n"/>
      <c r="P68" s="4" t="n"/>
      <c r="Q68" s="4" t="n"/>
      <c r="R68" s="4" t="n"/>
      <c r="S68" s="4" t="n"/>
      <c r="T68" s="4" t="n"/>
      <c r="U68" s="4" t="n"/>
      <c r="V68" s="4" t="n"/>
      <c r="W68" s="4" t="n"/>
    </row>
    <row r="69">
      <c r="A69" s="5" t="inlineStr">
        <is>
          <t>OCI-068</t>
        </is>
      </c>
      <c r="B69" s="5" t="inlineStr">
        <is>
          <t>WAF</t>
        </is>
      </c>
      <c r="C69" s="4" t="inlineStr">
        <is>
          <t>運用効率 / Operational Efficiency</t>
        </is>
      </c>
      <c r="D69" s="10" t="inlineStr">
        <is>
          <t>Medium</t>
        </is>
      </c>
      <c r="E69" s="4" t="inlineStr">
        <is>
          <t>マネージドサービス(Autonomous Database等)の活用を評価し、運用負荷を削減しているか</t>
        </is>
      </c>
      <c r="F69" s="4" t="inlineStr">
        <is>
          <t>自前運用しているコンポーネントについてOCIマネージドサービスへの代替評価が行われていること</t>
        </is>
      </c>
      <c r="G69" s="4" t="inlineStr">
        <is>
          <t>差別化にならない基盤運用の内製は、運用工数と障害リスクを不必要に抱え込む。</t>
        </is>
      </c>
      <c r="H69" s="4" t="inlineStr">
        <is>
          <t>Well-Architected Framework for OCI &gt; Operational Efficiency &gt; About Best Practices for Operating Cloud Deployments Efficiently &gt; Leverage Managed Services</t>
        </is>
      </c>
      <c r="I69" s="4" t="inlineStr">
        <is>
          <t>OCI-DELTA</t>
        </is>
      </c>
      <c r="J69" s="4" t="inlineStr">
        <is>
          <t>OCI採用時に、CLOUD-COMMONで未評価のOCI固有差分へ適用。</t>
        </is>
      </c>
      <c r="K69" s="4" t="inlineStr">
        <is>
          <t>SRC-OCI-WAF</t>
        </is>
      </c>
      <c r="L69" s="4" t="inlineStr"/>
      <c r="M69" s="4" t="n"/>
      <c r="N69" s="4" t="n"/>
      <c r="O69" s="4" t="n"/>
      <c r="P69" s="4" t="n"/>
      <c r="Q69" s="4" t="n"/>
      <c r="R69" s="4" t="n"/>
      <c r="S69" s="4" t="n"/>
      <c r="T69" s="4" t="n"/>
      <c r="U69" s="4" t="n"/>
      <c r="V69" s="4" t="n"/>
      <c r="W69" s="4" t="n"/>
    </row>
    <row r="70">
      <c r="A70" s="5" t="inlineStr">
        <is>
          <t>OCI-069</t>
        </is>
      </c>
      <c r="B70" s="5" t="inlineStr">
        <is>
          <t>WAF</t>
        </is>
      </c>
      <c r="C70" s="4" t="inlineStr">
        <is>
          <t>運用効率 / Operational Efficiency</t>
        </is>
      </c>
      <c r="D70" s="9" t="inlineStr">
        <is>
          <t>High</t>
        </is>
      </c>
      <c r="E70" s="4" t="inlineStr">
        <is>
          <t>Oracleとの責任共有モデルにおける自社の責任範囲(Identify Your Responsibilities)を明確化しているか</t>
        </is>
      </c>
      <c r="F70" s="4" t="inlineStr">
        <is>
          <t>利用サービス種別(IaaS/PaaS/SaaS)ごとにOracle側と自社側の責任分担(パッチ、バックアップ、アクセス管理等)が文書化されていること</t>
        </is>
      </c>
      <c r="G70" s="4" t="inlineStr">
        <is>
          <t>「クラウド側がやってくれるはず」という誤解は、パッチ未適用・バックアップ未取得などの重大な空白を生む。</t>
        </is>
      </c>
      <c r="H70" s="4" t="inlineStr">
        <is>
          <t>Well-Architected Framework for OCI &gt; Operational Efficiency &gt; About Best Practices for Operating Cloud Deployments Efficiently &gt; Identify Your Responsibilities</t>
        </is>
      </c>
      <c r="I70" s="4" t="inlineStr">
        <is>
          <t>OCI-DELTA</t>
        </is>
      </c>
      <c r="J70" s="4" t="inlineStr">
        <is>
          <t>OCI採用時に、CLOUD-COMMONで未評価のOCI固有差分へ適用。</t>
        </is>
      </c>
      <c r="K70" s="4" t="inlineStr">
        <is>
          <t>SRC-OCI-WAF</t>
        </is>
      </c>
      <c r="L70" s="4" t="inlineStr"/>
      <c r="M70" s="4" t="n"/>
      <c r="N70" s="4" t="n"/>
      <c r="O70" s="4" t="n"/>
      <c r="P70" s="4" t="n"/>
      <c r="Q70" s="4" t="n"/>
      <c r="R70" s="4" t="n"/>
      <c r="S70" s="4" t="n"/>
      <c r="T70" s="4" t="n"/>
      <c r="U70" s="4" t="n"/>
      <c r="V70" s="4" t="n"/>
      <c r="W70" s="4" t="n"/>
    </row>
    <row r="71">
      <c r="A71" s="5" t="inlineStr">
        <is>
          <t>OCI-070</t>
        </is>
      </c>
      <c r="B71" s="5" t="inlineStr">
        <is>
          <t>WAF</t>
        </is>
      </c>
      <c r="C71" s="4" t="inlineStr">
        <is>
          <t>運用効率 / Operational Efficiency</t>
        </is>
      </c>
      <c r="D71" s="9" t="inlineStr">
        <is>
          <t>High</t>
        </is>
      </c>
      <c r="E71" s="4" t="inlineStr">
        <is>
          <t>インフラ構成がTerraform(OCI Resource Manager)等のIaCで管理され、リポジトリでバージョン管理されているか</t>
        </is>
      </c>
      <c r="F71" s="4" t="inlineStr">
        <is>
          <t>本番インフラがTerraformコード等から再現可能で、コンソール手作業による構成変更が統制されていること</t>
        </is>
      </c>
      <c r="G71" s="4" t="inlineStr">
        <is>
          <t>IaC不在の環境は構成ドリフトと再現不能な「秘伝の環境」を生み、復旧・複製が不可能になる。</t>
        </is>
      </c>
      <c r="H71" s="4" t="inlineStr">
        <is>
          <t>Well-Architected Framework for OCI &gt; Operational Efficiency &gt; Plan Your Deployment Strategy &gt; Adopt Infrastructure as Code / Adopt Terraform to Implement Repeatable Workflows</t>
        </is>
      </c>
      <c r="I71" s="4" t="inlineStr">
        <is>
          <t>OCI-DELTA</t>
        </is>
      </c>
      <c r="J71" s="4" t="inlineStr">
        <is>
          <t>OCI採用時に、CLOUD-COMMONで未評価のOCI固有差分へ適用。</t>
        </is>
      </c>
      <c r="K71" s="4" t="inlineStr">
        <is>
          <t>SRC-OCI-WAF</t>
        </is>
      </c>
      <c r="L71" s="4" t="inlineStr">
        <is>
          <t>OPS-IAC</t>
        </is>
      </c>
      <c r="M71" s="4" t="n"/>
      <c r="N71" s="4" t="n"/>
      <c r="O71" s="4" t="n"/>
      <c r="P71" s="4" t="n"/>
      <c r="Q71" s="4" t="n"/>
      <c r="R71" s="4" t="n"/>
      <c r="S71" s="4" t="n"/>
      <c r="T71" s="4" t="n"/>
      <c r="U71" s="4" t="n"/>
      <c r="V71" s="4" t="n"/>
      <c r="W71" s="4" t="n"/>
    </row>
    <row r="72">
      <c r="A72" s="5" t="inlineStr">
        <is>
          <t>OCI-071</t>
        </is>
      </c>
      <c r="B72" s="5" t="inlineStr">
        <is>
          <t>WAF</t>
        </is>
      </c>
      <c r="C72" s="4" t="inlineStr">
        <is>
          <t>運用効率 / Operational Efficiency</t>
        </is>
      </c>
      <c r="D72" s="10" t="inlineStr">
        <is>
          <t>Medium</t>
        </is>
      </c>
      <c r="E72" s="4" t="inlineStr">
        <is>
          <t>構成管理ツールとビルド/デプロイ管理システム(CI/CD)を採用し、変更のテスト・検証を経てリリースしているか</t>
        </is>
      </c>
      <c r="F72" s="4" t="inlineStr">
        <is>
          <t>アプリ/インフラ変更がCI/CDパイプラインを通過し、本番適用前のテスト・検証ステップが自動化されていること</t>
        </is>
      </c>
      <c r="G72" s="4" t="inlineStr">
        <is>
          <t>検証を経ない変更適用は本番障害の主要因であり、変更の追跡も不可能になる。</t>
        </is>
      </c>
      <c r="H72" s="4" t="inlineStr">
        <is>
          <t>Well-Architected Framework for OCI &gt; Operational Efficiency &gt; Plan Your Deployment Strategy &gt; Adopt Build and Deployment Management Systems / Test and Validate Changes</t>
        </is>
      </c>
      <c r="I72" s="4" t="inlineStr">
        <is>
          <t>OCI-DELTA</t>
        </is>
      </c>
      <c r="J72" s="4" t="inlineStr">
        <is>
          <t>OCI採用時に、CLOUD-COMMONで未評価のOCI固有差分へ適用。</t>
        </is>
      </c>
      <c r="K72" s="4" t="inlineStr">
        <is>
          <t>SRC-OCI-WAF</t>
        </is>
      </c>
      <c r="L72" s="4" t="inlineStr"/>
      <c r="M72" s="4" t="n"/>
      <c r="N72" s="4" t="n"/>
      <c r="O72" s="4" t="n"/>
      <c r="P72" s="4" t="n"/>
      <c r="Q72" s="4" t="n"/>
      <c r="R72" s="4" t="n"/>
      <c r="S72" s="4" t="n"/>
      <c r="T72" s="4" t="n"/>
      <c r="U72" s="4" t="n"/>
      <c r="V72" s="4" t="n"/>
      <c r="W72" s="4" t="n"/>
    </row>
    <row r="73">
      <c r="A73" s="5" t="inlineStr">
        <is>
          <t>OCI-072</t>
        </is>
      </c>
      <c r="B73" s="5" t="inlineStr">
        <is>
          <t>WAF</t>
        </is>
      </c>
      <c r="C73" s="4" t="inlineStr">
        <is>
          <t>運用効率 / Operational Efficiency</t>
        </is>
      </c>
      <c r="D73" s="10" t="inlineStr">
        <is>
          <t>Medium</t>
        </is>
      </c>
      <c r="E73" s="4" t="inlineStr">
        <is>
          <t>顧客とデータの所在に基づいてデプロイ先リージョンを選定しているか(データレジデンシー考慮)</t>
        </is>
      </c>
      <c r="F73" s="4" t="inlineStr">
        <is>
          <t>リージョン選定にデータ所在地要件(法規制)とユーザー近接性の評価が含まれ文書化されていること</t>
        </is>
      </c>
      <c r="G73" s="4" t="inlineStr">
        <is>
          <t>データ所在地規制の見落としはコンプライアンス違反として事後の移設を強いられる。</t>
        </is>
      </c>
      <c r="H73" s="4" t="inlineStr">
        <is>
          <t>Well-Architected Framework for OCI &gt; Operational Efficiency &gt; Plan Your Deployment Strategy &gt; Choose a Region Based on Your Customers and Data</t>
        </is>
      </c>
      <c r="I73" s="4" t="inlineStr">
        <is>
          <t>OCI-DELTA</t>
        </is>
      </c>
      <c r="J73" s="4" t="inlineStr">
        <is>
          <t>OCI採用時に、CLOUD-COMMONで未評価のOCI固有差分へ適用。</t>
        </is>
      </c>
      <c r="K73" s="4" t="inlineStr">
        <is>
          <t>SRC-OCI-WAF</t>
        </is>
      </c>
      <c r="L73" s="4" t="inlineStr"/>
      <c r="M73" s="4" t="n"/>
      <c r="N73" s="4" t="n"/>
      <c r="O73" s="4" t="n"/>
      <c r="P73" s="4" t="n"/>
      <c r="Q73" s="4" t="n"/>
      <c r="R73" s="4" t="n"/>
      <c r="S73" s="4" t="n"/>
      <c r="T73" s="4" t="n"/>
      <c r="U73" s="4" t="n"/>
      <c r="V73" s="4" t="n"/>
      <c r="W73" s="4" t="n"/>
    </row>
    <row r="74">
      <c r="A74" s="5" t="inlineStr">
        <is>
          <t>OCI-073</t>
        </is>
      </c>
      <c r="B74" s="5" t="inlineStr">
        <is>
          <t>WAF</t>
        </is>
      </c>
      <c r="C74" s="4" t="inlineStr">
        <is>
          <t>運用効率 / Operational Efficiency</t>
        </is>
      </c>
      <c r="D74" s="9" t="inlineStr">
        <is>
          <t>High</t>
        </is>
      </c>
      <c r="E74" s="4" t="inlineStr">
        <is>
          <t>主要メトリクスごとにOCI Monitoringのアラームが定義され、閾値がチューニングされているか</t>
        </is>
      </c>
      <c r="F74" s="4" t="inlineStr">
        <is>
          <t>コンピュート/ネットワーク/データの主要メトリクスにアラーム+通知(Notifications)が構成され、誤検知過多にならないよう定期見直しされていること</t>
        </is>
      </c>
      <c r="G74" s="4" t="inlineStr">
        <is>
          <t>アラーム不備は障害の検知遅延を、過剰なノイズはアラート疲れによる見逃しを引き起こす。</t>
        </is>
      </c>
      <c r="H74" s="4" t="inlineStr">
        <is>
          <t>Well-Architected Framework for OCI &gt; Operational Efficiency &gt; Monitor Your Workload &gt; Create a Set of Alarms for Each Metric / Tune Your Alarms</t>
        </is>
      </c>
      <c r="I74" s="4" t="inlineStr">
        <is>
          <t>OCI-DELTA</t>
        </is>
      </c>
      <c r="J74" s="4" t="inlineStr">
        <is>
          <t>OCI採用時に、CLOUD-COMMONで未評価のOCI固有差分へ適用。</t>
        </is>
      </c>
      <c r="K74" s="4" t="inlineStr">
        <is>
          <t>SRC-OCI-WAF</t>
        </is>
      </c>
      <c r="L74" s="4" t="inlineStr">
        <is>
          <t>OPS-OBSERVABILITY</t>
        </is>
      </c>
      <c r="M74" s="4" t="n"/>
      <c r="N74" s="4" t="n"/>
      <c r="O74" s="4" t="n"/>
      <c r="P74" s="4" t="n"/>
      <c r="Q74" s="4" t="n"/>
      <c r="R74" s="4" t="n"/>
      <c r="S74" s="4" t="n"/>
      <c r="T74" s="4" t="n"/>
      <c r="U74" s="4" t="n"/>
      <c r="V74" s="4" t="n"/>
      <c r="W74" s="4" t="n"/>
    </row>
    <row r="75">
      <c r="A75" s="5" t="inlineStr">
        <is>
          <t>OCI-074</t>
        </is>
      </c>
      <c r="B75" s="5" t="inlineStr">
        <is>
          <t>WAF</t>
        </is>
      </c>
      <c r="C75" s="4" t="inlineStr">
        <is>
          <t>運用効率 / Operational Efficiency</t>
        </is>
      </c>
      <c r="D75" s="9" t="inlineStr">
        <is>
          <t>High</t>
        </is>
      </c>
      <c r="E75" s="4" t="inlineStr">
        <is>
          <t>OCI Loggingでサービスログ(LB、VCNフロー、Object Storage等)が有効化され、集中管理されているか</t>
        </is>
      </c>
      <c r="F75" s="4" t="inlineStr">
        <is>
          <t>主要リソースのサービスログが有効で、ロググループで整理され保持期間が定義されていること</t>
        </is>
      </c>
      <c r="G75" s="4" t="inlineStr">
        <is>
          <t>ログ未収集では障害調査・傾向分析の材料がなく、復旧と再発防止が遅れる。</t>
        </is>
      </c>
      <c r="H75" s="4" t="inlineStr">
        <is>
          <t>Well-Architected Framework for OCI &gt; Operational Efficiency &gt; Monitor Your Workload &gt; Enable Service Logging</t>
        </is>
      </c>
      <c r="I75" s="4" t="inlineStr">
        <is>
          <t>OCI-DELTA</t>
        </is>
      </c>
      <c r="J75" s="4" t="inlineStr">
        <is>
          <t>OCI採用時に、CLOUD-COMMONで未評価のOCI固有差分へ適用。</t>
        </is>
      </c>
      <c r="K75" s="4" t="inlineStr">
        <is>
          <t>SRC-OCI-WAF</t>
        </is>
      </c>
      <c r="L75" s="4" t="inlineStr">
        <is>
          <t>OPS-OBSERVABILITY</t>
        </is>
      </c>
      <c r="M75" s="4" t="n"/>
      <c r="N75" s="4" t="n"/>
      <c r="O75" s="4" t="n"/>
      <c r="P75" s="4" t="n"/>
      <c r="Q75" s="4" t="n"/>
      <c r="R75" s="4" t="n"/>
      <c r="S75" s="4" t="n"/>
      <c r="T75" s="4" t="n"/>
      <c r="U75" s="4" t="n"/>
      <c r="V75" s="4" t="n"/>
      <c r="W75" s="4" t="n"/>
    </row>
    <row r="76">
      <c r="A76" s="5" t="inlineStr">
        <is>
          <t>OCI-075</t>
        </is>
      </c>
      <c r="B76" s="5" t="inlineStr">
        <is>
          <t>WAF</t>
        </is>
      </c>
      <c r="C76" s="4" t="inlineStr">
        <is>
          <t>運用効率 / Operational Efficiency</t>
        </is>
      </c>
      <c r="D76" s="9" t="inlineStr">
        <is>
          <t>High</t>
        </is>
      </c>
      <c r="E76" s="4" t="inlineStr">
        <is>
          <t>OSのセキュリティ更新の確認・適用がOS Management Hub等で自動化・スケジュール化されているか</t>
        </is>
      </c>
      <c r="F76" s="4" t="inlineStr">
        <is>
          <t>対象インスタンスの利用可能な更新が可視化され、メンテナンスウィンドウに基づく適用の自動化と実績記録があること</t>
        </is>
      </c>
      <c r="G76" s="4" t="inlineStr">
        <is>
          <t>OSパッチの手動・不定期運用は適用漏れを常態化させ、既知脆弱性が放置される。</t>
        </is>
      </c>
      <c r="H76" s="4" t="inlineStr">
        <is>
          <t>Well-Architected Framework for OCI &gt; Operational Efficiency &gt; Manage Your Operating Systems &gt; View and Manage Available Security Updates / Automate and Manage OS Updates</t>
        </is>
      </c>
      <c r="I76" s="4" t="inlineStr">
        <is>
          <t>OCI-DELTA</t>
        </is>
      </c>
      <c r="J76" s="4" t="inlineStr">
        <is>
          <t>OCI採用時に、CLOUD-COMMONで未評価のOCI固有差分へ適用。</t>
        </is>
      </c>
      <c r="K76" s="4" t="inlineStr">
        <is>
          <t>SRC-OCI-WAF</t>
        </is>
      </c>
      <c r="L76" s="4" t="inlineStr"/>
      <c r="M76" s="4" t="n"/>
      <c r="N76" s="4" t="n"/>
      <c r="O76" s="4" t="n"/>
      <c r="P76" s="4" t="n"/>
      <c r="Q76" s="4" t="n"/>
      <c r="R76" s="4" t="n"/>
      <c r="S76" s="4" t="n"/>
      <c r="T76" s="4" t="n"/>
      <c r="U76" s="4" t="n"/>
      <c r="V76" s="4" t="n"/>
      <c r="W76" s="4" t="n"/>
    </row>
    <row r="77">
      <c r="A77" s="5" t="inlineStr">
        <is>
          <t>OCI-076</t>
        </is>
      </c>
      <c r="B77" s="5" t="inlineStr">
        <is>
          <t>WAF</t>
        </is>
      </c>
      <c r="C77" s="4" t="inlineStr">
        <is>
          <t>運用効率 / Operational Efficiency</t>
        </is>
      </c>
      <c r="D77" s="10" t="inlineStr">
        <is>
          <t>Medium</t>
        </is>
      </c>
      <c r="E77" s="4" t="inlineStr">
        <is>
          <t>OS・ミドルウェアのメンテナンススケジュール(定期メンテナンス計画)が確立されているか</t>
        </is>
      </c>
      <c r="F77" s="4" t="inlineStr">
        <is>
          <t>メンテナンスウィンドウと更新サイクルが定義され、ビジネス影響と調整済みであること</t>
        </is>
      </c>
      <c r="G77" s="4" t="inlineStr">
        <is>
          <t>メンテナンス計画の不在は更新の先送りと、無計画な作業によるサービス影響を招く。</t>
        </is>
      </c>
      <c r="H77" s="4" t="inlineStr">
        <is>
          <t>Well-Architected Framework for OCI &gt; Operational Efficiency &gt; Manage Your Operating Systems &gt; Establish a Maintenance Schedule</t>
        </is>
      </c>
      <c r="I77" s="4" t="inlineStr">
        <is>
          <t>OCI-DELTA</t>
        </is>
      </c>
      <c r="J77" s="4" t="inlineStr">
        <is>
          <t>OCI採用時に、CLOUD-COMMONで未評価のOCI固有差分へ適用。</t>
        </is>
      </c>
      <c r="K77" s="4" t="inlineStr">
        <is>
          <t>SRC-OCI-WAF</t>
        </is>
      </c>
      <c r="L77" s="4" t="inlineStr"/>
      <c r="M77" s="4" t="n"/>
      <c r="N77" s="4" t="n"/>
      <c r="O77" s="4" t="n"/>
      <c r="P77" s="4" t="n"/>
      <c r="Q77" s="4" t="n"/>
      <c r="R77" s="4" t="n"/>
      <c r="S77" s="4" t="n"/>
      <c r="T77" s="4" t="n"/>
      <c r="U77" s="4" t="n"/>
      <c r="V77" s="4" t="n"/>
      <c r="W77" s="4" t="n"/>
    </row>
    <row r="78">
      <c r="A78" s="5" t="inlineStr">
        <is>
          <t>OCI-077</t>
        </is>
      </c>
      <c r="B78" s="5" t="inlineStr">
        <is>
          <t>WAF</t>
        </is>
      </c>
      <c r="C78" s="4" t="inlineStr">
        <is>
          <t>運用効率 / Operational Efficiency</t>
        </is>
      </c>
      <c r="D78" s="10" t="inlineStr">
        <is>
          <t>Medium</t>
        </is>
      </c>
      <c r="E78" s="4" t="inlineStr">
        <is>
          <t>OCI Landing Zone(Well-Architected準拠のランディングゾーン)を用いてテナンシの初期構成を標準化しているか</t>
        </is>
      </c>
      <c r="F78" s="4" t="inlineStr">
        <is>
          <t>コンパートメント構造・IAM・ネットワーク・セキュリティベースラインがLanding Zoneテンプレート(またはそれに準ずる標準)で構築されていること</t>
        </is>
      </c>
      <c r="G78" s="4" t="inlineStr">
        <is>
          <t>場当たり的なテナンシ構築はガバナンス不在の構成を量産し、後からの是正コストが膨大になる。</t>
        </is>
      </c>
      <c r="H78" s="4" t="inlineStr">
        <is>
          <t>Well-Architected Framework for OCI &gt; Get Started &gt; Get Started With Well-Architected OCI Landing Zones &gt; About Landing Zones and the OCI Well-Architected Pillars</t>
        </is>
      </c>
      <c r="I78" s="4" t="inlineStr">
        <is>
          <t>OCI-DELTA</t>
        </is>
      </c>
      <c r="J78" s="4" t="inlineStr">
        <is>
          <t>OCI採用時に、CLOUD-COMMONで未評価のOCI固有差分へ適用。</t>
        </is>
      </c>
      <c r="K78" s="4" t="inlineStr">
        <is>
          <t>SRC-OCI-WAF</t>
        </is>
      </c>
      <c r="L78" s="4" t="inlineStr"/>
      <c r="M78" s="4" t="n"/>
      <c r="N78" s="4" t="n"/>
      <c r="O78" s="4" t="n"/>
      <c r="P78" s="4" t="n"/>
      <c r="Q78" s="4" t="n"/>
      <c r="R78" s="4" t="n"/>
      <c r="S78" s="4" t="n"/>
      <c r="T78" s="4" t="n"/>
      <c r="U78" s="4" t="n"/>
      <c r="V78" s="4" t="n"/>
      <c r="W78" s="4" t="n"/>
    </row>
    <row r="79">
      <c r="A79" s="5" t="inlineStr">
        <is>
          <t>OCI-078</t>
        </is>
      </c>
      <c r="B79" s="5" t="inlineStr">
        <is>
          <t>WAF</t>
        </is>
      </c>
      <c r="C79" s="4" t="inlineStr">
        <is>
          <t>分散クラウド / Distributed Cloud</t>
        </is>
      </c>
      <c r="D79" s="10" t="inlineStr">
        <is>
          <t>Medium</t>
        </is>
      </c>
      <c r="E79" s="4" t="inlineStr">
        <is>
          <t>分散クラウド(マルチクラウド/ハイブリッド/専用リージョン)採用時に、設計・デプロイ戦略とデプロイメントモデルの選定根拠が文書化されているか</t>
        </is>
      </c>
      <c r="F79" s="4" t="inlineStr">
        <is>
          <t>パブリック/Dedicated Region/Cloud@Customer/マルチクラウドの選択理由(規制・レイテンシ・データ主権)が文書化されていること</t>
        </is>
      </c>
      <c r="G79" s="4" t="inlineStr">
        <is>
          <t>配置モデルの無根拠な選定は、規制違反・性能問題・想定外コストの原因となる。</t>
        </is>
      </c>
      <c r="H79" s="4" t="inlineStr">
        <is>
          <t>Well-Architected Framework for OCI &gt; Distributed Cloud &gt; About Effective Strategies for Distributed Cloud Implementation &gt; Create a Design and Deployment Strategy / About Distributed Cloud Deployment Models</t>
        </is>
      </c>
      <c r="I79" s="4" t="inlineStr">
        <is>
          <t>OCI-DELTA</t>
        </is>
      </c>
      <c r="J79" s="4" t="inlineStr">
        <is>
          <t>OCI採用時に、CLOUD-COMMONで未評価のOCI固有差分へ適用。</t>
        </is>
      </c>
      <c r="K79" s="4" t="inlineStr">
        <is>
          <t>SRC-OCI-WAF</t>
        </is>
      </c>
      <c r="L79" s="4" t="inlineStr"/>
      <c r="M79" s="4" t="n"/>
      <c r="N79" s="4" t="n"/>
      <c r="O79" s="4" t="n"/>
      <c r="P79" s="4" t="n"/>
      <c r="Q79" s="4" t="n"/>
      <c r="R79" s="4" t="n"/>
      <c r="S79" s="4" t="n"/>
      <c r="T79" s="4" t="n"/>
      <c r="U79" s="4" t="n"/>
      <c r="V79" s="4" t="n"/>
      <c r="W79" s="4" t="n"/>
    </row>
    <row r="80">
      <c r="A80" s="5" t="inlineStr">
        <is>
          <t>OCI-079</t>
        </is>
      </c>
      <c r="B80" s="5" t="inlineStr">
        <is>
          <t>WAF</t>
        </is>
      </c>
      <c r="C80" s="4" t="inlineStr">
        <is>
          <t>分散クラウド / Distributed Cloud</t>
        </is>
      </c>
      <c r="D80" s="10" t="inlineStr">
        <is>
          <t>Medium</t>
        </is>
      </c>
      <c r="E80" s="4" t="inlineStr">
        <is>
          <t>分散クラウド設計原則(環境間のシームレスな統合、コンプライアンスと主権、統合運用)に従って設計されているか</t>
        </is>
      </c>
      <c r="F80" s="4" t="inlineStr">
        <is>
          <t>環境間の接続・ID統合・運用監視の一元化方針が分散クラウド設計原則に沿って定義されていること</t>
        </is>
      </c>
      <c r="G80" s="4" t="inlineStr">
        <is>
          <t>環境ごとにバラバラな運用・セキュリティ統制は、可視性の欠落と統制不能な構成を生む。</t>
        </is>
      </c>
      <c r="H80" s="4" t="inlineStr">
        <is>
          <t>Well-Architected Framework for OCI &gt; Distributed Cloud &gt; About Effective Strategies for Distributed Cloud Implementation &gt; Follow Distributed Cloud Design Principles</t>
        </is>
      </c>
      <c r="I80" s="4" t="inlineStr">
        <is>
          <t>OCI-DELTA</t>
        </is>
      </c>
      <c r="J80" s="4" t="inlineStr">
        <is>
          <t>OCI採用時に、CLOUD-COMMONで未評価のOCI固有差分へ適用。</t>
        </is>
      </c>
      <c r="K80" s="4" t="inlineStr">
        <is>
          <t>SRC-OCI-WAF</t>
        </is>
      </c>
      <c r="L80" s="4" t="inlineStr"/>
      <c r="M80" s="4" t="n"/>
      <c r="N80" s="4" t="n"/>
      <c r="O80" s="4" t="n"/>
      <c r="P80" s="4" t="n"/>
      <c r="Q80" s="4" t="n"/>
      <c r="R80" s="4" t="n"/>
      <c r="S80" s="4" t="n"/>
      <c r="T80" s="4" t="n"/>
      <c r="U80" s="4" t="n"/>
      <c r="V80" s="4" t="n"/>
      <c r="W80" s="4" t="n"/>
    </row>
    <row r="81">
      <c r="A81" s="5" t="inlineStr">
        <is>
          <t>OCI-080</t>
        </is>
      </c>
      <c r="B81" s="5" t="inlineStr">
        <is>
          <t>WAF</t>
        </is>
      </c>
      <c r="C81" s="4" t="inlineStr">
        <is>
          <t>分散クラウド / Distributed Cloud</t>
        </is>
      </c>
      <c r="D81" s="10" t="inlineStr">
        <is>
          <t>Medium</t>
        </is>
      </c>
      <c r="E81" s="4" t="inlineStr">
        <is>
          <t>マルチクラウドDB(Oracle Database@Azure/@AWS/@Google Cloud)採用時に、当該サービスのデプロイベストプラクティスに従っているか</t>
        </is>
      </c>
      <c r="F81" s="4" t="inlineStr">
        <is>
          <t>対象クラウドとのネットワーク統合・ID連携・監視連携が公式ガイダンスに沿って構成されていること</t>
        </is>
      </c>
      <c r="G81" s="4" t="inlineStr">
        <is>
          <t>マルチクラウドDBの独自構成は、サポート対象外の構成やクラウド間障害時の復旧不能を招く。</t>
        </is>
      </c>
      <c r="H81" s="4" t="inlineStr">
        <is>
          <t>Well-Architected Framework for OCI &gt; Distributed Cloud &gt; Deploy Multicloud OCI Oracle Database Services &gt; Deploy Oracle Database@Azure / Deploy Oracle Database@AWS / Deploy Oracle Database@Google Cloud</t>
        </is>
      </c>
      <c r="I81" s="4" t="inlineStr">
        <is>
          <t>OCI-DELTA</t>
        </is>
      </c>
      <c r="J81" s="4" t="inlineStr">
        <is>
          <t>OCI採用時に、CLOUD-COMMONで未評価のOCI固有差分へ適用。</t>
        </is>
      </c>
      <c r="K81" s="4" t="inlineStr">
        <is>
          <t>SRC-AWS-WAF;SRC-GCP-WAF;SRC-AZR-WAF;SRC-OCI-WAF</t>
        </is>
      </c>
      <c r="L81" s="4" t="inlineStr"/>
      <c r="M81" s="4" t="n"/>
      <c r="N81" s="4" t="n"/>
      <c r="O81" s="4" t="n"/>
      <c r="P81" s="4" t="n"/>
      <c r="Q81" s="4" t="n"/>
      <c r="R81" s="4" t="n"/>
      <c r="S81" s="4" t="n"/>
      <c r="T81" s="4" t="n"/>
      <c r="U81" s="4" t="n"/>
      <c r="V81" s="4" t="n"/>
      <c r="W81" s="4" t="n"/>
    </row>
  </sheetData>
  <autoFilter ref="A1:W81"/>
  <conditionalFormatting sqref="O2:O2000">
    <cfRule type="cellIs" priority="1" operator="equal" dxfId="0">
      <formula>"Fail"</formula>
    </cfRule>
    <cfRule type="cellIs" priority="2" operator="equal" dxfId="1">
      <formula>"Pass"</formula>
    </cfRule>
    <cfRule type="cellIs" priority="4" operator="equal" dxfId="0">
      <formula>"Fail"</formula>
    </cfRule>
    <cfRule type="cellIs" priority="5" operator="equal" dxfId="1">
      <formula>"Pass"</formula>
    </cfRule>
    <cfRule type="cellIs" priority="7" operator="equal" dxfId="0">
      <formula>"Fail"</formula>
    </cfRule>
    <cfRule type="cellIs" priority="8" operator="equal" dxfId="1">
      <formula>"Pass"</formula>
    </cfRule>
    <cfRule type="cellIs" priority="10" operator="equal" dxfId="0">
      <formula>"Fail"</formula>
    </cfRule>
    <cfRule type="cellIs" priority="11" operator="equal" dxfId="1">
      <formula>"Pass"</formula>
    </cfRule>
    <cfRule type="cellIs" priority="13" operator="equal" dxfId="0">
      <formula>"Fail"</formula>
    </cfRule>
    <cfRule type="cellIs" priority="14" operator="equal" dxfId="1">
      <formula>"Pass"</formula>
    </cfRule>
  </conditionalFormatting>
  <conditionalFormatting sqref="N2:N2000">
    <cfRule type="cellIs" priority="3" operator="equal" dxfId="2">
      <formula>"N/A"</formula>
    </cfRule>
    <cfRule type="cellIs" priority="6" operator="equal" dxfId="2">
      <formula>"N/A"</formula>
    </cfRule>
    <cfRule type="cellIs" priority="9" operator="equal" dxfId="2">
      <formula>"N/A"</formula>
    </cfRule>
    <cfRule type="cellIs" priority="12" operator="equal" dxfId="2">
      <formula>"N/A"</formula>
    </cfRule>
    <cfRule type="cellIs" priority="15" operator="equal" dxfId="2">
      <formula>"N/A"</formula>
    </cfRule>
  </conditionalFormatting>
  <dataValidations count="20">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s>
  <pageMargins left="0.75" right="0.75" top="1" bottom="1" header="0.5" footer="0.5"/>
  <pageSetup orientation="landscape" fitToWidth="1"/>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W81"/>
  <sheetViews>
    <sheetView workbookViewId="0">
      <pane xSplit="4" ySplit="1" topLeftCell="E2"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4" customWidth="1" min="1" max="1"/>
    <col width="14" customWidth="1" min="2" max="2"/>
    <col width="28" customWidth="1" min="3" max="3"/>
    <col width="12" customWidth="1" min="4" max="4"/>
    <col width="46" customWidth="1" min="5" max="5"/>
    <col width="52" customWidth="1" min="6" max="6"/>
    <col width="48" customWidth="1" min="7" max="7"/>
    <col width="46" customWidth="1" min="8" max="8"/>
    <col width="18" customWidth="1" min="9" max="9"/>
    <col width="38" customWidth="1" min="10" max="10"/>
    <col width="28" customWidth="1" min="11" max="11"/>
    <col width="25" customWidth="1" min="12" max="12"/>
    <col width="13" customWidth="1" min="13" max="13"/>
    <col width="12" customWidth="1" min="14" max="14"/>
    <col width="12" customWidth="1" min="15" max="15"/>
    <col width="38" customWidth="1" min="16" max="16"/>
    <col width="24" customWidth="1" min="17" max="17"/>
    <col width="30" customWidth="1" min="18" max="18"/>
    <col width="23" customWidth="1" min="19" max="19"/>
    <col width="15" customWidth="1" min="20" max="20"/>
    <col width="18" customWidth="1" min="21" max="21"/>
    <col width="15" customWidth="1" min="22" max="22"/>
    <col width="15" customWidth="1" min="23" max="23"/>
  </cols>
  <sheetData>
    <row r="1">
      <c r="A1" s="3" t="inlineStr">
        <is>
          <t>ID</t>
        </is>
      </c>
      <c r="B1" s="3" t="inlineStr">
        <is>
          <t>区分</t>
        </is>
      </c>
      <c r="C1" s="3" t="inlineStr">
        <is>
          <t>カテゴリ</t>
        </is>
      </c>
      <c r="D1" s="3" t="inlineStr">
        <is>
          <t>基準重要度</t>
        </is>
      </c>
      <c r="E1" s="3" t="inlineStr">
        <is>
          <t>チェック項目</t>
        </is>
      </c>
      <c r="F1" s="3" t="inlineStr">
        <is>
          <t>合格基準</t>
        </is>
      </c>
      <c r="G1" s="3" t="inlineStr">
        <is>
          <t>意図(なぜ確認するか)</t>
        </is>
      </c>
      <c r="H1" s="3" t="inlineStr">
        <is>
          <t>対象ドキュメント(参照箇所)</t>
        </is>
      </c>
      <c r="I1" s="21" t="inlineStr">
        <is>
          <t>適用プロファイル</t>
        </is>
      </c>
      <c r="J1" s="21" t="inlineStr">
        <is>
          <t>適用条件</t>
        </is>
      </c>
      <c r="K1" s="21" t="inlineStr">
        <is>
          <t>出典ID</t>
        </is>
      </c>
      <c r="L1" s="21" t="inlineStr">
        <is>
          <t>重複統制グループ</t>
        </is>
      </c>
      <c r="M1" s="21" t="inlineStr">
        <is>
          <t>案件重要度</t>
        </is>
      </c>
      <c r="N1" s="21" t="inlineStr">
        <is>
          <t>適用判定</t>
        </is>
      </c>
      <c r="O1" s="21" t="inlineStr">
        <is>
          <t>判定</t>
        </is>
      </c>
      <c r="P1" s="21" t="inlineStr">
        <is>
          <t>証跡・参照箇所</t>
        </is>
      </c>
      <c r="Q1" s="21" t="inlineStr">
        <is>
          <t>指摘・Issue ID</t>
        </is>
      </c>
      <c r="R1" s="21" t="inlineStr">
        <is>
          <t>対応方針</t>
        </is>
      </c>
      <c r="S1" s="21" t="inlineStr">
        <is>
          <t>例外・リスク受容承認者</t>
        </is>
      </c>
      <c r="T1" s="21" t="inlineStr">
        <is>
          <t>是正期限</t>
        </is>
      </c>
      <c r="U1" s="21" t="inlineStr">
        <is>
          <t>レビュアー</t>
        </is>
      </c>
      <c r="V1" s="21" t="inlineStr">
        <is>
          <t>レビュー日</t>
        </is>
      </c>
      <c r="W1" s="21" t="inlineStr">
        <is>
          <t>再確認結果</t>
        </is>
      </c>
    </row>
    <row r="2">
      <c r="A2" s="5" t="inlineStr">
        <is>
          <t>AI-001</t>
        </is>
      </c>
      <c r="B2" s="5" t="inlineStr">
        <is>
          <t>WAF</t>
        </is>
      </c>
      <c r="C2" s="4" t="inlineStr">
        <is>
          <t>ユースケース・ガバナンス</t>
        </is>
      </c>
      <c r="D2" s="9" t="inlineStr">
        <is>
          <t>High</t>
        </is>
      </c>
      <c r="E2" s="4" t="inlineStr">
        <is>
          <t>AIプロジェクト開始前に、解決すべき業務課題と測定可能なビジネスKPIを定義し、AI適用の妥当性(倫理面・規制面含む)を評価しているか</t>
        </is>
      </c>
      <c r="F2" s="4" t="inlineStr">
        <is>
          <t>ビジネス目標→KPI→モデル評価指標の対応表が文書化され、倫理・規制面の適合判断の記録とともに関係者に合意されている</t>
        </is>
      </c>
      <c r="G2" s="4" t="inlineStr">
        <is>
          <t>目的の曖昧なAI開発は、技術的に成功しても価値を生まない成果物を量産する。</t>
        </is>
      </c>
      <c r="H2" s="4" t="inlineStr">
        <is>
          <t>GCP: AI and ML perspective - Operational excellence &gt; Define problems and required outcomes / Cost optimization &gt; Establish business goals and KPIs | Azure: AI workloads on Azure(Get started)&gt; What are the common challenges?(Ethical requirements)</t>
        </is>
      </c>
      <c r="I2" s="4" t="inlineStr">
        <is>
          <t>AI-CONDITIONAL</t>
        </is>
      </c>
      <c r="J2" s="4" t="inlineStr">
        <is>
          <t>AI/MLを含む案件に適用。従来型ML・生成AI・エージェントAIの種別ごとにN/Aを判断。</t>
        </is>
      </c>
      <c r="K2" s="4" t="inlineStr">
        <is>
          <t>SRC-GCP-AIML;SRC-AZR-AI</t>
        </is>
      </c>
      <c r="L2" s="4" t="inlineStr"/>
      <c r="M2" s="4" t="n"/>
      <c r="N2" s="4" t="n"/>
      <c r="O2" s="4" t="n"/>
      <c r="P2" s="4" t="n"/>
      <c r="Q2" s="4" t="n"/>
      <c r="R2" s="4" t="n"/>
      <c r="S2" s="4" t="n"/>
      <c r="T2" s="4" t="n"/>
      <c r="U2" s="4" t="n"/>
      <c r="V2" s="4" t="n"/>
      <c r="W2" s="4" t="n"/>
    </row>
    <row r="3">
      <c r="A3" s="5" t="inlineStr">
        <is>
          <t>AI-002</t>
        </is>
      </c>
      <c r="B3" s="5" t="inlineStr">
        <is>
          <t>WAF</t>
        </is>
      </c>
      <c r="C3" s="4" t="inlineStr">
        <is>
          <t>ユースケース・ガバナンス</t>
        </is>
      </c>
      <c r="D3" s="10" t="inlineStr">
        <is>
          <t>Medium</t>
        </is>
      </c>
      <c r="E3" s="4" t="inlineStr">
        <is>
          <t>ユースケース選定からモデル選定・カスタマイズ・開発・デプロイ・継続的改善まで、AIライフサイクルの各段階に判断基準とレビューポイントを設けているか</t>
        </is>
      </c>
      <c r="F3" s="4" t="inlineStr">
        <is>
          <t>AIライフサイクルの各段階の成果物・承認基準が定義され、実施記録がある</t>
        </is>
      </c>
      <c r="G3" s="4" t="inlineStr">
        <is>
          <t>場当たり的な開発により、評価・セキュリティ・コストの検討漏れが下流工程で顕在化することを防ぐ。</t>
        </is>
      </c>
      <c r="H3" s="4" t="inlineStr">
        <is>
          <t>AWS: Generative AI Lens &gt; 概要(guidance across the generative AI lifecycle stages of scoping, model selection, customization, development, deployment, and continuous improvement)</t>
        </is>
      </c>
      <c r="I3" s="4" t="inlineStr">
        <is>
          <t>AI-CONDITIONAL</t>
        </is>
      </c>
      <c r="J3" s="4" t="inlineStr">
        <is>
          <t>AI/MLを含む案件に適用。従来型ML・生成AI・エージェントAIの種別ごとにN/Aを判断。</t>
        </is>
      </c>
      <c r="K3" s="4" t="inlineStr">
        <is>
          <t>SRC-AWS-GENAI</t>
        </is>
      </c>
      <c r="L3" s="4" t="inlineStr"/>
      <c r="M3" s="4" t="n"/>
      <c r="N3" s="4" t="n"/>
      <c r="O3" s="4" t="n"/>
      <c r="P3" s="4" t="n"/>
      <c r="Q3" s="4" t="n"/>
      <c r="R3" s="4" t="n"/>
      <c r="S3" s="4" t="n"/>
      <c r="T3" s="4" t="n"/>
      <c r="U3" s="4" t="n"/>
      <c r="V3" s="4" t="n"/>
      <c r="W3" s="4" t="n"/>
    </row>
    <row r="4">
      <c r="A4" s="5" t="inlineStr">
        <is>
          <t>AI-003</t>
        </is>
      </c>
      <c r="B4" s="5" t="inlineStr">
        <is>
          <t>WAF</t>
        </is>
      </c>
      <c r="C4" s="4" t="inlineStr">
        <is>
          <t>ユースケース・ガバナンス</t>
        </is>
      </c>
      <c r="D4" s="10" t="inlineStr">
        <is>
          <t>Medium</t>
        </is>
      </c>
      <c r="E4" s="4" t="inlineStr">
        <is>
          <t>運用チームにAI技術のトレーニングを実施し、開発早期からデータチーム・アプリケーションチームと協働して品質シグナル・アラート対応の相互理解と役割分担を確立しているか</t>
        </is>
      </c>
      <c r="F4" s="4" t="inlineStr">
        <is>
          <t>AI固有の運用手順のトレーニング記録と、品質アラート発生時の各チームの役割分担が定義されている</t>
        </is>
      </c>
      <c r="G4" s="4" t="inlineStr">
        <is>
          <t>品質異常発生時に運用が対応できず、診断・復旧が遅延することを防ぐ。</t>
        </is>
      </c>
      <c r="H4" s="4" t="inlineStr">
        <is>
          <t>Azure: AI Workload Operations on Azure &gt; 冒頭 / Design Principles &gt; Operational Excellence &gt; Foster a continuous learning and experimentation mindset</t>
        </is>
      </c>
      <c r="I4" s="4" t="inlineStr">
        <is>
          <t>AI-CONDITIONAL</t>
        </is>
      </c>
      <c r="J4" s="4" t="inlineStr">
        <is>
          <t>AI/MLを含む案件に適用。従来型ML・生成AI・エージェントAIの種別ごとにN/Aを判断。</t>
        </is>
      </c>
      <c r="K4" s="4" t="inlineStr">
        <is>
          <t>SRC-AZR-AI</t>
        </is>
      </c>
      <c r="L4" s="4" t="inlineStr">
        <is>
          <t>OPS-OBSERVABILITY</t>
        </is>
      </c>
      <c r="M4" s="4" t="n"/>
      <c r="N4" s="4" t="n"/>
      <c r="O4" s="4" t="n"/>
      <c r="P4" s="4" t="n"/>
      <c r="Q4" s="4" t="n"/>
      <c r="R4" s="4" t="n"/>
      <c r="S4" s="4" t="n"/>
      <c r="T4" s="4" t="n"/>
      <c r="U4" s="4" t="n"/>
      <c r="V4" s="4" t="n"/>
      <c r="W4" s="4" t="n"/>
    </row>
    <row r="5">
      <c r="A5" s="5" t="inlineStr">
        <is>
          <t>AI-004</t>
        </is>
      </c>
      <c r="B5" s="5" t="inlineStr">
        <is>
          <t>WAF</t>
        </is>
      </c>
      <c r="C5" s="4" t="inlineStr">
        <is>
          <t>データ・グラウンディング</t>
        </is>
      </c>
      <c r="D5" s="9" t="inlineStr">
        <is>
          <t>High</t>
        </is>
      </c>
      <c r="E5" s="4" t="inlineStr">
        <is>
          <t>学習・チューニングデータのスキーマ、欠損、異常値を自動検証し、不合格時にパイプラインを停止する</t>
        </is>
      </c>
      <c r="F5" s="4" t="inlineStr">
        <is>
          <t>データ契約と検証ルールが実装され、違反データを用いた学習が開始されないテスト記録がある</t>
        </is>
      </c>
      <c r="G5" s="4" t="inlineStr">
        <is>
          <t>不良入力による無駄な学習と劣化モデルの生成を、処理の入口で防ぐ。</t>
        </is>
      </c>
      <c r="H5" s="4" t="inlineStr">
        <is>
          <t>GCP: AI and ML perspective - Reliability &gt; Adopt an automated end-to-end MLOps platform &gt; Validate inputs and outputs | Azure: Design Training Data for AI Workloads on Azure &gt; Data ingestion and analysis / Data preprocessing</t>
        </is>
      </c>
      <c r="I5" s="4" t="inlineStr">
        <is>
          <t>AI-CONDITIONAL</t>
        </is>
      </c>
      <c r="J5" s="4" t="inlineStr">
        <is>
          <t>AI/MLを含む案件に適用。従来型ML・生成AI・エージェントAIの種別ごとにN/Aを判断。</t>
        </is>
      </c>
      <c r="K5" s="4" t="inlineStr">
        <is>
          <t>SRC-GCP-AIML;SRC-AZR-AI</t>
        </is>
      </c>
      <c r="L5" s="4" t="inlineStr"/>
      <c r="M5" s="4" t="n"/>
      <c r="N5" s="4" t="n"/>
      <c r="O5" s="4" t="n"/>
      <c r="P5" s="4" t="n"/>
      <c r="Q5" s="4" t="n"/>
      <c r="R5" s="4" t="n"/>
      <c r="S5" s="4" t="n"/>
      <c r="T5" s="4" t="n"/>
      <c r="U5" s="4" t="n"/>
      <c r="V5" s="4" t="n"/>
      <c r="W5" s="4" t="n"/>
    </row>
    <row r="6">
      <c r="A6" s="5" t="inlineStr">
        <is>
          <t>AI-052</t>
        </is>
      </c>
      <c r="B6" s="5" t="inlineStr">
        <is>
          <t>WAF</t>
        </is>
      </c>
      <c r="C6" s="4" t="inlineStr">
        <is>
          <t>データ・グラウンディング</t>
        </is>
      </c>
      <c r="D6" s="9" t="inlineStr">
        <is>
          <t>High</t>
        </is>
      </c>
      <c r="E6" s="4" t="inlineStr">
        <is>
          <t>学習・チューニングデータの分布と対象母集団に対する代表性を分析している</t>
        </is>
      </c>
      <c r="F6" s="4" t="inlineStr">
        <is>
          <t>主要属性・サブグループ別の分布、欠落、偏りを示すEDA結果と、許容可否の判断がある</t>
        </is>
      </c>
      <c r="G6" s="4" t="inlineStr">
        <is>
          <t>平均的な品質だけでは見えない母集団の欠落や偏りを検出する。</t>
        </is>
      </c>
      <c r="H6" s="4" t="inlineStr">
        <is>
          <t>GCP: AI and ML perspective - Reliability &gt; Adopt an automated end-to-end MLOps platform &gt; Validate inputs and outputs | Azure: Design Training Data for AI Workloads on Azure &gt; Data ingestion and analysis / Data preprocessing</t>
        </is>
      </c>
      <c r="I6" s="4" t="inlineStr">
        <is>
          <t>AI-CONDITIONAL</t>
        </is>
      </c>
      <c r="J6" s="4" t="inlineStr">
        <is>
          <t>AI/MLを含む案件に適用。従来型ML・生成AI・エージェントAIの種別ごとにN/Aを判断。</t>
        </is>
      </c>
      <c r="K6" s="4" t="inlineStr">
        <is>
          <t>SRC-GCP-AIML;SRC-AZR-AI</t>
        </is>
      </c>
      <c r="L6" s="4" t="inlineStr"/>
      <c r="M6" s="4" t="n"/>
      <c r="N6" s="4" t="n"/>
      <c r="O6" s="4" t="n"/>
      <c r="P6" s="4" t="n"/>
      <c r="Q6" s="4" t="n"/>
      <c r="R6" s="4" t="n"/>
      <c r="S6" s="4" t="n"/>
      <c r="T6" s="4" t="n"/>
      <c r="U6" s="4" t="n"/>
      <c r="V6" s="4" t="n"/>
      <c r="W6" s="4" t="n"/>
    </row>
    <row r="7">
      <c r="A7" s="5" t="inlineStr">
        <is>
          <t>AI-053</t>
        </is>
      </c>
      <c r="B7" s="5" t="inlineStr">
        <is>
          <t>WAF</t>
        </is>
      </c>
      <c r="C7" s="4" t="inlineStr">
        <is>
          <t>データ・グラウンディング</t>
        </is>
      </c>
      <c r="D7" s="9" t="inlineStr">
        <is>
          <t>High</t>
        </is>
      </c>
      <c r="E7" s="4" t="inlineStr">
        <is>
          <t>学習・チューニングデータの前処理手順を定義し、再現可能に実行している</t>
        </is>
      </c>
      <c r="F7" s="4" t="inlineStr">
        <is>
          <t>ノイズ除去、重複排除、正規化等の適用条件と実装がバージョン管理され、同じ入力から同じデータセットを再生成できる</t>
        </is>
      </c>
      <c r="G7" s="4" t="inlineStr">
        <is>
          <t>属人的な手作業によるデータ差異と再現不能を防ぐ。</t>
        </is>
      </c>
      <c r="H7" s="4" t="inlineStr">
        <is>
          <t>GCP: AI and ML perspective - Reliability &gt; Adopt an automated end-to-end MLOps platform &gt; Validate inputs and outputs | Azure: Design Training Data for AI Workloads on Azure &gt; Data ingestion and analysis / Data preprocessing</t>
        </is>
      </c>
      <c r="I7" s="4" t="inlineStr">
        <is>
          <t>AI-CONDITIONAL</t>
        </is>
      </c>
      <c r="J7" s="4" t="inlineStr">
        <is>
          <t>AI/MLを含む案件に適用。従来型ML・生成AI・エージェントAIの種別ごとにN/Aを判断。</t>
        </is>
      </c>
      <c r="K7" s="4" t="inlineStr">
        <is>
          <t>SRC-GCP-AIML;SRC-AZR-AI</t>
        </is>
      </c>
      <c r="L7" s="4" t="inlineStr"/>
      <c r="M7" s="4" t="n"/>
      <c r="N7" s="4" t="n"/>
      <c r="O7" s="4" t="n"/>
      <c r="P7" s="4" t="n"/>
      <c r="Q7" s="4" t="n"/>
      <c r="R7" s="4" t="n"/>
      <c r="S7" s="4" t="n"/>
      <c r="T7" s="4" t="n"/>
      <c r="U7" s="4" t="n"/>
      <c r="V7" s="4" t="n"/>
      <c r="W7" s="4" t="n"/>
    </row>
    <row r="8">
      <c r="A8" s="5" t="inlineStr">
        <is>
          <t>AI-005</t>
        </is>
      </c>
      <c r="B8" s="5" t="inlineStr">
        <is>
          <t>WAF</t>
        </is>
      </c>
      <c r="C8" s="4" t="inlineStr">
        <is>
          <t>データ・グラウンディング</t>
        </is>
      </c>
      <c r="D8" s="9" t="inlineStr">
        <is>
          <t>High</t>
        </is>
      </c>
      <c r="E8" s="4" t="inlineStr">
        <is>
          <t>ソースデータを訓練・評価・テストの重複しないデータセットに分割し、データリーク(未来情報やラベル由来情報の混入)を検査しているか</t>
        </is>
      </c>
      <c r="F8" s="4" t="inlineStr">
        <is>
          <t>3データセットの分離が保たれ、訓練データを評価に再利用しておらず、リーク検査がパイプラインに組み込まれている</t>
        </is>
      </c>
      <c r="G8" s="4" t="inlineStr">
        <is>
          <t>評価が楽観的に偏り、本番で期待性能を下回るモデルがリリースされることを防ぐ。</t>
        </is>
      </c>
      <c r="H8" s="4" t="inlineStr">
        <is>
          <t>Azure: Test and Evaluate AI Workloads on Azure &gt; Guidance for testing model training and fine-tuning &gt; Data to evaluate and test / Feature and label integrity</t>
        </is>
      </c>
      <c r="I8" s="4" t="inlineStr">
        <is>
          <t>AI-CONDITIONAL</t>
        </is>
      </c>
      <c r="J8" s="4" t="inlineStr">
        <is>
          <t>AI/MLを含む案件に適用。従来型ML・生成AI・エージェントAIの種別ごとにN/Aを判断。</t>
        </is>
      </c>
      <c r="K8" s="4" t="inlineStr">
        <is>
          <t>SRC-AZR-AI</t>
        </is>
      </c>
      <c r="L8" s="4" t="inlineStr"/>
      <c r="M8" s="4" t="n"/>
      <c r="N8" s="4" t="n"/>
      <c r="O8" s="4" t="n"/>
      <c r="P8" s="4" t="n"/>
      <c r="Q8" s="4" t="n"/>
      <c r="R8" s="4" t="n"/>
      <c r="S8" s="4" t="n"/>
      <c r="T8" s="4" t="n"/>
      <c r="U8" s="4" t="n"/>
      <c r="V8" s="4" t="n"/>
      <c r="W8" s="4" t="n"/>
    </row>
    <row r="9">
      <c r="A9" s="5" t="inlineStr">
        <is>
          <t>AI-006</t>
        </is>
      </c>
      <c r="B9" s="5" t="inlineStr">
        <is>
          <t>WAF</t>
        </is>
      </c>
      <c r="C9" s="4" t="inlineStr">
        <is>
          <t>データ・グラウンディング</t>
        </is>
      </c>
      <c r="D9" s="9" t="inlineStr">
        <is>
          <t>High</t>
        </is>
      </c>
      <c r="E9" s="4" t="inlineStr">
        <is>
          <t>RAG/グラウンディング構成において、検索の関連性(recall/精度)・レイテンシと応答の接地度(グラウンディング品質)を評価し、埋め込みモデル・チャンク設定・検索基盤の品質と可用性を検証しているか</t>
        </is>
      </c>
      <c r="F9" s="4" t="inlineStr">
        <is>
          <t>代表クエリでの検索品質測定とグラウンディング/事実正確性の評価が評価パイプラインに含まれ、設定の選定根拠と検索基盤の冗長性検証の記録がある</t>
        </is>
      </c>
      <c r="G9" s="4" t="inlineStr">
        <is>
          <t>低品質な検索コンテキストや接地されない生成は、ハルシネーション(誤情報)による誤回答と信頼失墜を招く。</t>
        </is>
      </c>
      <c r="H9" s="4" t="inlineStr">
        <is>
          <t>AWS: Generative AI Lens &gt; Performance efficiency &gt; GENPERF04-BP01 / GENPERF04-BP02 | GCP: AI and ML perspective - Operational excellence &gt; Implement observability(grounding assessment) / Reliability &gt; Design for HA(vector databases for RAG)</t>
        </is>
      </c>
      <c r="I9" s="4" t="inlineStr">
        <is>
          <t>AI-CONDITIONAL</t>
        </is>
      </c>
      <c r="J9" s="4" t="inlineStr">
        <is>
          <t>AI/MLを含む案件に適用。従来型ML・生成AI・エージェントAIの種別ごとにN/Aを判断。</t>
        </is>
      </c>
      <c r="K9" s="4" t="inlineStr">
        <is>
          <t>SRC-AWS-GENAI;SRC-GCP-AIML</t>
        </is>
      </c>
      <c r="L9" s="4" t="inlineStr">
        <is>
          <t>RELIABILITY-HA</t>
        </is>
      </c>
      <c r="M9" s="4" t="n"/>
      <c r="N9" s="4" t="n"/>
      <c r="O9" s="4" t="n"/>
      <c r="P9" s="4" t="n"/>
      <c r="Q9" s="4" t="n"/>
      <c r="R9" s="4" t="n"/>
      <c r="S9" s="4" t="n"/>
      <c r="T9" s="4" t="n"/>
      <c r="U9" s="4" t="n"/>
      <c r="V9" s="4" t="n"/>
      <c r="W9" s="4" t="n"/>
    </row>
    <row r="10">
      <c r="A10" s="5" t="inlineStr">
        <is>
          <t>AI-007</t>
        </is>
      </c>
      <c r="B10" s="5" t="inlineStr">
        <is>
          <t>WAF</t>
        </is>
      </c>
      <c r="C10" s="4" t="inlineStr">
        <is>
          <t>データ・グラウンディング</t>
        </is>
      </c>
      <c r="D10" s="8" t="inlineStr">
        <is>
          <t>Critical</t>
        </is>
      </c>
      <c r="E10" s="4" t="inlineStr">
        <is>
          <t>個人データの収集・利用について、適用法令と組織ポリシーに基づく適法根拠（必要な場合は同意）を確認している</t>
        </is>
      </c>
      <c r="F10" s="4" t="inlineStr">
        <is>
          <t>目的、データ主体、処理活動、適法根拠、通知・同意要否、所管部門の確認結果が記録されている</t>
        </is>
      </c>
      <c r="G10" s="4" t="inlineStr">
        <is>
          <t>明示同意を全案件へ一律要求せず、適用法令と処理目的に即した合法性・透明性を確認する。</t>
        </is>
      </c>
      <c r="H10" s="4" t="inlineStr">
        <is>
          <t>GCP: AI and ML perspective - Security &gt; Keep data secure and prevent loss or mishandling &gt; Adhere to data minimization principles | Azure: Responsible AI in Azure Workloads &gt; Handle user data appropriately / Grounding Data Design &gt; Types of data(User data)</t>
        </is>
      </c>
      <c r="I10" s="4" t="inlineStr">
        <is>
          <t>AI-CONDITIONAL</t>
        </is>
      </c>
      <c r="J10" s="4" t="inlineStr">
        <is>
          <t>個人データを処理する場合。適法根拠・同意要否は適用法令と組織ポリシーによる。</t>
        </is>
      </c>
      <c r="K10" s="4" t="inlineStr">
        <is>
          <t>SRC-GCP-AIML;SRC-AZR-AI</t>
        </is>
      </c>
      <c r="L10" s="4" t="inlineStr">
        <is>
          <t>PRIVACY</t>
        </is>
      </c>
      <c r="M10" s="4" t="n"/>
      <c r="N10" s="4" t="n"/>
      <c r="O10" s="4" t="n"/>
      <c r="P10" s="4" t="n"/>
      <c r="Q10" s="4" t="n"/>
      <c r="R10" s="4" t="n"/>
      <c r="S10" s="4" t="n"/>
      <c r="T10" s="4" t="n"/>
      <c r="U10" s="4" t="n"/>
      <c r="V10" s="4" t="n"/>
      <c r="W10" s="4" t="n"/>
    </row>
    <row r="11">
      <c r="A11" s="5" t="inlineStr">
        <is>
          <t>AI-077</t>
        </is>
      </c>
      <c r="B11" s="5" t="inlineStr">
        <is>
          <t>WAF</t>
        </is>
      </c>
      <c r="C11" s="4" t="inlineStr">
        <is>
          <t>データ・グラウンディング</t>
        </is>
      </c>
      <c r="D11" s="8" t="inlineStr">
        <is>
          <t>Critical</t>
        </is>
      </c>
      <c r="E11" s="4" t="inlineStr">
        <is>
          <t>AIで収集・利用する個人データを目的達成に必要な最小限へ限定している</t>
        </is>
      </c>
      <c r="F11" s="4" t="inlineStr">
        <is>
          <t>データ項目ごとに利用目的と必要性が対応付けられ、不要項目が収集・学習対象から除外されている</t>
        </is>
      </c>
      <c r="G11" s="4" t="inlineStr">
        <is>
          <t>不要な個人データの蓄積による漏えい・規制リスクを減らす。</t>
        </is>
      </c>
      <c r="H11" s="4" t="inlineStr">
        <is>
          <t>GCP: AI and ML perspective - Security &gt; Keep data secure and prevent loss or mishandling &gt; Adhere to data minimization principles | Azure: Responsible AI in Azure Workloads &gt; Handle user data appropriately / Grounding Data Design &gt; Types of data(User data)</t>
        </is>
      </c>
      <c r="I11" s="4" t="inlineStr">
        <is>
          <t>AI-CONDITIONAL</t>
        </is>
      </c>
      <c r="J11" s="4" t="inlineStr">
        <is>
          <t>AI/MLを含む案件に適用。従来型ML・生成AI・エージェントAIの種別ごとにN/Aを判断。</t>
        </is>
      </c>
      <c r="K11" s="4" t="inlineStr">
        <is>
          <t>SRC-GCP-AIML;SRC-AZR-AI</t>
        </is>
      </c>
      <c r="L11" s="4" t="inlineStr">
        <is>
          <t>PRIVACY</t>
        </is>
      </c>
      <c r="M11" s="4" t="n"/>
      <c r="N11" s="4" t="n"/>
      <c r="O11" s="4" t="n"/>
      <c r="P11" s="4" t="n"/>
      <c r="Q11" s="4" t="n"/>
      <c r="R11" s="4" t="n"/>
      <c r="S11" s="4" t="n"/>
      <c r="T11" s="4" t="n"/>
      <c r="U11" s="4" t="n"/>
      <c r="V11" s="4" t="n"/>
      <c r="W11" s="4" t="n"/>
    </row>
    <row r="12">
      <c r="A12" s="5" t="inlineStr">
        <is>
          <t>AI-078</t>
        </is>
      </c>
      <c r="B12" s="5" t="inlineStr">
        <is>
          <t>WAF</t>
        </is>
      </c>
      <c r="C12" s="4" t="inlineStr">
        <is>
          <t>データ・グラウンディング</t>
        </is>
      </c>
      <c r="D12" s="8" t="inlineStr">
        <is>
          <t>Critical</t>
        </is>
      </c>
      <c r="E12" s="4" t="inlineStr">
        <is>
          <t>機微性と再識別リスクに応じて匿名化・仮名化・合成データを適用している</t>
        </is>
      </c>
      <c r="F12" s="4" t="inlineStr">
        <is>
          <t>変換方式、再識別リスク評価、鍵・対応表の分離、残余リスクが記録されている</t>
        </is>
      </c>
      <c r="G12" s="4" t="inlineStr">
        <is>
          <t>データ有用性を保ちながら個人への結び付きと漏えい影響を抑える。</t>
        </is>
      </c>
      <c r="H12" s="4" t="inlineStr">
        <is>
          <t>GCP: AI and ML perspective - Security &gt; Keep data secure and prevent loss or mishandling &gt; Adhere to data minimization principles | Azure: Responsible AI in Azure Workloads &gt; Handle user data appropriately / Grounding Data Design &gt; Types of data(User data)</t>
        </is>
      </c>
      <c r="I12" s="4" t="inlineStr">
        <is>
          <t>AI-CONDITIONAL</t>
        </is>
      </c>
      <c r="J12" s="4" t="inlineStr">
        <is>
          <t>AI/MLを含む案件に適用。従来型ML・生成AI・エージェントAIの種別ごとにN/Aを判断。</t>
        </is>
      </c>
      <c r="K12" s="4" t="inlineStr">
        <is>
          <t>SRC-GCP-AIML;SRC-AZR-AI</t>
        </is>
      </c>
      <c r="L12" s="4" t="inlineStr"/>
      <c r="M12" s="4" t="n"/>
      <c r="N12" s="4" t="n"/>
      <c r="O12" s="4" t="n"/>
      <c r="P12" s="4" t="n"/>
      <c r="Q12" s="4" t="n"/>
      <c r="R12" s="4" t="n"/>
      <c r="S12" s="4" t="n"/>
      <c r="T12" s="4" t="n"/>
      <c r="U12" s="4" t="n"/>
      <c r="V12" s="4" t="n"/>
      <c r="W12" s="4" t="n"/>
    </row>
    <row r="13">
      <c r="A13" s="5" t="inlineStr">
        <is>
          <t>AI-079</t>
        </is>
      </c>
      <c r="B13" s="5" t="inlineStr">
        <is>
          <t>WAF</t>
        </is>
      </c>
      <c r="C13" s="4" t="inlineStr">
        <is>
          <t>データ・グラウンディング</t>
        </is>
      </c>
      <c r="D13" s="8" t="inlineStr">
        <is>
          <t>Critical</t>
        </is>
      </c>
      <c r="E13" s="4" t="inlineStr">
        <is>
          <t>AIデータの保持期間と期限到来時の削除を実装している</t>
        </is>
      </c>
      <c r="F13" s="4" t="inlineStr">
        <is>
          <t>データ種別ごとの保持期間、例外、削除ジョブ、削除結果の証跡がある</t>
        </is>
      </c>
      <c r="G13" s="4" t="inlineStr">
        <is>
          <t>目的終了後もデータが残り続けるリスクを防ぐ。</t>
        </is>
      </c>
      <c r="H13" s="4" t="inlineStr">
        <is>
          <t>GCP: AI and ML perspective - Security &gt; Keep data secure and prevent loss or mishandling &gt; Adhere to data minimization principles | Azure: Responsible AI in Azure Workloads &gt; Handle user data appropriately / Grounding Data Design &gt; Types of data(User data)</t>
        </is>
      </c>
      <c r="I13" s="4" t="inlineStr">
        <is>
          <t>AI-CONDITIONAL</t>
        </is>
      </c>
      <c r="J13" s="4" t="inlineStr">
        <is>
          <t>AI/MLを含む案件に適用。従来型ML・生成AI・エージェントAIの種別ごとにN/Aを判断。</t>
        </is>
      </c>
      <c r="K13" s="4" t="inlineStr">
        <is>
          <t>SRC-GCP-AIML;SRC-AZR-AI</t>
        </is>
      </c>
      <c r="L13" s="4" t="inlineStr"/>
      <c r="M13" s="4" t="n"/>
      <c r="N13" s="4" t="n"/>
      <c r="O13" s="4" t="n"/>
      <c r="P13" s="4" t="n"/>
      <c r="Q13" s="4" t="n"/>
      <c r="R13" s="4" t="n"/>
      <c r="S13" s="4" t="n"/>
      <c r="T13" s="4" t="n"/>
      <c r="U13" s="4" t="n"/>
      <c r="V13" s="4" t="n"/>
      <c r="W13" s="4" t="n"/>
    </row>
    <row r="14">
      <c r="A14" s="5" t="inlineStr">
        <is>
          <t>AI-080</t>
        </is>
      </c>
      <c r="B14" s="5" t="inlineStr">
        <is>
          <t>WAF</t>
        </is>
      </c>
      <c r="C14" s="4" t="inlineStr">
        <is>
          <t>データ・グラウンディング</t>
        </is>
      </c>
      <c r="D14" s="8" t="inlineStr">
        <is>
          <t>Critical</t>
        </is>
      </c>
      <c r="E14" s="4" t="inlineStr">
        <is>
          <t>適用される削除請求・忘れられる権利を、学習・検索インデックス・ログまで追跡して実行できる</t>
        </is>
      </c>
      <c r="F14" s="4" t="inlineStr">
        <is>
          <t>請求受付から対象特定、削除・再構築、完了通知までの手順とテスト記録がある</t>
        </is>
      </c>
      <c r="G14" s="4" t="inlineStr">
        <is>
          <t>派生データや検索索引に個人データが残る見落としを防ぐ。</t>
        </is>
      </c>
      <c r="H14" s="4" t="inlineStr">
        <is>
          <t>GCP: AI and ML perspective - Security &gt; Keep data secure and prevent loss or mishandling &gt; Adhere to data minimization principles | Azure: Responsible AI in Azure Workloads &gt; Handle user data appropriately / Grounding Data Design &gt; Types of data(User data)</t>
        </is>
      </c>
      <c r="I14" s="4" t="inlineStr">
        <is>
          <t>AI-CONDITIONAL</t>
        </is>
      </c>
      <c r="J14" s="4" t="inlineStr">
        <is>
          <t>AI/MLを含む案件に適用。従来型ML・生成AI・エージェントAIの種別ごとにN/Aを判断。</t>
        </is>
      </c>
      <c r="K14" s="4" t="inlineStr">
        <is>
          <t>SRC-GCP-AIML;SRC-AZR-AI</t>
        </is>
      </c>
      <c r="L14" s="4" t="inlineStr">
        <is>
          <t>OPS-OBSERVABILITY;PRIVACY</t>
        </is>
      </c>
      <c r="M14" s="4" t="n"/>
      <c r="N14" s="4" t="n"/>
      <c r="O14" s="4" t="n"/>
      <c r="P14" s="4" t="n"/>
      <c r="Q14" s="4" t="n"/>
      <c r="R14" s="4" t="n"/>
      <c r="S14" s="4" t="n"/>
      <c r="T14" s="4" t="n"/>
      <c r="U14" s="4" t="n"/>
      <c r="V14" s="4" t="n"/>
      <c r="W14" s="4" t="n"/>
    </row>
    <row r="15">
      <c r="A15" s="5" t="inlineStr">
        <is>
          <t>AI-008</t>
        </is>
      </c>
      <c r="B15" s="5" t="inlineStr">
        <is>
          <t>WAF</t>
        </is>
      </c>
      <c r="C15" s="4" t="inlineStr">
        <is>
          <t>モデル選定・カスタマイズ</t>
        </is>
      </c>
      <c r="D15" s="10" t="inlineStr">
        <is>
          <t>Medium</t>
        </is>
      </c>
      <c r="E15" s="4" t="inlineStr">
        <is>
          <t>独自モデル開発の前に、事前学習モデルの利用・転移学習・プリビルトサービス/SaaSの選択肢を、データ統制・カスタマイズ性・コスト・性能・チームスキルの観点で比較評価(build vs buy)しているか</t>
        </is>
      </c>
      <c r="F15" s="4" t="inlineStr">
        <is>
          <t>モデル選定文書に「作る/使う/チューニングする」の比較評価と選定根拠が記載されている</t>
        </is>
      </c>
      <c r="G15" s="4" t="inlineStr">
        <is>
          <t>既存モデル・サービスを無視した過剰な自作は、コスト・期間・運用負荷・環境負荷を不必要に増大させる。</t>
        </is>
      </c>
      <c r="H15" s="4" t="inlineStr">
        <is>
          <t>GCP: AI and ML perspective - Cost optimization &gt; Use managed services and pre-trained models &gt; Start with existing and pre-trained models | Azure: AI workloads on Azure(Get started)&gt; Evaluate your build versus buy options</t>
        </is>
      </c>
      <c r="I15" s="4" t="inlineStr">
        <is>
          <t>AI-CONDITIONAL</t>
        </is>
      </c>
      <c r="J15" s="4" t="inlineStr">
        <is>
          <t>AI/MLを含む案件に適用。従来型ML・生成AI・エージェントAIの種別ごとにN/Aを判断。</t>
        </is>
      </c>
      <c r="K15" s="4" t="inlineStr">
        <is>
          <t>SRC-GCP-AIML;SRC-AZR-AI</t>
        </is>
      </c>
      <c r="L15" s="4" t="inlineStr">
        <is>
          <t>COST</t>
        </is>
      </c>
      <c r="M15" s="4" t="n"/>
      <c r="N15" s="4" t="n"/>
      <c r="O15" s="4" t="n"/>
      <c r="P15" s="4" t="n"/>
      <c r="Q15" s="4" t="n"/>
      <c r="R15" s="4" t="n"/>
      <c r="S15" s="4" t="n"/>
      <c r="T15" s="4" t="n"/>
      <c r="U15" s="4" t="n"/>
      <c r="V15" s="4" t="n"/>
      <c r="W15" s="4" t="n"/>
    </row>
    <row r="16">
      <c r="A16" s="5" t="inlineStr">
        <is>
          <t>AI-009</t>
        </is>
      </c>
      <c r="B16" s="5" t="inlineStr">
        <is>
          <t>WAF</t>
        </is>
      </c>
      <c r="C16" s="4" t="inlineStr">
        <is>
          <t>モデル選定・カスタマイズ</t>
        </is>
      </c>
      <c r="D16" s="10" t="inlineStr">
        <is>
          <t>Medium</t>
        </is>
      </c>
      <c r="E16" s="4" t="inlineStr">
        <is>
          <t>プロンプト設計、RAG、ファインチューニング、モデル変更等の候補をユースケース別に比較し、最適なカスタマイズ方式を選定している</t>
        </is>
      </c>
      <c r="F16" s="4" t="inlineStr">
        <is>
          <t>品質、データ、レイテンシ、セキュリティ、運用負荷、コストの比較結果と選定理由があり、採用方式の効果が測定されている</t>
        </is>
      </c>
      <c r="G16" s="4" t="inlineStr">
        <is>
          <t>固定順序を前提にせず、ユースケース制約に最も合う方式または組合せを選ぶ。</t>
        </is>
      </c>
      <c r="H16" s="4" t="inlineStr">
        <is>
          <t>AWS: Generative AI Lens &gt; Operational excellence &gt; GENOPS05-BP01 Learn when to customize models</t>
        </is>
      </c>
      <c r="I16" s="4" t="inlineStr">
        <is>
          <t>AI-CONDITIONAL</t>
        </is>
      </c>
      <c r="J16" s="4" t="inlineStr">
        <is>
          <t>AI/MLを含む案件に適用。従来型ML・生成AI・エージェントAIの種別ごとにN/Aを判断。</t>
        </is>
      </c>
      <c r="K16" s="4" t="inlineStr">
        <is>
          <t>SRC-AWS-GENAI</t>
        </is>
      </c>
      <c r="L16" s="4" t="inlineStr"/>
      <c r="M16" s="4" t="n"/>
      <c r="N16" s="4" t="n"/>
      <c r="O16" s="4" t="n"/>
      <c r="P16" s="4" t="n"/>
      <c r="Q16" s="4" t="n"/>
      <c r="R16" s="4" t="n"/>
      <c r="S16" s="4" t="n"/>
      <c r="T16" s="4" t="n"/>
      <c r="U16" s="4" t="n"/>
      <c r="V16" s="4" t="n"/>
      <c r="W16" s="4" t="n"/>
    </row>
    <row r="17">
      <c r="A17" s="5" t="inlineStr">
        <is>
          <t>AI-010</t>
        </is>
      </c>
      <c r="B17" s="5" t="inlineStr">
        <is>
          <t>WAF</t>
        </is>
      </c>
      <c r="C17" s="4" t="inlineStr">
        <is>
          <t>モデル選定・カスタマイズ</t>
        </is>
      </c>
      <c r="D17" s="10" t="inlineStr">
        <is>
          <t>Medium</t>
        </is>
      </c>
      <c r="E17" s="4" t="inlineStr">
        <is>
          <t>基盤モデルの廃止・後継移行に備え、モデルをアプリケーションから抽象化するレイヤ、バージョン移行戦略、フォールバック機構を設計しているか</t>
        </is>
      </c>
      <c r="F17" s="4" t="inlineStr">
        <is>
          <t>モデル抽象化インターフェースと移行・フォールバック手順が存在し、プロバイダーの廃止スケジュールを追跡する運用がある</t>
        </is>
      </c>
      <c r="G17" s="4" t="inlineStr">
        <is>
          <t>モデル提供終了時にサービス停止や急な品質変化が発生することを防ぐ。</t>
        </is>
      </c>
      <c r="H17" s="4" t="inlineStr">
        <is>
          <t>Azure: Application Design for AI Workloads on Azure &gt; Plan for model deprecation</t>
        </is>
      </c>
      <c r="I17" s="4" t="inlineStr">
        <is>
          <t>AI-CONDITIONAL</t>
        </is>
      </c>
      <c r="J17" s="4" t="inlineStr">
        <is>
          <t>AI/MLを含む案件に適用。従来型ML・生成AI・エージェントAIの種別ごとにN/Aを判断。</t>
        </is>
      </c>
      <c r="K17" s="4" t="inlineStr">
        <is>
          <t>SRC-AZR-AI</t>
        </is>
      </c>
      <c r="L17" s="4" t="inlineStr"/>
      <c r="M17" s="4" t="n"/>
      <c r="N17" s="4" t="n"/>
      <c r="O17" s="4" t="n"/>
      <c r="P17" s="4" t="n"/>
      <c r="Q17" s="4" t="n"/>
      <c r="R17" s="4" t="n"/>
      <c r="S17" s="4" t="n"/>
      <c r="T17" s="4" t="n"/>
      <c r="U17" s="4" t="n"/>
      <c r="V17" s="4" t="n"/>
      <c r="W17" s="4" t="n"/>
    </row>
    <row r="18">
      <c r="A18" s="5" t="inlineStr">
        <is>
          <t>AI-011</t>
        </is>
      </c>
      <c r="B18" s="5" t="inlineStr">
        <is>
          <t>WAF</t>
        </is>
      </c>
      <c r="C18" s="4" t="inlineStr">
        <is>
          <t>評価・テスト</t>
        </is>
      </c>
      <c r="D18" s="9" t="inlineStr">
        <is>
          <t>High</t>
        </is>
      </c>
      <c r="E18" s="4" t="inlineStr">
        <is>
          <t>代表ユースケースと失敗モードを含む評価データセットを定義・版管理している</t>
        </is>
      </c>
      <c r="F18" s="4" t="inlineStr">
        <is>
          <t>評価対象の母集団、主要ユースケース、境界・攻撃ケースをカバーするデータセットの版と由来が記録されている</t>
        </is>
      </c>
      <c r="G18" s="4" t="inlineStr">
        <is>
          <t>評価データの偏りやすり替わりにより、見かけ上だけ品質が上がることを防ぐ。</t>
        </is>
      </c>
      <c r="H18" s="4" t="inlineStr">
        <is>
          <t>AWS: Generative AI Lens &gt; Performance efficiency &gt; GENPERF01-BP01 / Operational excellence &gt; GENOPS01-BP01 | GCP: AI and ML perspective - Performance optimization &gt; Automate evaluation for reproducibility / Reliability &gt; Validate model behavior | Azure: Test and Evaluate AI Workloads on Azure &gt; Use quality metrics for model evaluation / Use the right data for evaluation</t>
        </is>
      </c>
      <c r="I18" s="4" t="inlineStr">
        <is>
          <t>AI-CONDITIONAL</t>
        </is>
      </c>
      <c r="J18" s="4" t="inlineStr">
        <is>
          <t>AI/MLを含む案件に適用。従来型ML・生成AI・エージェントAIの種別ごとにN/Aを判断。</t>
        </is>
      </c>
      <c r="K18" s="4" t="inlineStr">
        <is>
          <t>SRC-AWS-GENAI;SRC-GCP-AIML;SRC-AZR-AI</t>
        </is>
      </c>
      <c r="L18" s="4" t="inlineStr"/>
      <c r="M18" s="4" t="n"/>
      <c r="N18" s="4" t="n"/>
      <c r="O18" s="4" t="n"/>
      <c r="P18" s="4" t="n"/>
      <c r="Q18" s="4" t="n"/>
      <c r="R18" s="4" t="n"/>
      <c r="S18" s="4" t="n"/>
      <c r="T18" s="4" t="n"/>
      <c r="U18" s="4" t="n"/>
      <c r="V18" s="4" t="n"/>
      <c r="W18" s="4" t="n"/>
    </row>
    <row r="19">
      <c r="A19" s="5" t="inlineStr">
        <is>
          <t>AI-054</t>
        </is>
      </c>
      <c r="B19" s="5" t="inlineStr">
        <is>
          <t>WAF</t>
        </is>
      </c>
      <c r="C19" s="4" t="inlineStr">
        <is>
          <t>評価・テスト</t>
        </is>
      </c>
      <c r="D19" s="9" t="inlineStr">
        <is>
          <t>High</t>
        </is>
      </c>
      <c r="E19" s="4" t="inlineStr">
        <is>
          <t>AIリリース判定に用いる品質・安全性・根拠性・公平性等の指標と合格閾値を事前定義している</t>
        </is>
      </c>
      <c r="F19" s="4" t="inlineStr">
        <is>
          <t>ユースケースに必要な各指標、集計単位、信頼水準、合格閾値、例外承認者が文書化されている</t>
        </is>
      </c>
      <c r="G19" s="4" t="inlineStr">
        <is>
          <t>主観的な『良くなった』ではなく、再現可能な合否判断を可能にする。</t>
        </is>
      </c>
      <c r="H19" s="4" t="inlineStr">
        <is>
          <t>AWS: Generative AI Lens &gt; Performance efficiency &gt; GENPERF01-BP01 / Operational excellence &gt; GENOPS01-BP01 | GCP: AI and ML perspective - Performance optimization &gt; Automate evaluation for reproducibility / Reliability &gt; Validate model behavior | Azure: Test and Evaluate AI Workloads on Azure &gt; Use quality metrics for model evaluation / Use the right data for evaluation</t>
        </is>
      </c>
      <c r="I19" s="4" t="inlineStr">
        <is>
          <t>AI-CONDITIONAL</t>
        </is>
      </c>
      <c r="J19" s="4" t="inlineStr">
        <is>
          <t>AI/MLを含む案件に適用。従来型ML・生成AI・エージェントAIの種別ごとにN/Aを判断。</t>
        </is>
      </c>
      <c r="K19" s="4" t="inlineStr">
        <is>
          <t>SRC-AWS-GENAI;SRC-GCP-AIML;SRC-AZR-AI</t>
        </is>
      </c>
      <c r="L19" s="4" t="inlineStr"/>
      <c r="M19" s="4" t="n"/>
      <c r="N19" s="4" t="n"/>
      <c r="O19" s="4" t="n"/>
      <c r="P19" s="4" t="n"/>
      <c r="Q19" s="4" t="n"/>
      <c r="R19" s="4" t="n"/>
      <c r="S19" s="4" t="n"/>
      <c r="T19" s="4" t="n"/>
      <c r="U19" s="4" t="n"/>
      <c r="V19" s="4" t="n"/>
      <c r="W19" s="4" t="n"/>
    </row>
    <row r="20">
      <c r="A20" s="5" t="inlineStr">
        <is>
          <t>AI-055</t>
        </is>
      </c>
      <c r="B20" s="5" t="inlineStr">
        <is>
          <t>WAF</t>
        </is>
      </c>
      <c r="C20" s="4" t="inlineStr">
        <is>
          <t>評価・テスト</t>
        </is>
      </c>
      <c r="D20" s="9" t="inlineStr">
        <is>
          <t>High</t>
        </is>
      </c>
      <c r="E20" s="4" t="inlineStr">
        <is>
          <t>モデル・プロンプト変更時の評価を自動実行し、同一条件で再現できる</t>
        </is>
      </c>
      <c r="F20" s="4" t="inlineStr">
        <is>
          <t>評価コード、依存関係、モデル・プロンプト版、実行条件、結果が保存され、同じ版で再実行できる</t>
        </is>
      </c>
      <c r="G20" s="4" t="inlineStr">
        <is>
          <t>変更ごとの評価漏れと環境差による比較不能を防ぐ。</t>
        </is>
      </c>
      <c r="H20" s="4" t="inlineStr">
        <is>
          <t>AWS: Generative AI Lens &gt; Performance efficiency &gt; GENPERF01-BP01 / Operational excellence &gt; GENOPS01-BP01 | GCP: AI and ML perspective - Performance optimization &gt; Automate evaluation for reproducibility / Reliability &gt; Validate model behavior | Azure: Test and Evaluate AI Workloads on Azure &gt; Use quality metrics for model evaluation / Use the right data for evaluation</t>
        </is>
      </c>
      <c r="I20" s="4" t="inlineStr">
        <is>
          <t>AI-CONDITIONAL</t>
        </is>
      </c>
      <c r="J20" s="4" t="inlineStr">
        <is>
          <t>AI/MLを含む案件に適用。従来型ML・生成AI・エージェントAIの種別ごとにN/Aを判断。</t>
        </is>
      </c>
      <c r="K20" s="4" t="inlineStr">
        <is>
          <t>SRC-AWS-GENAI;SRC-GCP-AIML;SRC-AZR-AI</t>
        </is>
      </c>
      <c r="L20" s="4" t="inlineStr"/>
      <c r="M20" s="4" t="n"/>
      <c r="N20" s="4" t="n"/>
      <c r="O20" s="4" t="n"/>
      <c r="P20" s="4" t="n"/>
      <c r="Q20" s="4" t="n"/>
      <c r="R20" s="4" t="n"/>
      <c r="S20" s="4" t="n"/>
      <c r="T20" s="4" t="n"/>
      <c r="U20" s="4" t="n"/>
      <c r="V20" s="4" t="n"/>
      <c r="W20" s="4" t="n"/>
    </row>
    <row r="21">
      <c r="A21" s="5" t="inlineStr">
        <is>
          <t>AI-012</t>
        </is>
      </c>
      <c r="B21" s="5" t="inlineStr">
        <is>
          <t>WAF</t>
        </is>
      </c>
      <c r="C21" s="4" t="inlineStr">
        <is>
          <t>評価・テスト</t>
        </is>
      </c>
      <c r="D21" s="10" t="inlineStr">
        <is>
          <t>Medium</t>
        </is>
      </c>
      <c r="E21" s="4" t="inlineStr">
        <is>
          <t>自動評価だけで判定できない出力品質(生成AIの品質・安全性等)について、人手レビュー(ヒューマンインザループ評価)が評価プロセスに組み込まれているか</t>
        </is>
      </c>
      <c r="F21" s="4" t="inlineStr">
        <is>
          <t>人手評価の対象範囲・レビュア基準・記録方法が定義され、実施記録がある</t>
        </is>
      </c>
      <c r="G21" s="4" t="inlineStr">
        <is>
          <t>自動指標のみでは捉えられない品質・安全性の問題が本番に流出することを防ぐ。</t>
        </is>
      </c>
      <c r="H21" s="4" t="inlineStr">
        <is>
          <t>GCP: AI and ML perspective - Operational excellence &gt; Implement observability(human-in-the-loop evaluation)</t>
        </is>
      </c>
      <c r="I21" s="4" t="inlineStr">
        <is>
          <t>AI-CONDITIONAL</t>
        </is>
      </c>
      <c r="J21" s="4" t="inlineStr">
        <is>
          <t>AI/MLを含む案件に適用。従来型ML・生成AI・エージェントAIの種別ごとにN/Aを判断。</t>
        </is>
      </c>
      <c r="K21" s="4" t="inlineStr">
        <is>
          <t>SRC-GCP-AIML</t>
        </is>
      </c>
      <c r="L21" s="4" t="inlineStr"/>
      <c r="M21" s="4" t="n"/>
      <c r="N21" s="4" t="n"/>
      <c r="O21" s="4" t="n"/>
      <c r="P21" s="4" t="n"/>
      <c r="Q21" s="4" t="n"/>
      <c r="R21" s="4" t="n"/>
      <c r="S21" s="4" t="n"/>
      <c r="T21" s="4" t="n"/>
      <c r="U21" s="4" t="n"/>
      <c r="V21" s="4" t="n"/>
      <c r="W21" s="4" t="n"/>
    </row>
    <row r="22">
      <c r="A22" s="5" t="inlineStr">
        <is>
          <t>AI-013</t>
        </is>
      </c>
      <c r="B22" s="5" t="inlineStr">
        <is>
          <t>WAF</t>
        </is>
      </c>
      <c r="C22" s="4" t="inlineStr">
        <is>
          <t>評価・テスト</t>
        </is>
      </c>
      <c r="D22" s="10" t="inlineStr">
        <is>
          <t>Medium</t>
        </is>
      </c>
      <c r="E22" s="4" t="inlineStr">
        <is>
          <t>AIの非決定性に対応するため、本番環境でも実データ+合成データによる継続テスト・A/Bテストを安全に実施できる体制を持ち、テスト(変更評価)と監視(常時健全性評価)を区別しているか</t>
        </is>
      </c>
      <c r="F22" s="4" t="inlineStr">
        <is>
          <t>本番でのスケジュールテスト・A/Bテストの仕組みと、異常結果の捕捉・診断の運用手順が存在する</t>
        </is>
      </c>
      <c r="G22" s="4" t="inlineStr">
        <is>
          <t>リリース後の品質回帰やモデル劣化を検出する手段がなくなることを防ぐ。</t>
        </is>
      </c>
      <c r="H22" s="4" t="inlineStr">
        <is>
          <t>Azure: AI Workload Operations on Azure &gt; Support testing in production / Test &gt; Live-site testing</t>
        </is>
      </c>
      <c r="I22" s="4" t="inlineStr">
        <is>
          <t>AI-CONDITIONAL</t>
        </is>
      </c>
      <c r="J22" s="4" t="inlineStr">
        <is>
          <t>AI/MLを含む案件に適用。従来型ML・生成AI・エージェントAIの種別ごとにN/Aを判断。</t>
        </is>
      </c>
      <c r="K22" s="4" t="inlineStr">
        <is>
          <t>SRC-AZR-AI</t>
        </is>
      </c>
      <c r="L22" s="4" t="inlineStr">
        <is>
          <t>OPS-OBSERVABILITY</t>
        </is>
      </c>
      <c r="M22" s="4" t="n"/>
      <c r="N22" s="4" t="n"/>
      <c r="O22" s="4" t="n"/>
      <c r="P22" s="4" t="n"/>
      <c r="Q22" s="4" t="n"/>
      <c r="R22" s="4" t="n"/>
      <c r="S22" s="4" t="n"/>
      <c r="T22" s="4" t="n"/>
      <c r="U22" s="4" t="n"/>
      <c r="V22" s="4" t="n"/>
      <c r="W22" s="4" t="n"/>
    </row>
    <row r="23">
      <c r="A23" s="5" t="inlineStr">
        <is>
          <t>AI-014</t>
        </is>
      </c>
      <c r="B23" s="5" t="inlineStr">
        <is>
          <t>WAF</t>
        </is>
      </c>
      <c r="C23" s="4" t="inlineStr">
        <is>
          <t>セキュリティ</t>
        </is>
      </c>
      <c r="D23" s="8" t="inlineStr">
        <is>
          <t>Critical</t>
        </is>
      </c>
      <c r="E23" s="4" t="inlineStr">
        <is>
          <t>モデルへ渡すユーザー入力・外部コンテンツを検証し、危険な形式・命令・データを無害化または拒否している</t>
        </is>
      </c>
      <c r="F23" s="4" t="inlineStr">
        <is>
          <t>入力面ごとのスキーマ、長さ、文字種、危険パターン、外部コンテンツの信頼度に応じた検証・拒否・サニタイズが実装されている</t>
        </is>
      </c>
      <c r="G23" s="4" t="inlineStr">
        <is>
          <t>未検証入力が推論コンテキストへ直接入り、命令乗っ取りや情報漏えいを起こすことを防ぐ。</t>
        </is>
      </c>
      <c r="H23" s="4" t="inlineStr">
        <is>
          <t>AWS: Generative AI Lens &gt; Security &gt; GENSEC04-BP02 Sanitize and validate user inputs to foundation models | GCP: AI and ML perspective - Security &gt; Verify and protect inputs &gt; Implement practices to secure generative AI systems | Azure: Responsible AI in Azure Workloads &gt; Inspect incoming and outgoing data / Test and Evaluate AI Workloads on Azure &gt; Test the security aspects(Jailbreak testing)</t>
        </is>
      </c>
      <c r="I23" s="4" t="inlineStr">
        <is>
          <t>AI-CONDITIONAL</t>
        </is>
      </c>
      <c r="J23" s="4" t="inlineStr">
        <is>
          <t>AI/MLを含む案件に適用。従来型ML・生成AI・エージェントAIの種別ごとにN/Aを判断。</t>
        </is>
      </c>
      <c r="K23" s="4" t="inlineStr">
        <is>
          <t>SRC-AWS-GENAI;SRC-GCP-AIML;SRC-AZR-AI</t>
        </is>
      </c>
      <c r="L23" s="4" t="inlineStr"/>
      <c r="M23" s="4" t="n"/>
      <c r="N23" s="4" t="n"/>
      <c r="O23" s="4" t="n"/>
      <c r="P23" s="4" t="n"/>
      <c r="Q23" s="4" t="n"/>
      <c r="R23" s="4" t="n"/>
      <c r="S23" s="4" t="n"/>
      <c r="T23" s="4" t="n"/>
      <c r="U23" s="4" t="n"/>
      <c r="V23" s="4" t="n"/>
      <c r="W23" s="4" t="n"/>
    </row>
    <row r="24">
      <c r="A24" s="5" t="inlineStr">
        <is>
          <t>AI-056</t>
        </is>
      </c>
      <c r="B24" s="5" t="inlineStr">
        <is>
          <t>WAF</t>
        </is>
      </c>
      <c r="C24" s="4" t="inlineStr">
        <is>
          <t>セキュリティ</t>
        </is>
      </c>
      <c r="D24" s="8" t="inlineStr">
        <is>
          <t>Critical</t>
        </is>
      </c>
      <c r="E24" s="4" t="inlineStr">
        <is>
          <t>システム指示、ユーザー入力、検索コンテンツ、ツール出力を構造的に分離している</t>
        </is>
      </c>
      <c r="F24" s="4" t="inlineStr">
        <is>
          <t>各入力の役割と信頼境界がテンプレート・メッセージ構造・権限制御で分離され、外部データが上位指示として解釈されない</t>
        </is>
      </c>
      <c r="G24" s="4" t="inlineStr">
        <is>
          <t>データと命令の混同による間接プロンプトインジェクションを抑える。</t>
        </is>
      </c>
      <c r="H24" s="4" t="inlineStr">
        <is>
          <t>AWS: Generative AI Lens &gt; Security &gt; GENSEC04-BP02 Sanitize and validate user inputs to foundation models | GCP: AI and ML perspective - Security &gt; Verify and protect inputs &gt; Implement practices to secure generative AI systems | Azure: Responsible AI in Azure Workloads &gt; Inspect incoming and outgoing data / Test and Evaluate AI Workloads on Azure &gt; Test the security aspects(Jailbreak testing)</t>
        </is>
      </c>
      <c r="I24" s="4" t="inlineStr">
        <is>
          <t>AI-CONDITIONAL</t>
        </is>
      </c>
      <c r="J24" s="4" t="inlineStr">
        <is>
          <t>AI/MLを含む案件に適用。従来型ML・生成AI・エージェントAIの種別ごとにN/Aを判断。</t>
        </is>
      </c>
      <c r="K24" s="4" t="inlineStr">
        <is>
          <t>SRC-AWS-GENAI;SRC-GCP-AIML;SRC-AZR-AI</t>
        </is>
      </c>
      <c r="L24" s="4" t="inlineStr"/>
      <c r="M24" s="4" t="n"/>
      <c r="N24" s="4" t="n"/>
      <c r="O24" s="4" t="n"/>
      <c r="P24" s="4" t="n"/>
      <c r="Q24" s="4" t="n"/>
      <c r="R24" s="4" t="n"/>
      <c r="S24" s="4" t="n"/>
      <c r="T24" s="4" t="n"/>
      <c r="U24" s="4" t="n"/>
      <c r="V24" s="4" t="n"/>
      <c r="W24" s="4" t="n"/>
    </row>
    <row r="25">
      <c r="A25" s="5" t="inlineStr">
        <is>
          <t>AI-057</t>
        </is>
      </c>
      <c r="B25" s="5" t="inlineStr">
        <is>
          <t>WAF</t>
        </is>
      </c>
      <c r="C25" s="4" t="inlineStr">
        <is>
          <t>セキュリティ</t>
        </is>
      </c>
      <c r="D25" s="8" t="inlineStr">
        <is>
          <t>Critical</t>
        </is>
      </c>
      <c r="E25" s="4" t="inlineStr">
        <is>
          <t>意図分類またはインジェクション検知により、許可外の目的・命令を検出している</t>
        </is>
      </c>
      <c r="F25" s="4" t="inlineStr">
        <is>
          <t>許可意図と拒否条件が定義され、既知および変形攻撃に対する検知・拒否結果が記録されている</t>
        </is>
      </c>
      <c r="G25" s="4" t="inlineStr">
        <is>
          <t>表層的な文字列検査だけでは見逃す操作意図を検出する。</t>
        </is>
      </c>
      <c r="H25" s="4" t="inlineStr">
        <is>
          <t>AWS: Generative AI Lens &gt; Security &gt; GENSEC04-BP02 Sanitize and validate user inputs to foundation models | GCP: AI and ML perspective - Security &gt; Verify and protect inputs &gt; Implement practices to secure generative AI systems | Azure: Responsible AI in Azure Workloads &gt; Inspect incoming and outgoing data / Test and Evaluate AI Workloads on Azure &gt; Test the security aspects(Jailbreak testing)</t>
        </is>
      </c>
      <c r="I25" s="4" t="inlineStr">
        <is>
          <t>AI-CONDITIONAL</t>
        </is>
      </c>
      <c r="J25" s="4" t="inlineStr">
        <is>
          <t>AI/MLを含む案件に適用。従来型ML・生成AI・エージェントAIの種別ごとにN/Aを判断。</t>
        </is>
      </c>
      <c r="K25" s="4" t="inlineStr">
        <is>
          <t>SRC-AWS-GENAI;SRC-GCP-AIML;SRC-AZR-AI</t>
        </is>
      </c>
      <c r="L25" s="4" t="inlineStr"/>
      <c r="M25" s="4" t="n"/>
      <c r="N25" s="4" t="n"/>
      <c r="O25" s="4" t="n"/>
      <c r="P25" s="4" t="n"/>
      <c r="Q25" s="4" t="n"/>
      <c r="R25" s="4" t="n"/>
      <c r="S25" s="4" t="n"/>
      <c r="T25" s="4" t="n"/>
      <c r="U25" s="4" t="n"/>
      <c r="V25" s="4" t="n"/>
      <c r="W25" s="4" t="n"/>
    </row>
    <row r="26">
      <c r="A26" s="5" t="inlineStr">
        <is>
          <t>AI-058</t>
        </is>
      </c>
      <c r="B26" s="5" t="inlineStr">
        <is>
          <t>WAF</t>
        </is>
      </c>
      <c r="C26" s="4" t="inlineStr">
        <is>
          <t>セキュリティ</t>
        </is>
      </c>
      <c r="D26" s="8" t="inlineStr">
        <is>
          <t>Critical</t>
        </is>
      </c>
      <c r="E26" s="4" t="inlineStr">
        <is>
          <t>モデル出力を用途別ポリシーで検証し、機密情報・危険内容・許可外形式を遮断している</t>
        </is>
      </c>
      <c r="F26" s="4" t="inlineStr">
        <is>
          <t>出力先ごとのスキーマ、機密情報、コンテンツ安全性、許可操作の検証があり、違反出力が利用者やツールへ渡らない</t>
        </is>
      </c>
      <c r="G26" s="4" t="inlineStr">
        <is>
          <t>モデルが生成した不正・機密内容の後段流出を防ぐ。</t>
        </is>
      </c>
      <c r="H26" s="4" t="inlineStr">
        <is>
          <t>AWS: Generative AI Lens &gt; Security &gt; GENSEC04-BP02 Sanitize and validate user inputs to foundation models | GCP: AI and ML perspective - Security &gt; Verify and protect inputs &gt; Implement practices to secure generative AI systems | Azure: Responsible AI in Azure Workloads &gt; Inspect incoming and outgoing data / Test and Evaluate AI Workloads on Azure &gt; Test the security aspects(Jailbreak testing)</t>
        </is>
      </c>
      <c r="I26" s="4" t="inlineStr">
        <is>
          <t>AI-CONDITIONAL</t>
        </is>
      </c>
      <c r="J26" s="4" t="inlineStr">
        <is>
          <t>AI/MLを含む案件に適用。従来型ML・生成AI・エージェントAIの種別ごとにN/Aを判断。</t>
        </is>
      </c>
      <c r="K26" s="4" t="inlineStr">
        <is>
          <t>SRC-AWS-GENAI;SRC-GCP-AIML;SRC-AZR-AI</t>
        </is>
      </c>
      <c r="L26" s="4" t="inlineStr"/>
      <c r="M26" s="4" t="n"/>
      <c r="N26" s="4" t="n"/>
      <c r="O26" s="4" t="n"/>
      <c r="P26" s="4" t="n"/>
      <c r="Q26" s="4" t="n"/>
      <c r="R26" s="4" t="n"/>
      <c r="S26" s="4" t="n"/>
      <c r="T26" s="4" t="n"/>
      <c r="U26" s="4" t="n"/>
      <c r="V26" s="4" t="n"/>
      <c r="W26" s="4" t="n"/>
    </row>
    <row r="27">
      <c r="A27" s="5" t="inlineStr">
        <is>
          <t>AI-059</t>
        </is>
      </c>
      <c r="B27" s="5" t="inlineStr">
        <is>
          <t>WAF</t>
        </is>
      </c>
      <c r="C27" s="4" t="inlineStr">
        <is>
          <t>セキュリティ</t>
        </is>
      </c>
      <c r="D27" s="8" t="inlineStr">
        <is>
          <t>Critical</t>
        </is>
      </c>
      <c r="E27" s="4" t="inlineStr">
        <is>
          <t>プロンプトインジェクションとジェイルブレイクの攻撃テストを継続実施している</t>
        </is>
      </c>
      <c r="F27" s="4" t="inlineStr">
        <is>
          <t>直接・間接・多段・難読化攻撃を含むテストセット、実行頻度、結果、残余リスクが記録されている</t>
        </is>
      </c>
      <c r="G27" s="4" t="inlineStr">
        <is>
          <t>多層防御が実際の攻撃変種に耐えるかを継続確認する。</t>
        </is>
      </c>
      <c r="H27" s="4" t="inlineStr">
        <is>
          <t>AWS: Generative AI Lens &gt; Security &gt; GENSEC04-BP02 Sanitize and validate user inputs to foundation models | GCP: AI and ML perspective - Security &gt; Verify and protect inputs &gt; Implement practices to secure generative AI systems | Azure: Responsible AI in Azure Workloads &gt; Inspect incoming and outgoing data / Test and Evaluate AI Workloads on Azure &gt; Test the security aspects(Jailbreak testing)</t>
        </is>
      </c>
      <c r="I27" s="4" t="inlineStr">
        <is>
          <t>AI-CONDITIONAL</t>
        </is>
      </c>
      <c r="J27" s="4" t="inlineStr">
        <is>
          <t>AI/MLを含む案件に適用。従来型ML・生成AI・エージェントAIの種別ごとにN/Aを判断。</t>
        </is>
      </c>
      <c r="K27" s="4" t="inlineStr">
        <is>
          <t>SRC-AWS-GENAI;SRC-GCP-AIML;SRC-AZR-AI</t>
        </is>
      </c>
      <c r="L27" s="4" t="inlineStr">
        <is>
          <t>AI-PROMPT-SEC</t>
        </is>
      </c>
      <c r="M27" s="4" t="n"/>
      <c r="N27" s="4" t="n"/>
      <c r="O27" s="4" t="n"/>
      <c r="P27" s="4" t="n"/>
      <c r="Q27" s="4" t="n"/>
      <c r="R27" s="4" t="n"/>
      <c r="S27" s="4" t="n"/>
      <c r="T27" s="4" t="n"/>
      <c r="U27" s="4" t="n"/>
      <c r="V27" s="4" t="n"/>
      <c r="W27" s="4" t="n"/>
    </row>
    <row r="28">
      <c r="A28" s="5" t="inlineStr">
        <is>
          <t>AI-015</t>
        </is>
      </c>
      <c r="B28" s="5" t="inlineStr">
        <is>
          <t>WAF</t>
        </is>
      </c>
      <c r="C28" s="4" t="inlineStr">
        <is>
          <t>セキュリティ</t>
        </is>
      </c>
      <c r="D28" s="8" t="inlineStr">
        <is>
          <t>Critical</t>
        </is>
      </c>
      <c r="E28" s="4" t="inlineStr">
        <is>
          <t>有害・偏向・不正確な出力を軽減するガードレール(コンテンツフィルタ、拒否トピック、PIIマスキング)を入力・出力の双方に適用し、コンテンツモデレーションをライフサイクル全段階に統合しているか</t>
        </is>
      </c>
      <c r="F28" s="4" t="inlineStr">
        <is>
          <t>全推論経路にリアルタイムの入出力フィルタ(遮断カテゴリと閾値を文書化)が適用され、マルチモーダル形式も対象とし、ブロック事象が記録・レビューされている</t>
        </is>
      </c>
      <c r="G28" s="4" t="inlineStr">
        <is>
          <t>未制御の有害出力が利用者に届き、実害・法的問題・ブランド毀損を招くことを防ぐ。</t>
        </is>
      </c>
      <c r="H28" s="4" t="inlineStr">
        <is>
          <t>AWS: Generative AI Lens &gt; Security &gt; GENSEC02-BP01 Implement guardrails to mitigate harmful or incorrect model responses | GCP: AI and ML perspective - Security &gt; Monitor, evaluate, and prepare to respond to outputs &gt; Implement safety filters and content screening | Azure: Design Principles for AI Workloads on Azure &gt; Security &gt; Earn user trust / Responsible AI in Azure Workloads &gt; Operationalize content safety measures</t>
        </is>
      </c>
      <c r="I28" s="4" t="inlineStr">
        <is>
          <t>AI-CONDITIONAL</t>
        </is>
      </c>
      <c r="J28" s="4" t="inlineStr">
        <is>
          <t>AI/MLを含む案件に適用。従来型ML・生成AI・エージェントAIの種別ごとにN/Aを判断。</t>
        </is>
      </c>
      <c r="K28" s="4" t="inlineStr">
        <is>
          <t>SRC-AWS-GENAI;SRC-GCP-AIML;SRC-AZR-AI</t>
        </is>
      </c>
      <c r="L28" s="4" t="inlineStr">
        <is>
          <t>PRIVACY</t>
        </is>
      </c>
      <c r="M28" s="4" t="n"/>
      <c r="N28" s="4" t="n"/>
      <c r="O28" s="4" t="n"/>
      <c r="P28" s="4" t="n"/>
      <c r="Q28" s="4" t="n"/>
      <c r="R28" s="4" t="n"/>
      <c r="S28" s="4" t="n"/>
      <c r="T28" s="4" t="n"/>
      <c r="U28" s="4" t="n"/>
      <c r="V28" s="4" t="n"/>
      <c r="W28" s="4" t="n"/>
    </row>
    <row r="29">
      <c r="A29" s="5" t="inlineStr">
        <is>
          <t>AI-016</t>
        </is>
      </c>
      <c r="B29" s="5" t="inlineStr">
        <is>
          <t>WAF</t>
        </is>
      </c>
      <c r="C29" s="4" t="inlineStr">
        <is>
          <t>セキュリティ</t>
        </is>
      </c>
      <c r="D29" s="8" t="inlineStr">
        <is>
          <t>Critical</t>
        </is>
      </c>
      <c r="E29" s="4" t="inlineStr">
        <is>
          <t>すべての推論エンドポイント(システム間通信含む)に認証を必須とし、匿名エンドポイントを排除し、公開する機能・応答に含める情報を必要最小限に制約したAPI設計にしているか</t>
        </is>
      </c>
      <c r="F29" s="4" t="inlineStr">
        <is>
          <t>匿名アクセス可能なAIエンドポイントが存在せず、公開する機能・データが必要最小限である</t>
        </is>
      </c>
      <c r="G29" s="4" t="inlineStr">
        <is>
          <t>認証のない推論エンドポイントは、推論資源の不正利用と情報漏えいの起点になる。</t>
        </is>
      </c>
      <c r="H29" s="4" t="inlineStr">
        <is>
          <t>Azure: Design Principles for AI Workloads on Azure &gt; Security &gt; Reduce the attack surface by enforcing strict user access and API design</t>
        </is>
      </c>
      <c r="I29" s="4" t="inlineStr">
        <is>
          <t>AI-CONDITIONAL</t>
        </is>
      </c>
      <c r="J29" s="4" t="inlineStr">
        <is>
          <t>AI/MLを含む案件に適用。従来型ML・生成AI・エージェントAIの種別ごとにN/Aを判断。</t>
        </is>
      </c>
      <c r="K29" s="4" t="inlineStr">
        <is>
          <t>SRC-AZR-AI</t>
        </is>
      </c>
      <c r="L29" s="4" t="inlineStr">
        <is>
          <t>SEC-IAM</t>
        </is>
      </c>
      <c r="M29" s="4" t="n"/>
      <c r="N29" s="4" t="n"/>
      <c r="O29" s="4" t="n"/>
      <c r="P29" s="4" t="n"/>
      <c r="Q29" s="4" t="n"/>
      <c r="R29" s="4" t="n"/>
      <c r="S29" s="4" t="n"/>
      <c r="T29" s="4" t="n"/>
      <c r="U29" s="4" t="n"/>
      <c r="V29" s="4" t="n"/>
      <c r="W29" s="4" t="n"/>
    </row>
    <row r="30">
      <c r="A30" s="5" t="inlineStr">
        <is>
          <t>AI-017</t>
        </is>
      </c>
      <c r="B30" s="5" t="inlineStr">
        <is>
          <t>WAF</t>
        </is>
      </c>
      <c r="C30" s="4" t="inlineStr">
        <is>
          <t>セキュリティ</t>
        </is>
      </c>
      <c r="D30" s="8" t="inlineStr">
        <is>
          <t>Critical</t>
        </is>
      </c>
      <c r="E30" s="4" t="inlineStr">
        <is>
          <t>データセット・特徴量・モデル成果物・推論エンドポイント・パイプラインへのアクセスに、コントロールプレーン/データプレーン双方でロールベースの最小権限(RBAC/ABAC)を適用しているか</t>
        </is>
      </c>
      <c r="F30" s="4" t="inlineStr">
        <is>
          <t>AI資産ごとのアクセス権限一覧がレビューされ、ワイルドカード権限・過剰権限が定期的に検出・是正されている</t>
        </is>
      </c>
      <c r="G30" s="4" t="inlineStr">
        <is>
          <t>過剰権限はモデル経由の機密データ漏えいと、データ・モデルの窃取・改ざんの最短経路になる。</t>
        </is>
      </c>
      <c r="H30" s="4" t="inlineStr">
        <is>
          <t>AWS: Generative AI Lens &gt; Security &gt; GENSEC01-BP01 / GENSEC01-BP03 | GCP: AI and ML perspective - Security &gt; Keep data secure and prevent loss or mishandling &gt; Implement RBAC with least privilege | Azure: Design Principles for AI Workloads on Azure &gt; Security &gt; Invest in robust access management</t>
        </is>
      </c>
      <c r="I30" s="4" t="inlineStr">
        <is>
          <t>AI-CONDITIONAL</t>
        </is>
      </c>
      <c r="J30" s="4" t="inlineStr">
        <is>
          <t>AI/MLを含む案件に適用。従来型ML・生成AI・エージェントAIの種別ごとにN/Aを判断。</t>
        </is>
      </c>
      <c r="K30" s="4" t="inlineStr">
        <is>
          <t>SRC-AWS-GENAI;SRC-GCP-AIML;SRC-AZR-AI</t>
        </is>
      </c>
      <c r="L30" s="4" t="inlineStr">
        <is>
          <t>SEC-IAM</t>
        </is>
      </c>
      <c r="M30" s="4" t="n"/>
      <c r="N30" s="4" t="n"/>
      <c r="O30" s="4" t="n"/>
      <c r="P30" s="4" t="n"/>
      <c r="Q30" s="4" t="n"/>
      <c r="R30" s="4" t="n"/>
      <c r="S30" s="4" t="n"/>
      <c r="T30" s="4" t="n"/>
      <c r="U30" s="4" t="n"/>
      <c r="V30" s="4" t="n"/>
      <c r="W30" s="4" t="n"/>
    </row>
    <row r="31">
      <c r="A31" s="5" t="inlineStr">
        <is>
          <t>AI-018</t>
        </is>
      </c>
      <c r="B31" s="5" t="inlineStr">
        <is>
          <t>WAF</t>
        </is>
      </c>
      <c r="C31" s="4" t="inlineStr">
        <is>
          <t>セキュリティ</t>
        </is>
      </c>
      <c r="D31" s="8" t="inlineStr">
        <is>
          <t>Critical</t>
        </is>
      </c>
      <c r="E31" s="4" t="inlineStr">
        <is>
          <t>検索・グラウンディング時にユーザー/テナントのアイデンティティと権限を伝播し、認可されたコンテンツのみを取得・応答生成に使用しているか(セキュリティトリミング)</t>
        </is>
      </c>
      <c r="F31" s="4" t="inlineStr">
        <is>
          <t>共有インデックス/知識ソースに対する権限ベースのフィルタリングが実装・テストされ、認可拒否が監査可能である</t>
        </is>
      </c>
      <c r="G31" s="4" t="inlineStr">
        <is>
          <t>AI応答経由で未認可の文書・データが漏えいすることを防ぐ。</t>
        </is>
      </c>
      <c r="H31" s="4" t="inlineStr">
        <is>
          <t>Azure: Application Design for AI Workloads on Azure &gt; Security-trimmed grounding / Grounding Data Design &gt; Index capabilities(security trimming)</t>
        </is>
      </c>
      <c r="I31" s="4" t="inlineStr">
        <is>
          <t>AI-CONDITIONAL</t>
        </is>
      </c>
      <c r="J31" s="4" t="inlineStr">
        <is>
          <t>AI/MLを含む案件に適用。従来型ML・生成AI・エージェントAIの種別ごとにN/Aを判断。</t>
        </is>
      </c>
      <c r="K31" s="4" t="inlineStr">
        <is>
          <t>SRC-AZR-AI</t>
        </is>
      </c>
      <c r="L31" s="4" t="inlineStr">
        <is>
          <t>SEC-IAM</t>
        </is>
      </c>
      <c r="M31" s="4" t="n"/>
      <c r="N31" s="4" t="n"/>
      <c r="O31" s="4" t="n"/>
      <c r="P31" s="4" t="n"/>
      <c r="Q31" s="4" t="n"/>
      <c r="R31" s="4" t="n"/>
      <c r="S31" s="4" t="n"/>
      <c r="T31" s="4" t="n"/>
      <c r="U31" s="4" t="n"/>
      <c r="V31" s="4" t="n"/>
      <c r="W31" s="4" t="n"/>
    </row>
    <row r="32">
      <c r="A32" s="5" t="inlineStr">
        <is>
          <t>AI-019</t>
        </is>
      </c>
      <c r="B32" s="5" t="inlineStr">
        <is>
          <t>WAF</t>
        </is>
      </c>
      <c r="C32" s="4" t="inlineStr">
        <is>
          <t>セキュリティ</t>
        </is>
      </c>
      <c r="D32" s="8" t="inlineStr">
        <is>
          <t>Critical</t>
        </is>
      </c>
      <c r="E32" s="4" t="inlineStr">
        <is>
          <t>自律エージェントが実行できるツール・操作を最小権限で制限し、高リスクアクション前の人間の承認(human-in-the-loop)、独立した監視・自動停止機構(サーキットブレーカー)、活動の完全な監査ログを実装しているか</t>
        </is>
      </c>
      <c r="F32" s="4" t="inlineStr">
        <is>
          <t>ツール許可リスト・権限境界・重要操作の承認フロー・多層ガードレールが構成され、エージェントが破壊的操作を単独実行できず、人間がいつでも実行を中断・上書きできる</t>
        </is>
      </c>
      <c r="G32" s="4" t="inlineStr">
        <is>
          <t>エージェントの自律的な誤動作・暴走による不正な業務実行・データ破壊を止められないことを防ぐ。</t>
        </is>
      </c>
      <c r="H32" s="4" t="inlineStr">
        <is>
          <t>AWS: Generative AI Lens &gt; Security &gt; GENSEC05-BP01 Implement least privilege access and permissions boundaries for agentic workflows | Azure: Responsible AI in Azure Workloads &gt; Implement agentic AI safeguards</t>
        </is>
      </c>
      <c r="I32" s="4" t="inlineStr">
        <is>
          <t>AI-CONDITIONAL</t>
        </is>
      </c>
      <c r="J32" s="4" t="inlineStr">
        <is>
          <t>AI/MLを含む案件に適用。従来型ML・生成AI・エージェントAIの種別ごとにN/Aを判断。</t>
        </is>
      </c>
      <c r="K32" s="4" t="inlineStr">
        <is>
          <t>SRC-AWS-GENAI;SRC-AZR-AI</t>
        </is>
      </c>
      <c r="L32" s="4" t="inlineStr">
        <is>
          <t>SEC-IAM;OPS-OBSERVABILITY</t>
        </is>
      </c>
      <c r="M32" s="4" t="n"/>
      <c r="N32" s="4" t="n"/>
      <c r="O32" s="4" t="n"/>
      <c r="P32" s="4" t="n"/>
      <c r="Q32" s="4" t="n"/>
      <c r="R32" s="4" t="n"/>
      <c r="S32" s="4" t="n"/>
      <c r="T32" s="4" t="n"/>
      <c r="U32" s="4" t="n"/>
      <c r="V32" s="4" t="n"/>
      <c r="W32" s="4" t="n"/>
    </row>
    <row r="33">
      <c r="A33" s="5" t="inlineStr">
        <is>
          <t>AI-020</t>
        </is>
      </c>
      <c r="B33" s="5" t="inlineStr">
        <is>
          <t>WAF</t>
        </is>
      </c>
      <c r="C33" s="4" t="inlineStr">
        <is>
          <t>セキュリティ</t>
        </is>
      </c>
      <c r="D33" s="8" t="inlineStr">
        <is>
          <t>Critical</t>
        </is>
      </c>
      <c r="E33" s="4" t="inlineStr">
        <is>
          <t>学習・カスタマイズ・RAG取り込みデータへの悪意ある混入(データポイズニング)に対し、データソースの出所検証・統計的異常検知・浄化フィルタ・人手レビュー・パイプライン監視を組み合わせているか</t>
        </is>
      </c>
      <c r="F33" s="4" t="inlineStr">
        <is>
          <t>外部由来・ユーザー生成データを学習・取り込みに使う経路に、信頼性検証・異常検知・レビューのゲートと浄化フィルタの適用記録が存在する</t>
        </is>
      </c>
      <c r="G33" s="4" t="inlineStr">
        <is>
          <t>汚染データは検出困難な形でモデル・ナレッジベースの判断を歪め、バックドアや偏向・有害出力の源として機能し得る。</t>
        </is>
      </c>
      <c r="H33" s="4" t="inlineStr">
        <is>
          <t>AWS: Generative AI Lens &gt; Security &gt; GENSEC06-BP01 Implement data purification filters for model training workflows | GCP: AI and ML perspective - Security &gt; Keep data secure and prevent loss or mishandling &gt; Guard against data poisoning</t>
        </is>
      </c>
      <c r="I33" s="4" t="inlineStr">
        <is>
          <t>AI-CONDITIONAL</t>
        </is>
      </c>
      <c r="J33" s="4" t="inlineStr">
        <is>
          <t>AI/MLを含む案件に適用。従来型ML・生成AI・エージェントAIの種別ごとにN/Aを判断。</t>
        </is>
      </c>
      <c r="K33" s="4" t="inlineStr">
        <is>
          <t>SRC-AWS-GENAI;SRC-GCP-AIML;SRC-ISO-GENERAL</t>
        </is>
      </c>
      <c r="L33" s="4" t="inlineStr">
        <is>
          <t>OPS-OBSERVABILITY</t>
        </is>
      </c>
      <c r="M33" s="4" t="n"/>
      <c r="N33" s="4" t="n"/>
      <c r="O33" s="4" t="n"/>
      <c r="P33" s="4" t="n"/>
      <c r="Q33" s="4" t="n"/>
      <c r="R33" s="4" t="n"/>
      <c r="S33" s="4" t="n"/>
      <c r="T33" s="4" t="n"/>
      <c r="U33" s="4" t="n"/>
      <c r="V33" s="4" t="n"/>
      <c r="W33" s="4" t="n"/>
    </row>
    <row r="34">
      <c r="A34" s="5" t="inlineStr">
        <is>
          <t>AI-021</t>
        </is>
      </c>
      <c r="B34" s="5" t="inlineStr">
        <is>
          <t>WAF</t>
        </is>
      </c>
      <c r="C34" s="4" t="inlineStr">
        <is>
          <t>セキュリティ</t>
        </is>
      </c>
      <c r="D34" s="9" t="inlineStr">
        <is>
          <t>High</t>
        </is>
      </c>
      <c r="E34" s="4" t="inlineStr">
        <is>
          <t>全データストアで保存時・転送時の暗号化(必要に応じ二重暗号化・カスタマーマネージドキー)を適用し、モデル自体からの学習データ抽出を防ぐようモデル資産へのアクセスを厳格に保護しているか</t>
        </is>
      </c>
      <c r="F34" s="4" t="inlineStr">
        <is>
          <t>全経路のHTTPS/TLS終端点が特定され、機微度に応じた暗号化レベルが文書化され、モデル資産へのアクセスが厳格に制限されている</t>
        </is>
      </c>
      <c r="G34" s="4" t="inlineStr">
        <is>
          <t>モデルから訓練に使われた機微情報が抽出され、データ漏えいが発生することを防ぐ。</t>
        </is>
      </c>
      <c r="H34" s="4" t="inlineStr">
        <is>
          <t>Azure: Design Principles for AI Workloads on Azure &gt; Security &gt; Protect data at rest, in transit, and in use</t>
        </is>
      </c>
      <c r="I34" s="4" t="inlineStr">
        <is>
          <t>AI-CONDITIONAL</t>
        </is>
      </c>
      <c r="J34" s="4" t="inlineStr">
        <is>
          <t>AI/MLを含む案件に適用。従来型ML・生成AI・エージェントAIの種別ごとにN/Aを判断。</t>
        </is>
      </c>
      <c r="K34" s="4" t="inlineStr">
        <is>
          <t>SRC-AZR-AI</t>
        </is>
      </c>
      <c r="L34" s="4" t="inlineStr">
        <is>
          <t>SEC-CRYPTO</t>
        </is>
      </c>
      <c r="M34" s="4" t="n"/>
      <c r="N34" s="4" t="n"/>
      <c r="O34" s="4" t="n"/>
      <c r="P34" s="4" t="n"/>
      <c r="Q34" s="4" t="n"/>
      <c r="R34" s="4" t="n"/>
      <c r="S34" s="4" t="n"/>
      <c r="T34" s="4" t="n"/>
      <c r="U34" s="4" t="n"/>
      <c r="V34" s="4" t="n"/>
      <c r="W34" s="4" t="n"/>
    </row>
    <row r="35">
      <c r="A35" s="5" t="inlineStr">
        <is>
          <t>AI-022</t>
        </is>
      </c>
      <c r="B35" s="5" t="inlineStr">
        <is>
          <t>WAF</t>
        </is>
      </c>
      <c r="C35" s="4" t="inlineStr">
        <is>
          <t>セキュリティ</t>
        </is>
      </c>
      <c r="D35" s="9" t="inlineStr">
        <is>
          <t>High</t>
        </is>
      </c>
      <c r="E35" s="4" t="inlineStr">
        <is>
          <t>モデル・コンテナ・依存ライブラリについて、由来証明・署名・脆弱性スキャン・検証済みベースイメージの使用を徹底し、AI成果物のサプライチェーン完全性を確保しているか</t>
        </is>
      </c>
      <c r="F35" s="4" t="inlineStr">
        <is>
          <t>SLSA等のフレームワークに沿ったビルド由来証明と署名検証がデプロイ条件になっている</t>
        </is>
      </c>
      <c r="G35" s="4" t="inlineStr">
        <is>
          <t>検証されない成果物は、改ざんモデル・悪意あるコードの本番混入経路になる。</t>
        </is>
      </c>
      <c r="H35" s="4" t="inlineStr">
        <is>
          <t>GCP: AI and ML perspective - Security &gt; Deploy on secure systems with secure tools and artifacts &gt; Follow SLSA guidelines for AI artifacts</t>
        </is>
      </c>
      <c r="I35" s="4" t="inlineStr">
        <is>
          <t>AI-CONDITIONAL</t>
        </is>
      </c>
      <c r="J35" s="4" t="inlineStr">
        <is>
          <t>AI/MLを含む案件に適用。従来型ML・生成AI・エージェントAIの種別ごとにN/Aを判断。</t>
        </is>
      </c>
      <c r="K35" s="4" t="inlineStr">
        <is>
          <t>SRC-GCP-AIML</t>
        </is>
      </c>
      <c r="L35" s="4" t="inlineStr">
        <is>
          <t>SEC-SUPPLY-CHAIN</t>
        </is>
      </c>
      <c r="M35" s="4" t="n"/>
      <c r="N35" s="4" t="n"/>
      <c r="O35" s="4" t="n"/>
      <c r="P35" s="4" t="n"/>
      <c r="Q35" s="4" t="n"/>
      <c r="R35" s="4" t="n"/>
      <c r="S35" s="4" t="n"/>
      <c r="T35" s="4" t="n"/>
      <c r="U35" s="4" t="n"/>
      <c r="V35" s="4" t="n"/>
      <c r="W35" s="4" t="n"/>
    </row>
    <row r="36">
      <c r="A36" s="5" t="inlineStr">
        <is>
          <t>AI-023</t>
        </is>
      </c>
      <c r="B36" s="5" t="inlineStr">
        <is>
          <t>WAF</t>
        </is>
      </c>
      <c r="C36" s="4" t="inlineStr">
        <is>
          <t>セキュリティ</t>
        </is>
      </c>
      <c r="D36" s="9" t="inlineStr">
        <is>
          <t>High</t>
        </is>
      </c>
      <c r="E36" s="4" t="inlineStr">
        <is>
          <t>推論エンドポイントを既存のセキュリティテスト(ペネトレーションテスト等)に組み込み、リリース前および定期的に敵対的入力・ジェイルブレイク・モデル操作に対するレッドチーム演習と自動堅牢性テストを実施しているか</t>
        </is>
      </c>
      <c r="F36" s="4" t="inlineStr">
        <is>
          <t>レッドチーム演習の実施記録と是正、CIに組み込まれた自動堅牢性テスト、変更導入時の非倫理的挙動検出テストが確認できる</t>
        </is>
      </c>
      <c r="G36" s="4" t="inlineStr">
        <is>
          <t>攻撃者視点の検証がないと、AI特有の脆弱性(モデル操作・データ抽出)は本番の攻撃で初めて発覚する。</t>
        </is>
      </c>
      <c r="H36" s="4" t="inlineStr">
        <is>
          <t>GCP: AI and ML perspective - Security &gt; Verify and protect inputs(red team testing, automated robustness tests) | Azure: Design Principles for AI Workloads on Azure &gt; Security &gt; Conduct security testing / Responsible AI &gt; Operationalize content safety measures(Identify and mitigate threats)</t>
        </is>
      </c>
      <c r="I36" s="4" t="inlineStr">
        <is>
          <t>AI-CONDITIONAL</t>
        </is>
      </c>
      <c r="J36" s="4" t="inlineStr">
        <is>
          <t>AI/MLを含む案件に適用。従来型ML・生成AI・エージェントAIの種別ごとにN/Aを判断。</t>
        </is>
      </c>
      <c r="K36" s="4" t="inlineStr">
        <is>
          <t>SRC-GCP-AIML;SRC-AZR-AI</t>
        </is>
      </c>
      <c r="L36" s="4" t="inlineStr">
        <is>
          <t>AI-PROMPT-SEC</t>
        </is>
      </c>
      <c r="M36" s="4" t="n"/>
      <c r="N36" s="4" t="n"/>
      <c r="O36" s="4" t="n"/>
      <c r="P36" s="4" t="n"/>
      <c r="Q36" s="4" t="n"/>
      <c r="R36" s="4" t="n"/>
      <c r="S36" s="4" t="n"/>
      <c r="T36" s="4" t="n"/>
      <c r="U36" s="4" t="n"/>
      <c r="V36" s="4" t="n"/>
      <c r="W36" s="4" t="n"/>
    </row>
    <row r="37">
      <c r="A37" s="5" t="inlineStr">
        <is>
          <t>AI-024</t>
        </is>
      </c>
      <c r="B37" s="5" t="inlineStr">
        <is>
          <t>WAF</t>
        </is>
      </c>
      <c r="C37" s="4" t="inlineStr">
        <is>
          <t>セキュリティ</t>
        </is>
      </c>
      <c r="D37" s="10" t="inlineStr">
        <is>
          <t>Medium</t>
        </is>
      </c>
      <c r="E37" s="4" t="inlineStr">
        <is>
          <t>システムプロンプトを機密として扱い、アクセス制御された場所(セキュアなプロンプトカタログ)で管理しているか</t>
        </is>
      </c>
      <c r="F37" s="4" t="inlineStr">
        <is>
          <t>システムプロンプトの保管場所にアクセス制御があり、コード中への平文埋め込みがない</t>
        </is>
      </c>
      <c r="G37" s="4" t="inlineStr">
        <is>
          <t>システムプロンプト漏えいがガードレール回避・模倣攻撃の足掛かりになることを防ぐ。</t>
        </is>
      </c>
      <c r="H37" s="4" t="inlineStr">
        <is>
          <t>AWS: Generative AI Lens &gt; Security &gt; GENSEC04-BP01 Implement a secure prompt catalog</t>
        </is>
      </c>
      <c r="I37" s="4" t="inlineStr">
        <is>
          <t>AI-CONDITIONAL</t>
        </is>
      </c>
      <c r="J37" s="4" t="inlineStr">
        <is>
          <t>AI/MLを含む案件に適用。従来型ML・生成AI・エージェントAIの種別ごとにN/Aを判断。</t>
        </is>
      </c>
      <c r="K37" s="4" t="inlineStr">
        <is>
          <t>SRC-AWS-GENAI</t>
        </is>
      </c>
      <c r="L37" s="4" t="inlineStr">
        <is>
          <t>OPS-OBSERVABILITY</t>
        </is>
      </c>
      <c r="M37" s="4" t="n"/>
      <c r="N37" s="4" t="n"/>
      <c r="O37" s="4" t="n"/>
      <c r="P37" s="4" t="n"/>
      <c r="Q37" s="4" t="n"/>
      <c r="R37" s="4" t="n"/>
      <c r="S37" s="4" t="n"/>
      <c r="T37" s="4" t="n"/>
      <c r="U37" s="4" t="n"/>
      <c r="V37" s="4" t="n"/>
      <c r="W37" s="4" t="n"/>
    </row>
    <row r="38">
      <c r="A38" s="5" t="inlineStr">
        <is>
          <t>AI-025</t>
        </is>
      </c>
      <c r="B38" s="5" t="inlineStr">
        <is>
          <t>WAF</t>
        </is>
      </c>
      <c r="C38" s="4" t="inlineStr">
        <is>
          <t>セキュリティ</t>
        </is>
      </c>
      <c r="D38" s="9" t="inlineStr">
        <is>
          <t>High</t>
        </is>
      </c>
      <c r="E38" s="4" t="inlineStr">
        <is>
          <t>AIサービスの管理操作・モデルデプロイ変更・モデル呼び出し(入力・出力)・データアクセスを監査可能な形で記録し、コンプライアンス要件に応じて改ざん防止された形で保持しているか</t>
        </is>
      </c>
      <c r="F38" s="4" t="inlineStr">
        <is>
          <t>管理イベントと推論イベントのログ取得範囲・保持期間が要件と対応付けて定義され、改ざん防止された形で保管され、アクセス手順が定義されている</t>
        </is>
      </c>
      <c r="G38" s="4" t="inlineStr">
        <is>
          <t>証跡がないと、インシデント時に「誰が何を入力し何が出力されたか」を追跡できず、不正利用の調査と規制当局への説明が不可能になる。</t>
        </is>
      </c>
      <c r="H38" s="4" t="inlineStr">
        <is>
          <t>AWS: Generative AI Lens &gt; Security &gt; GENSEC03-BP01 / GENSEC01-BP04 | GCP: AI and ML perspective - Security &gt; Monitor, evaluate, and prepare to respond to outputs &gt; Establish audit trails</t>
        </is>
      </c>
      <c r="I38" s="4" t="inlineStr">
        <is>
          <t>AI-CONDITIONAL</t>
        </is>
      </c>
      <c r="J38" s="4" t="inlineStr">
        <is>
          <t>AI/MLを含む案件に適用。従来型ML・生成AI・エージェントAIの種別ごとにN/Aを判断。</t>
        </is>
      </c>
      <c r="K38" s="4" t="inlineStr">
        <is>
          <t>SRC-AWS-GENAI;SRC-GCP-AIML</t>
        </is>
      </c>
      <c r="L38" s="4" t="inlineStr"/>
      <c r="M38" s="4" t="n"/>
      <c r="N38" s="4" t="n"/>
      <c r="O38" s="4" t="n"/>
      <c r="P38" s="4" t="n"/>
      <c r="Q38" s="4" t="n"/>
      <c r="R38" s="4" t="n"/>
      <c r="S38" s="4" t="n"/>
      <c r="T38" s="4" t="n"/>
      <c r="U38" s="4" t="n"/>
      <c r="V38" s="4" t="n"/>
      <c r="W38" s="4" t="n"/>
    </row>
    <row r="39">
      <c r="A39" s="5" t="inlineStr">
        <is>
          <t>AI-026</t>
        </is>
      </c>
      <c r="B39" s="5" t="inlineStr">
        <is>
          <t>WAF</t>
        </is>
      </c>
      <c r="C39" s="4" t="inlineStr">
        <is>
          <t>セキュリティ</t>
        </is>
      </c>
      <c r="D39" s="10" t="inlineStr">
        <is>
          <t>Medium</t>
        </is>
      </c>
      <c r="E39" s="4" t="inlineStr">
        <is>
          <t>クライアント層を薄く保ってAI処理・レート制限・フェイルオーバーをバックエンドに集約し、クライアント/インテリジェンス/推論/知識/ツールの各層が独自のポリシー・アイデンティティ・キャッシュ戦略を持つ境界設計になっているか</t>
        </is>
      </c>
      <c r="F39" s="4" t="inlineStr">
        <is>
          <t>アーキテクチャ図で各層の境界とポリシー実施点が識別でき、クライアントにAIロジックや秘密情報が置かれていない</t>
        </is>
      </c>
      <c r="G39" s="4" t="inlineStr">
        <is>
          <t>変更影響範囲(blast radius)の拡大と、セキュリティ制御をクライアント側に依存する脆弱な設計を防ぐ。</t>
        </is>
      </c>
      <c r="H39" s="4" t="inlineStr">
        <is>
          <t>Azure: Application Design for AI Workloads on Azure &gt; Application layer architecture / Recommendations(Keep intelligence away from the client / Isolate behaviors and actions)</t>
        </is>
      </c>
      <c r="I39" s="4" t="inlineStr">
        <is>
          <t>AI-CONDITIONAL</t>
        </is>
      </c>
      <c r="J39" s="4" t="inlineStr">
        <is>
          <t>AI/MLを含む案件に適用。従来型ML・生成AI・エージェントAIの種別ごとにN/Aを判断。</t>
        </is>
      </c>
      <c r="K39" s="4" t="inlineStr">
        <is>
          <t>SRC-AZR-AI;SRC-ISO-GENERAL</t>
        </is>
      </c>
      <c r="L39" s="4" t="inlineStr">
        <is>
          <t>RELIABILITY-HA</t>
        </is>
      </c>
      <c r="M39" s="4" t="n"/>
      <c r="N39" s="4" t="n"/>
      <c r="O39" s="4" t="n"/>
      <c r="P39" s="4" t="n"/>
      <c r="Q39" s="4" t="n"/>
      <c r="R39" s="4" t="n"/>
      <c r="S39" s="4" t="n"/>
      <c r="T39" s="4" t="n"/>
      <c r="U39" s="4" t="n"/>
      <c r="V39" s="4" t="n"/>
      <c r="W39" s="4" t="n"/>
    </row>
    <row r="40">
      <c r="A40" s="5" t="inlineStr">
        <is>
          <t>AI-027</t>
        </is>
      </c>
      <c r="B40" s="5" t="inlineStr">
        <is>
          <t>WAF</t>
        </is>
      </c>
      <c r="C40" s="4" t="inlineStr">
        <is>
          <t>デプロイ・GenAIOps</t>
        </is>
      </c>
      <c r="D40" s="10" t="inlineStr">
        <is>
          <t>Medium</t>
        </is>
      </c>
      <c r="E40" s="4" t="inlineStr">
        <is>
          <t>AI/MLインフラ(学習クラスタ、エンドポイント、ストレージ)をIaCで管理し、プロンプト・モデル・アプリの変更を自動評価ゲート付きCI/CDパイプラインでデプロイしているか</t>
        </is>
      </c>
      <c r="F40" s="4" t="inlineStr">
        <is>
          <t>本番AIインフラがIaC定義から再現可能で、変更が評価ゲート付きCI/CDを通過してデプロイされ、ロールバック可能である</t>
        </is>
      </c>
      <c r="G40" s="4" t="inlineStr">
        <is>
          <t>手作業運用による環境差異・構成ドリフト・評価漏れ・リリース事故を防ぐ。</t>
        </is>
      </c>
      <c r="H40" s="4" t="inlineStr">
        <is>
          <t>AWS: Generative AI Lens &gt; Operational excellence &gt; GENOPS04-BP01 / GENOPS04-BP02 | GCP: AI and ML perspective - Reliability &gt; Adopt an automated end-to-end MLOps platform &gt; Manage infrastructure as code</t>
        </is>
      </c>
      <c r="I40" s="4" t="inlineStr">
        <is>
          <t>AI-CONDITIONAL</t>
        </is>
      </c>
      <c r="J40" s="4" t="inlineStr">
        <is>
          <t>AI/MLを含む案件に適用。従来型ML・生成AI・エージェントAIの種別ごとにN/Aを判断。</t>
        </is>
      </c>
      <c r="K40" s="4" t="inlineStr">
        <is>
          <t>SRC-AWS-GENAI;SRC-GCP-AIML</t>
        </is>
      </c>
      <c r="L40" s="4" t="inlineStr">
        <is>
          <t>OPS-IAC</t>
        </is>
      </c>
      <c r="M40" s="4" t="n"/>
      <c r="N40" s="4" t="n"/>
      <c r="O40" s="4" t="n"/>
      <c r="P40" s="4" t="n"/>
      <c r="Q40" s="4" t="n"/>
      <c r="R40" s="4" t="n"/>
      <c r="S40" s="4" t="n"/>
      <c r="T40" s="4" t="n"/>
      <c r="U40" s="4" t="n"/>
      <c r="V40" s="4" t="n"/>
      <c r="W40" s="4" t="n"/>
    </row>
    <row r="41">
      <c r="A41" s="5" t="inlineStr">
        <is>
          <t>AI-028</t>
        </is>
      </c>
      <c r="B41" s="5" t="inlineStr">
        <is>
          <t>WAF</t>
        </is>
      </c>
      <c r="C41" s="4" t="inlineStr">
        <is>
          <t>デプロイ・GenAIOps</t>
        </is>
      </c>
      <c r="D41" s="9" t="inlineStr">
        <is>
          <t>High</t>
        </is>
      </c>
      <c r="E41" s="4" t="inlineStr">
        <is>
          <t>モデル・インデックス・オーケストレーションコードの更新を段階的(カナリア/ブルーグリーン/トラフィック分割)にリリースし、性能閾値違反時の自動ロールバックとデプロイ前の品質検証ゲートを構成しているか</t>
        </is>
      </c>
      <c r="F41" s="4" t="inlineStr">
        <is>
          <t>デプロイ戦略に段階的展開・昇格条件・ロールバック条件がコンポーネント別に明記され、実運用で機能している</t>
        </is>
      </c>
      <c r="G41" s="4" t="inlineStr">
        <is>
          <t>一括リリースは欠陥モデル・不良インデックスの影響を全ユーザーに即時拡大させる。</t>
        </is>
      </c>
      <c r="H41" s="4" t="inlineStr">
        <is>
          <t>GCP: AI and ML perspective - Reliability &gt; Automate deployment and continuous monitoring &gt; Controlled deployment | Azure: Design Principles for AI Workloads on Azure &gt; Operational Excellence &gt; Implement safe deployments / MLOps and GenAIOps &gt; Deployment</t>
        </is>
      </c>
      <c r="I41" s="4" t="inlineStr">
        <is>
          <t>AI-CONDITIONAL</t>
        </is>
      </c>
      <c r="J41" s="4" t="inlineStr">
        <is>
          <t>AI/MLを含む案件に適用。従来型ML・生成AI・エージェントAIの種別ごとにN/Aを判断。</t>
        </is>
      </c>
      <c r="K41" s="4" t="inlineStr">
        <is>
          <t>SRC-GCP-AIML;SRC-AZR-AI</t>
        </is>
      </c>
      <c r="L41" s="4" t="inlineStr"/>
      <c r="M41" s="4" t="n"/>
      <c r="N41" s="4" t="n"/>
      <c r="O41" s="4" t="n"/>
      <c r="P41" s="4" t="n"/>
      <c r="Q41" s="4" t="n"/>
      <c r="R41" s="4" t="n"/>
      <c r="S41" s="4" t="n"/>
      <c r="T41" s="4" t="n"/>
      <c r="U41" s="4" t="n"/>
      <c r="V41" s="4" t="n"/>
      <c r="W41" s="4" t="n"/>
    </row>
    <row r="42">
      <c r="A42" s="5" t="inlineStr">
        <is>
          <t>AI-029</t>
        </is>
      </c>
      <c r="B42" s="5" t="inlineStr">
        <is>
          <t>WAF</t>
        </is>
      </c>
      <c r="C42" s="4" t="inlineStr">
        <is>
          <t>デプロイ・GenAIOps</t>
        </is>
      </c>
      <c r="D42" s="10" t="inlineStr">
        <is>
          <t>Medium</t>
        </is>
      </c>
      <c r="E42" s="4" t="inlineStr">
        <is>
          <t>プロンプトテンプレートをコードから外部化してバージョン管理し、変更を重要な構成変更として統制されたロールアウトで扱い、テレメトリ・評価結果とプロンプトバージョンを相関でき、任意時点へロールバックできるか</t>
        </is>
      </c>
      <c r="F42" s="4" t="inlineStr">
        <is>
          <t>全本番プロンプトがバージョン付きで管理され、変更時の統制されたロールアウトプロセスが定義され、任意時点の構成を再現できる</t>
        </is>
      </c>
      <c r="G42" s="4" t="inlineStr">
        <is>
          <t>プロンプト変更起因の品質・安全性の変動を追跡・原因特定・復旧できなくなることを防ぐ。</t>
        </is>
      </c>
      <c r="H42" s="4" t="inlineStr">
        <is>
          <t>AWS: Generative AI Lens &gt; Reliability &gt; GENREL04-BP01 / Operational excellence &gt; GENOPS03-BP01 | Azure: Application Design for AI Workloads on Azure &gt; Externalize prompts and configuration</t>
        </is>
      </c>
      <c r="I42" s="4" t="inlineStr">
        <is>
          <t>AI-CONDITIONAL</t>
        </is>
      </c>
      <c r="J42" s="4" t="inlineStr">
        <is>
          <t>AI/MLを含む案件に適用。従来型ML・生成AI・エージェントAIの種別ごとにN/Aを判断。</t>
        </is>
      </c>
      <c r="K42" s="4" t="inlineStr">
        <is>
          <t>SRC-AWS-GENAI;SRC-AZR-AI</t>
        </is>
      </c>
      <c r="L42" s="4" t="inlineStr"/>
      <c r="M42" s="4" t="n"/>
      <c r="N42" s="4" t="n"/>
      <c r="O42" s="4" t="n"/>
      <c r="P42" s="4" t="n"/>
      <c r="Q42" s="4" t="n"/>
      <c r="R42" s="4" t="n"/>
      <c r="S42" s="4" t="n"/>
      <c r="T42" s="4" t="n"/>
      <c r="U42" s="4" t="n"/>
      <c r="V42" s="4" t="n"/>
      <c r="W42" s="4" t="n"/>
    </row>
    <row r="43">
      <c r="A43" s="5" t="inlineStr">
        <is>
          <t>AI-030</t>
        </is>
      </c>
      <c r="B43" s="5" t="inlineStr">
        <is>
          <t>WAF</t>
        </is>
      </c>
      <c r="C43" s="4" t="inlineStr">
        <is>
          <t>デプロイ・GenAIOps</t>
        </is>
      </c>
      <c r="D43" s="10" t="inlineStr">
        <is>
          <t>Medium</t>
        </is>
      </c>
      <c r="E43" s="4" t="inlineStr">
        <is>
          <t>モデル、プロンプト、オーケストレーションコード、ライブラリ、コンテナイメージを一意に版管理している</t>
        </is>
      </c>
      <c r="F43" s="4" t="inlineStr">
        <is>
          <t>本番挙動を構成する全AI資産の不変な版識別子と変更履歴を取得できる</t>
        </is>
      </c>
      <c r="G43" s="4" t="inlineStr">
        <is>
          <t>暗黙更新や構成要素の組合せ不明による再現不能を防ぐ。</t>
        </is>
      </c>
      <c r="H43" s="4" t="inlineStr">
        <is>
          <t>AWS: Generative AI Lens &gt; Reliability &gt; GENREL04-BP02 Implement a model catalog | Azure: AI Workload Operations on Azure &gt; Embrace DevOps practices(Version control)</t>
        </is>
      </c>
      <c r="I43" s="4" t="inlineStr">
        <is>
          <t>AI-CONDITIONAL</t>
        </is>
      </c>
      <c r="J43" s="4" t="inlineStr">
        <is>
          <t>AI/MLを含む案件に適用。従来型ML・生成AI・エージェントAIの種別ごとにN/Aを判断。</t>
        </is>
      </c>
      <c r="K43" s="4" t="inlineStr">
        <is>
          <t>SRC-AWS-GENAI;SRC-AZR-AI</t>
        </is>
      </c>
      <c r="L43" s="4" t="inlineStr"/>
      <c r="M43" s="4" t="n"/>
      <c r="N43" s="4" t="n"/>
      <c r="O43" s="4" t="n"/>
      <c r="P43" s="4" t="n"/>
      <c r="Q43" s="4" t="n"/>
      <c r="R43" s="4" t="n"/>
      <c r="S43" s="4" t="n"/>
      <c r="T43" s="4" t="n"/>
      <c r="U43" s="4" t="n"/>
      <c r="V43" s="4" t="n"/>
      <c r="W43" s="4" t="n"/>
    </row>
    <row r="44">
      <c r="A44" s="5" t="inlineStr">
        <is>
          <t>AI-060</t>
        </is>
      </c>
      <c r="B44" s="5" t="inlineStr">
        <is>
          <t>WAF</t>
        </is>
      </c>
      <c r="C44" s="4" t="inlineStr">
        <is>
          <t>デプロイ・GenAIOps</t>
        </is>
      </c>
      <c r="D44" s="10" t="inlineStr">
        <is>
          <t>Medium</t>
        </is>
      </c>
      <c r="E44" s="4" t="inlineStr">
        <is>
          <t>モデルカタログにモデルID、出所、用途、カスタマイズ履歴、評価・承認結果を維持している</t>
        </is>
      </c>
      <c r="F44" s="4" t="inlineStr">
        <is>
          <t>稼働・候補・廃止モデルを横断するカタログがあり、各モデルの責任者と根拠資料へ遡れる</t>
        </is>
      </c>
      <c r="G44" s="4" t="inlineStr">
        <is>
          <t>モデルの由来と承認状態が不明なまま利用されることを防ぐ。</t>
        </is>
      </c>
      <c r="H44" s="4" t="inlineStr">
        <is>
          <t>AWS: Generative AI Lens &gt; Reliability &gt; GENREL04-BP02 Implement a model catalog | Azure: AI Workload Operations on Azure &gt; Embrace DevOps practices(Version control)</t>
        </is>
      </c>
      <c r="I44" s="4" t="inlineStr">
        <is>
          <t>AI-CONDITIONAL</t>
        </is>
      </c>
      <c r="J44" s="4" t="inlineStr">
        <is>
          <t>AI/MLを含む案件に適用。従来型ML・生成AI・エージェントAIの種別ごとにN/Aを判断。</t>
        </is>
      </c>
      <c r="K44" s="4" t="inlineStr">
        <is>
          <t>SRC-AWS-GENAI;SRC-AZR-AI</t>
        </is>
      </c>
      <c r="L44" s="4" t="inlineStr">
        <is>
          <t>OPS-OBSERVABILITY</t>
        </is>
      </c>
      <c r="M44" s="4" t="n"/>
      <c r="N44" s="4" t="n"/>
      <c r="O44" s="4" t="n"/>
      <c r="P44" s="4" t="n"/>
      <c r="Q44" s="4" t="n"/>
      <c r="R44" s="4" t="n"/>
      <c r="S44" s="4" t="n"/>
      <c r="T44" s="4" t="n"/>
      <c r="U44" s="4" t="n"/>
      <c r="V44" s="4" t="n"/>
      <c r="W44" s="4" t="n"/>
    </row>
    <row r="45">
      <c r="A45" s="5" t="inlineStr">
        <is>
          <t>AI-061</t>
        </is>
      </c>
      <c r="B45" s="5" t="inlineStr">
        <is>
          <t>WAF</t>
        </is>
      </c>
      <c r="C45" s="4" t="inlineStr">
        <is>
          <t>デプロイ・GenAIOps</t>
        </is>
      </c>
      <c r="D45" s="10" t="inlineStr">
        <is>
          <t>Medium</t>
        </is>
      </c>
      <c r="E45" s="4" t="inlineStr">
        <is>
          <t>評価環境で合格したAI資産の同一バージョン組合せを本番へ昇格している</t>
        </is>
      </c>
      <c r="F45" s="4" t="inlineStr">
        <is>
          <t>評価結果の資産版と本番デプロイの版が一致し、昇格記録と差異検知がある</t>
        </is>
      </c>
      <c r="G45" s="4" t="inlineStr">
        <is>
          <t>テスト対象と本番実体の不一致により評価が無効になることを防ぐ。</t>
        </is>
      </c>
      <c r="H45" s="4" t="inlineStr">
        <is>
          <t>AWS: Generative AI Lens &gt; Reliability &gt; GENREL04-BP02 Implement a model catalog | Azure: AI Workload Operations on Azure &gt; Embrace DevOps practices(Version control)</t>
        </is>
      </c>
      <c r="I45" s="4" t="inlineStr">
        <is>
          <t>AI-CONDITIONAL</t>
        </is>
      </c>
      <c r="J45" s="4" t="inlineStr">
        <is>
          <t>AI/MLを含む案件に適用。従来型ML・生成AI・エージェントAIの種別ごとにN/Aを判断。</t>
        </is>
      </c>
      <c r="K45" s="4" t="inlineStr">
        <is>
          <t>SRC-AWS-GENAI;SRC-AZR-AI</t>
        </is>
      </c>
      <c r="L45" s="4" t="inlineStr"/>
      <c r="M45" s="4" t="n"/>
      <c r="N45" s="4" t="n"/>
      <c r="O45" s="4" t="n"/>
      <c r="P45" s="4" t="n"/>
      <c r="Q45" s="4" t="n"/>
      <c r="R45" s="4" t="n"/>
      <c r="S45" s="4" t="n"/>
      <c r="T45" s="4" t="n"/>
      <c r="U45" s="4" t="n"/>
      <c r="V45" s="4" t="n"/>
      <c r="W45" s="4" t="n"/>
    </row>
    <row r="46">
      <c r="A46" s="5" t="inlineStr">
        <is>
          <t>AI-031</t>
        </is>
      </c>
      <c r="B46" s="5" t="inlineStr">
        <is>
          <t>WAF</t>
        </is>
      </c>
      <c r="C46" s="4" t="inlineStr">
        <is>
          <t>デプロイ・GenAIOps</t>
        </is>
      </c>
      <c r="D46" s="9" t="inlineStr">
        <is>
          <t>High</t>
        </is>
      </c>
      <c r="E46" s="4" t="inlineStr">
        <is>
          <t>全モデルについて学習データのソース・変換・パラメータ・コードバージョンまで遡れる系譜(リネージ)を記録し、実験の追跡とコンテナ化・パイプライン化により再現可能にしているか</t>
        </is>
      </c>
      <c r="F46" s="4" t="inlineStr">
        <is>
          <t>任意の本番モデルから元データセット・学習条件・評価結果へ辿れることが実証でき、任意の過去実験を同一条件で再実行できる</t>
        </is>
      </c>
      <c r="G46" s="4" t="inlineStr">
        <is>
          <t>系譜と再現性がないと、データ問題発覚時の影響特定・コンプライアンス対応・バイアス調査が不可能になり、同じ試行錯誤とコストが繰り返される。</t>
        </is>
      </c>
      <c r="H46" s="4" t="inlineStr">
        <is>
          <t>GCP: AI and ML perspective - Security &gt; Keep AI pipelines secure and robust against tampering &gt; Enforce lineage and tracking / Performance optimization &gt; Run and track frequent experiments &gt; Standardize for reproducibility | Azure: MLOps and GenAIOps for AI Workloads on Azure &gt; MLOps &gt; Tools / Design Training Data &gt; Lineage tracking</t>
        </is>
      </c>
      <c r="I46" s="4" t="inlineStr">
        <is>
          <t>AI-CONDITIONAL</t>
        </is>
      </c>
      <c r="J46" s="4" t="inlineStr">
        <is>
          <t>AI/MLを含む案件に適用。従来型ML・生成AI・エージェントAIの種別ごとにN/Aを判断。</t>
        </is>
      </c>
      <c r="K46" s="4" t="inlineStr">
        <is>
          <t>SRC-GCP-AIML;SRC-AZR-AI</t>
        </is>
      </c>
      <c r="L46" s="4" t="inlineStr"/>
      <c r="M46" s="4" t="n"/>
      <c r="N46" s="4" t="n"/>
      <c r="O46" s="4" t="n"/>
      <c r="P46" s="4" t="n"/>
      <c r="Q46" s="4" t="n"/>
      <c r="R46" s="4" t="n"/>
      <c r="S46" s="4" t="n"/>
      <c r="T46" s="4" t="n"/>
      <c r="U46" s="4" t="n"/>
      <c r="V46" s="4" t="n"/>
      <c r="W46" s="4" t="n"/>
    </row>
    <row r="47">
      <c r="A47" s="5" t="inlineStr">
        <is>
          <t>AI-032</t>
        </is>
      </c>
      <c r="B47" s="5" t="inlineStr">
        <is>
          <t>WAF</t>
        </is>
      </c>
      <c r="C47" s="4" t="inlineStr">
        <is>
          <t>運用・監視</t>
        </is>
      </c>
      <c r="D47" s="9" t="inlineStr">
        <is>
          <t>High</t>
        </is>
      </c>
      <c r="E47" s="4" t="inlineStr">
        <is>
          <t>本番運用中のモデル出力品質(鮮度・正確性・レイテンシ等)について、データサイエンティストと定義した品質メトリクスの定期評価とダッシュボード可視化を行い、運用者が対応可能なアラートと標準運用手順を整備しているか</t>
        </is>
      </c>
      <c r="F47" s="4" t="inlineStr">
        <is>
          <t>品質メトリクスの定義・閾値・対応SOPが文書化され、定期評価ジョブと品質アラートが実際に運用され、品質劣化時の対応プロセスが定義されている</t>
        </is>
      </c>
      <c r="G47" s="4" t="inlineStr">
        <is>
          <t>非決定的なAIの品質はいつでも変化し得るため、監視がないと劣化に気づけず放置される。</t>
        </is>
      </c>
      <c r="H47" s="4" t="inlineStr">
        <is>
          <t>AWS: Generative AI Lens &gt; Operational excellence &gt; GENOPS01-BP01 / GENOPS01-BP02 | Azure: AI Workload Operations on Azure &gt; Extend the observability platform / Design Principles &gt; Operational Excellence &gt; Create an automated monitoring system</t>
        </is>
      </c>
      <c r="I47" s="4" t="inlineStr">
        <is>
          <t>AI-CONDITIONAL</t>
        </is>
      </c>
      <c r="J47" s="4" t="inlineStr">
        <is>
          <t>AI/MLを含む案件に適用。従来型ML・生成AI・エージェントAIの種別ごとにN/Aを判断。</t>
        </is>
      </c>
      <c r="K47" s="4" t="inlineStr">
        <is>
          <t>SRC-AWS-GENAI;SRC-AZR-AI</t>
        </is>
      </c>
      <c r="L47" s="4" t="inlineStr">
        <is>
          <t>OPS-OBSERVABILITY</t>
        </is>
      </c>
      <c r="M47" s="4" t="n"/>
      <c r="N47" s="4" t="n"/>
      <c r="O47" s="4" t="n"/>
      <c r="P47" s="4" t="n"/>
      <c r="Q47" s="4" t="n"/>
      <c r="R47" s="4" t="n"/>
      <c r="S47" s="4" t="n"/>
      <c r="T47" s="4" t="n"/>
      <c r="U47" s="4" t="n"/>
      <c r="V47" s="4" t="n"/>
      <c r="W47" s="4" t="n"/>
    </row>
    <row r="48">
      <c r="A48" s="5" t="inlineStr">
        <is>
          <t>AI-033</t>
        </is>
      </c>
      <c r="B48" s="5" t="inlineStr">
        <is>
          <t>WAF</t>
        </is>
      </c>
      <c r="C48" s="4" t="inlineStr">
        <is>
          <t>運用・監視</t>
        </is>
      </c>
      <c r="D48" s="9" t="inlineStr">
        <is>
          <t>High</t>
        </is>
      </c>
      <c r="E48" s="4" t="inlineStr">
        <is>
          <t>本番モデルの入力分布・予測分布・性能指標を継続監視し、データ/モデル/概念ドリフト検知時のアラートと、再学習・モデル更新のトリガー条件(トリガーベース/定期)を定義しているか</t>
        </is>
      </c>
      <c r="F48" s="4" t="inlineStr">
        <is>
          <t>ドリフト検知の閾値・通知先が設定され、検知から再学習/ロールバックまでの対応フローが文書化・自動化されている</t>
        </is>
      </c>
      <c r="G48" s="4" t="inlineStr">
        <is>
          <t>監視なしのモデルは静かに陳腐化し、誤予測・不正確な結果による損害が検知されないまま蓄積する。</t>
        </is>
      </c>
      <c r="H48" s="4" t="inlineStr">
        <is>
          <t>GCP: AI and ML perspective - Reliability &gt; Automate deployment and continuous monitoring / Operational excellence &gt; Monitor performance continuously | Azure: Design Principles for AI Workloads on Azure &gt; Operational Excellence &gt; Automate the detection and mitigation of model decay / Test &gt; Testing for model decay</t>
        </is>
      </c>
      <c r="I48" s="4" t="inlineStr">
        <is>
          <t>AI-CONDITIONAL</t>
        </is>
      </c>
      <c r="J48" s="4" t="inlineStr">
        <is>
          <t>AI/MLを含む案件に適用。従来型ML・生成AI・エージェントAIの種別ごとにN/Aを判断。</t>
        </is>
      </c>
      <c r="K48" s="4" t="inlineStr">
        <is>
          <t>SRC-GCP-AIML;SRC-AZR-AI</t>
        </is>
      </c>
      <c r="L48" s="4" t="inlineStr">
        <is>
          <t>OPS-OBSERVABILITY</t>
        </is>
      </c>
      <c r="M48" s="4" t="n"/>
      <c r="N48" s="4" t="n"/>
      <c r="O48" s="4" t="n"/>
      <c r="P48" s="4" t="n"/>
      <c r="Q48" s="4" t="n"/>
      <c r="R48" s="4" t="n"/>
      <c r="S48" s="4" t="n"/>
      <c r="T48" s="4" t="n"/>
      <c r="U48" s="4" t="n"/>
      <c r="V48" s="4" t="n"/>
      <c r="W48" s="4" t="n"/>
    </row>
    <row r="49">
      <c r="A49" s="5" t="inlineStr">
        <is>
          <t>AI-034</t>
        </is>
      </c>
      <c r="B49" s="5" t="inlineStr">
        <is>
          <t>WAF</t>
        </is>
      </c>
      <c r="C49" s="4" t="inlineStr">
        <is>
          <t>運用・監視</t>
        </is>
      </c>
      <c r="D49" s="9" t="inlineStr">
        <is>
          <t>High</t>
        </is>
      </c>
      <c r="E49" s="4" t="inlineStr">
        <is>
          <t>AIシステムの全層(アプリ、オーケストレーション、検索、モデル)のメトリクス・ログ・トレースを収集し、リクエストを横断的に追跡できるか</t>
        </is>
      </c>
      <c r="F49" s="4" t="inlineStr">
        <is>
          <t>各レイヤーの監視が構成され、リクエストを横断的に追跡でき、アラートが設定されている</t>
        </is>
      </c>
      <c r="G49" s="4" t="inlineStr">
        <is>
          <t>障害・遅延の発生箇所を特定できず、復旧と改善が遅れることを防ぐ。</t>
        </is>
      </c>
      <c r="H49" s="4" t="inlineStr">
        <is>
          <t>AWS: Generative AI Lens &gt; Operational excellence &gt; GENOPS02-BP01 / GENOPS03-BP02</t>
        </is>
      </c>
      <c r="I49" s="4" t="inlineStr">
        <is>
          <t>AI-CONDITIONAL</t>
        </is>
      </c>
      <c r="J49" s="4" t="inlineStr">
        <is>
          <t>AI/MLを含む案件に適用。従来型ML・生成AI・エージェントAIの種別ごとにN/Aを判断。</t>
        </is>
      </c>
      <c r="K49" s="4" t="inlineStr">
        <is>
          <t>SRC-AWS-GENAI</t>
        </is>
      </c>
      <c r="L49" s="4" t="inlineStr">
        <is>
          <t>OPS-OBSERVABILITY</t>
        </is>
      </c>
      <c r="M49" s="4" t="n"/>
      <c r="N49" s="4" t="n"/>
      <c r="O49" s="4" t="n"/>
      <c r="P49" s="4" t="n"/>
      <c r="Q49" s="4" t="n"/>
      <c r="R49" s="4" t="n"/>
      <c r="S49" s="4" t="n"/>
      <c r="T49" s="4" t="n"/>
      <c r="U49" s="4" t="n"/>
      <c r="V49" s="4" t="n"/>
      <c r="W49" s="4" t="n"/>
    </row>
    <row r="50">
      <c r="A50" s="5" t="inlineStr">
        <is>
          <t>AI-035</t>
        </is>
      </c>
      <c r="B50" s="5" t="inlineStr">
        <is>
          <t>WAF</t>
        </is>
      </c>
      <c r="C50" s="4" t="inlineStr">
        <is>
          <t>運用・監視</t>
        </is>
      </c>
      <c r="D50" s="10" t="inlineStr">
        <is>
          <t>Medium</t>
        </is>
      </c>
      <c r="E50" s="4" t="inlineStr">
        <is>
          <t>推論レイテンシ・トークン消費量・スロットリング発生を継続的に計測し、異常(急増・劣化)を検知できるか</t>
        </is>
      </c>
      <c r="F50" s="4" t="inlineStr">
        <is>
          <t>推論メトリクスのダッシュボードと異常検知アラートが存在する</t>
        </is>
      </c>
      <c r="G50" s="4" t="inlineStr">
        <is>
          <t>利用量・性能の異常を見逃し、コスト超過やUX悪化を招くことを防ぐ。</t>
        </is>
      </c>
      <c r="H50" s="4" t="inlineStr">
        <is>
          <t>AWS: Generative AI Lens &gt; Operational excellence &gt; GENOPS02-BP02 / Performance efficiency &gt; GENPERF01-BP02</t>
        </is>
      </c>
      <c r="I50" s="4" t="inlineStr">
        <is>
          <t>AI-CONDITIONAL</t>
        </is>
      </c>
      <c r="J50" s="4" t="inlineStr">
        <is>
          <t>AI/MLを含む案件に適用。従来型ML・生成AI・エージェントAIの種別ごとにN/Aを判断。</t>
        </is>
      </c>
      <c r="K50" s="4" t="inlineStr">
        <is>
          <t>SRC-AWS-GENAI</t>
        </is>
      </c>
      <c r="L50" s="4" t="inlineStr">
        <is>
          <t>OPS-OBSERVABILITY</t>
        </is>
      </c>
      <c r="M50" s="4" t="n"/>
      <c r="N50" s="4" t="n"/>
      <c r="O50" s="4" t="n"/>
      <c r="P50" s="4" t="n"/>
      <c r="Q50" s="4" t="n"/>
      <c r="R50" s="4" t="n"/>
      <c r="S50" s="4" t="n"/>
      <c r="T50" s="4" t="n"/>
      <c r="U50" s="4" t="n"/>
      <c r="V50" s="4" t="n"/>
      <c r="W50" s="4" t="n"/>
    </row>
    <row r="51">
      <c r="A51" s="5" t="inlineStr">
        <is>
          <t>AI-036</t>
        </is>
      </c>
      <c r="B51" s="5" t="inlineStr">
        <is>
          <t>WAF</t>
        </is>
      </c>
      <c r="C51" s="4" t="inlineStr">
        <is>
          <t>運用・監視</t>
        </is>
      </c>
      <c r="D51" s="9" t="inlineStr">
        <is>
          <t>High</t>
        </is>
      </c>
      <c r="E51" s="4" t="inlineStr">
        <is>
          <t>有害出力・モデル改ざん・ポイズニング疑い等のAI固有インシデントに対するプレイブック、モデルロールバック手順、通知プロトコルを整備しているか</t>
        </is>
      </c>
      <c r="F51" s="4" t="inlineStr">
        <is>
          <t>AIインシデントのプレイブックが存在し、モデルロールバックが演習で検証されている</t>
        </is>
      </c>
      <c r="G51" s="4" t="inlineStr">
        <is>
          <t>手順のない初動は被害拡大と対応遅延を招き、説明責任も果たせない。</t>
        </is>
      </c>
      <c r="H51" s="4" t="inlineStr">
        <is>
          <t>GCP: AI and ML perspective - Security &gt; Monitor, evaluate, and prepare to respond to outputs &gt; Prepare incident response procedures</t>
        </is>
      </c>
      <c r="I51" s="4" t="inlineStr">
        <is>
          <t>AI-CONDITIONAL</t>
        </is>
      </c>
      <c r="J51" s="4" t="inlineStr">
        <is>
          <t>AI/MLを含む案件に適用。従来型ML・生成AI・エージェントAIの種別ごとにN/Aを判断。</t>
        </is>
      </c>
      <c r="K51" s="4" t="inlineStr">
        <is>
          <t>SRC-GCP-AIML</t>
        </is>
      </c>
      <c r="L51" s="4" t="inlineStr">
        <is>
          <t>OPS-OBSERVABILITY</t>
        </is>
      </c>
      <c r="M51" s="4" t="n"/>
      <c r="N51" s="4" t="n"/>
      <c r="O51" s="4" t="n"/>
      <c r="P51" s="4" t="n"/>
      <c r="Q51" s="4" t="n"/>
      <c r="R51" s="4" t="n"/>
      <c r="S51" s="4" t="n"/>
      <c r="T51" s="4" t="n"/>
      <c r="U51" s="4" t="n"/>
      <c r="V51" s="4" t="n"/>
      <c r="W51" s="4" t="n"/>
    </row>
    <row r="52">
      <c r="A52" s="5" t="inlineStr">
        <is>
          <t>AI-037</t>
        </is>
      </c>
      <c r="B52" s="5" t="inlineStr">
        <is>
          <t>WAF</t>
        </is>
      </c>
      <c r="C52" s="4" t="inlineStr">
        <is>
          <t>運用・監視</t>
        </is>
      </c>
      <c r="D52" s="10" t="inlineStr">
        <is>
          <t>Medium</t>
        </is>
      </c>
      <c r="E52" s="4" t="inlineStr">
        <is>
          <t>軽量なフィードバック機構(評価ボタン等)で応答品質のシグナルを収集し、プライバシー統制のもとで品質改善に活用しているか</t>
        </is>
      </c>
      <c r="F52" s="4" t="inlineStr">
        <is>
          <t>フィードバック収集が稼働し、収集データが品質改善プロセスに接続されている</t>
        </is>
      </c>
      <c r="G52" s="4" t="inlineStr">
        <is>
          <t>誤ったAI応答が是正されず、品質改善のシグナルも得られないことを防ぐ。</t>
        </is>
      </c>
      <c r="H52" s="4" t="inlineStr">
        <is>
          <t>AWS: Generative AI Lens &gt; Operational excellence &gt; GENOPS01-BP02 | Azure: Responsible AI in Azure Workloads &gt; Make the user experience safe(Collect feedback)</t>
        </is>
      </c>
      <c r="I52" s="4" t="inlineStr">
        <is>
          <t>AI-CONDITIONAL</t>
        </is>
      </c>
      <c r="J52" s="4" t="inlineStr">
        <is>
          <t>AI/MLを含む案件に適用。従来型ML・生成AI・エージェントAIの種別ごとにN/Aを判断。</t>
        </is>
      </c>
      <c r="K52" s="4" t="inlineStr">
        <is>
          <t>SRC-AWS-GENAI;SRC-AZR-AI</t>
        </is>
      </c>
      <c r="L52" s="4" t="inlineStr">
        <is>
          <t>OPS-OBSERVABILITY;PRIVACY</t>
        </is>
      </c>
      <c r="M52" s="4" t="n"/>
      <c r="N52" s="4" t="n"/>
      <c r="O52" s="4" t="n"/>
      <c r="P52" s="4" t="n"/>
      <c r="Q52" s="4" t="n"/>
      <c r="R52" s="4" t="n"/>
      <c r="S52" s="4" t="n"/>
      <c r="T52" s="4" t="n"/>
      <c r="U52" s="4" t="n"/>
      <c r="V52" s="4" t="n"/>
      <c r="W52" s="4" t="n"/>
    </row>
    <row r="53">
      <c r="A53" s="5" t="inlineStr">
        <is>
          <t>AI-038</t>
        </is>
      </c>
      <c r="B53" s="5" t="inlineStr">
        <is>
          <t>WAF</t>
        </is>
      </c>
      <c r="C53" s="4" t="inlineStr">
        <is>
          <t>信頼性・可用性</t>
        </is>
      </c>
      <c r="D53" s="9" t="inlineStr">
        <is>
          <t>High</t>
        </is>
      </c>
      <c r="E53" s="4" t="inlineStr">
        <is>
          <t>モデルエラー・スロットリング・タイムアウトに対し、バックオフ付きリトライ・サーキットブレーカー・バルクヘッド・フォールバック・利用者への適切な通知を実装し、障害モード分析を定期実施しているか</t>
        </is>
      </c>
      <c r="F53" s="4" t="inlineStr">
        <is>
          <t>429等のスロットリング・タイムアウトを注入するテストで、リトライ/バックオフ/遮断/代替経路の挙動が検証されている</t>
        </is>
      </c>
      <c r="G53" s="4" t="inlineStr">
        <is>
          <t>一時的な障害・制限が、全面的なサービス停止や無限リトライによる連鎖障害に発展することを防ぐ。</t>
        </is>
      </c>
      <c r="H53" s="4" t="inlineStr">
        <is>
          <t>AWS: Generative AI Lens &gt; Reliability &gt; GENREL03-BP01 / GENREL03-BP02 | Azure: Design Principles for AI Workloads on Azure &gt; Reliability &gt; Conduct failure mode analysis / Test &gt; Test the inference endpoint(Failure handling)</t>
        </is>
      </c>
      <c r="I53" s="4" t="inlineStr">
        <is>
          <t>AI-CONDITIONAL</t>
        </is>
      </c>
      <c r="J53" s="4" t="inlineStr">
        <is>
          <t>AI/MLを含む案件に適用。従来型ML・生成AI・エージェントAIの種別ごとにN/Aを判断。</t>
        </is>
      </c>
      <c r="K53" s="4" t="inlineStr">
        <is>
          <t>SRC-AWS-GENAI;SRC-AZR-AI</t>
        </is>
      </c>
      <c r="L53" s="4" t="inlineStr">
        <is>
          <t>RELIABILITY-HA</t>
        </is>
      </c>
      <c r="M53" s="4" t="n"/>
      <c r="N53" s="4" t="n"/>
      <c r="O53" s="4" t="n"/>
      <c r="P53" s="4" t="n"/>
      <c r="Q53" s="4" t="n"/>
      <c r="R53" s="4" t="n"/>
      <c r="S53" s="4" t="n"/>
      <c r="T53" s="4" t="n"/>
      <c r="U53" s="4" t="n"/>
      <c r="V53" s="4" t="n"/>
      <c r="W53" s="4" t="n"/>
    </row>
    <row r="54">
      <c r="A54" s="5" t="inlineStr">
        <is>
          <t>AI-039</t>
        </is>
      </c>
      <c r="B54" s="5" t="inlineStr">
        <is>
          <t>WAF</t>
        </is>
      </c>
      <c r="C54" s="4" t="inlineStr">
        <is>
          <t>信頼性・可用性</t>
        </is>
      </c>
      <c r="D54" s="9" t="inlineStr">
        <is>
          <t>High</t>
        </is>
      </c>
      <c r="E54" s="4" t="inlineStr">
        <is>
          <t>想定ピークのトークン/リクエストスループットとGPU等アクセラレータの需要を見積り、クォータ・キャパシティ・調達モード(オンデマンド/スポット/予約)を計画し、レート制限・キューイング等の過負荷保護を実装しているか</t>
        </is>
      </c>
      <c r="F54" s="4" t="inlineStr">
        <is>
          <t>需要見積りとクォータ/キャパシティ/予約の対応表があり、レート制限・キューイングとリソース枯渇時の代替手段が定義されている</t>
        </is>
      </c>
      <c r="G54" s="4" t="inlineStr">
        <is>
          <t>需要超過によるスロットリング多発やアクセラレータの確保失敗が、学習遅延とサービスの実質停止に直結することを防ぐ。</t>
        </is>
      </c>
      <c r="H54" s="4" t="inlineStr">
        <is>
          <t>AWS: Generative AI Lens &gt; Reliability &gt; GENREL01-BP01 / Operational excellence &gt; GENOPS02-BP03 | GCP: AI and ML perspective - Operational excellence &gt; Design for scalability &gt; Plan for capacity and quotas / Performance optimization &gt; Goodput metrics(obtainability modes)</t>
        </is>
      </c>
      <c r="I54" s="4" t="inlineStr">
        <is>
          <t>AI-CONDITIONAL</t>
        </is>
      </c>
      <c r="J54" s="4" t="inlineStr">
        <is>
          <t>AI/MLを含む案件に適用。従来型ML・生成AI・エージェントAIの種別ごとにN/Aを判断。</t>
        </is>
      </c>
      <c r="K54" s="4" t="inlineStr">
        <is>
          <t>SRC-AWS-GENAI;SRC-GCP-AIML</t>
        </is>
      </c>
      <c r="L54" s="4" t="inlineStr">
        <is>
          <t>RELIABILITY-HA</t>
        </is>
      </c>
      <c r="M54" s="4" t="n"/>
      <c r="N54" s="4" t="n"/>
      <c r="O54" s="4" t="n"/>
      <c r="P54" s="4" t="n"/>
      <c r="Q54" s="4" t="n"/>
      <c r="R54" s="4" t="n"/>
      <c r="S54" s="4" t="n"/>
      <c r="T54" s="4" t="n"/>
      <c r="U54" s="4" t="n"/>
      <c r="V54" s="4" t="n"/>
      <c r="W54" s="4" t="n"/>
    </row>
    <row r="55">
      <c r="A55" s="5" t="inlineStr">
        <is>
          <t>AI-040</t>
        </is>
      </c>
      <c r="B55" s="5" t="inlineStr">
        <is>
          <t>WAF</t>
        </is>
      </c>
      <c r="C55" s="4" t="inlineStr">
        <is>
          <t>信頼性・可用性</t>
        </is>
      </c>
      <c r="D55" s="10" t="inlineStr">
        <is>
          <t>Medium</t>
        </is>
      </c>
      <c r="E55" s="4" t="inlineStr">
        <is>
          <t>アーキテクチャ各領域(推論・検索インデックス・データパイプライン)の性能ベースラインを負荷テストで確立し、継続的に再評価して劣化を検出しているか</t>
        </is>
      </c>
      <c r="F55" s="4" t="inlineStr">
        <is>
          <t>初期ベースラインと定期的な再測定の記録があり、性能目標(スループット・レイテンシ・検索精度)との比較が運用されている</t>
        </is>
      </c>
      <c r="G55" s="4" t="inlineStr">
        <is>
          <t>性能劣化・容量不足が本番で顕在化し、ユーザー体験が悪化することを防ぐ。</t>
        </is>
      </c>
      <c r="H55" s="4" t="inlineStr">
        <is>
          <t>Azure: Design Principles for AI Workloads on Azure &gt; Performance Efficiency &gt; Establish performance benchmarks / Evaluate resource needs</t>
        </is>
      </c>
      <c r="I55" s="4" t="inlineStr">
        <is>
          <t>AI-CONDITIONAL</t>
        </is>
      </c>
      <c r="J55" s="4" t="inlineStr">
        <is>
          <t>AI/MLを含む案件に適用。従来型ML・生成AI・エージェントAIの種別ごとにN/Aを判断。</t>
        </is>
      </c>
      <c r="K55" s="4" t="inlineStr">
        <is>
          <t>SRC-AZR-AI</t>
        </is>
      </c>
      <c r="L55" s="4" t="inlineStr">
        <is>
          <t>RELIABILITY-HA</t>
        </is>
      </c>
      <c r="M55" s="4" t="n"/>
      <c r="N55" s="4" t="n"/>
      <c r="O55" s="4" t="n"/>
      <c r="P55" s="4" t="n"/>
      <c r="Q55" s="4" t="n"/>
      <c r="R55" s="4" t="n"/>
      <c r="S55" s="4" t="n"/>
      <c r="T55" s="4" t="n"/>
      <c r="U55" s="4" t="n"/>
      <c r="V55" s="4" t="n"/>
      <c r="W55" s="4" t="n"/>
    </row>
    <row r="56">
      <c r="A56" s="5" t="inlineStr">
        <is>
          <t>AI-041</t>
        </is>
      </c>
      <c r="B56" s="5" t="inlineStr">
        <is>
          <t>WAF</t>
        </is>
      </c>
      <c r="C56" s="4" t="inlineStr">
        <is>
          <t>信頼性・可用性</t>
        </is>
      </c>
      <c r="D56" s="9" t="inlineStr">
        <is>
          <t>High</t>
        </is>
      </c>
      <c r="E56" s="4" t="inlineStr">
        <is>
          <t>AI依存コンポーネントの信頼性目標を整合させ、要求に応じた冗長化・縮退方式を選定している</t>
        </is>
      </c>
      <c r="F56" s="4" t="inlineStr">
        <is>
          <t>モデル、検索、オーケストレータ、ツールごとのSLOと依存関係があり、単一障害点への対策（再試行、代替、ゾーン／リージョン冗長等）の採否と根拠が記録されている</t>
        </is>
      </c>
      <c r="G56" s="4" t="inlineStr">
        <is>
          <t>マルチゾーン／リージョンを一律要求せず、AI機能のSLO・RTO/RPO・コスト制約に応じた対策を選ぶ。</t>
        </is>
      </c>
      <c r="H56" s="4" t="inlineStr">
        <is>
          <t>AWS: Generative AI Lens &gt; Reliability &gt; GENREL05-BP01 / GENREL05-BP02 / GENREL05-BP03 | Azure: Design Principles for AI Workloads on Azure &gt; Reliability &gt; Mitigate single points of failure / Balance reliability objectives across dependent components</t>
        </is>
      </c>
      <c r="I56" s="4" t="inlineStr">
        <is>
          <t>AI-CONDITIONAL</t>
        </is>
      </c>
      <c r="J56" s="4" t="inlineStr">
        <is>
          <t>AI機能のSLO・RTO/RPOに対して単一障害点対策が必要な場合。冗長化方式は要求とコストで選定。</t>
        </is>
      </c>
      <c r="K56" s="4" t="inlineStr">
        <is>
          <t>SRC-AWS-GENAI;SRC-AZR-AI</t>
        </is>
      </c>
      <c r="L56" s="4" t="inlineStr">
        <is>
          <t>RELIABILITY-HA</t>
        </is>
      </c>
      <c r="M56" s="4" t="n"/>
      <c r="N56" s="4" t="n"/>
      <c r="O56" s="4" t="n"/>
      <c r="P56" s="4" t="n"/>
      <c r="Q56" s="4" t="n"/>
      <c r="R56" s="4" t="n"/>
      <c r="S56" s="4" t="n"/>
      <c r="T56" s="4" t="n"/>
      <c r="U56" s="4" t="n"/>
      <c r="V56" s="4" t="n"/>
      <c r="W56" s="4" t="n"/>
    </row>
    <row r="57">
      <c r="A57" s="5" t="inlineStr">
        <is>
          <t>AI-042</t>
        </is>
      </c>
      <c r="B57" s="5" t="inlineStr">
        <is>
          <t>WAF</t>
        </is>
      </c>
      <c r="C57" s="4" t="inlineStr">
        <is>
          <t>信頼性・可用性</t>
        </is>
      </c>
      <c r="D57" s="10" t="inlineStr">
        <is>
          <t>Medium</t>
        </is>
      </c>
      <c r="E57" s="4" t="inlineStr">
        <is>
          <t>長時間・分散学習ジョブに定期チェックポイントを実装し、中断(スポット回収、ハードウェア障害、メンテナンス)から自動再開できるか</t>
        </is>
      </c>
      <c r="F57" s="4" t="inlineStr">
        <is>
          <t>チェックポイント間隔と再開手順が定義され、中断からの復旧が検証されている</t>
        </is>
      </c>
      <c r="G57" s="4" t="inlineStr">
        <is>
          <t>チェックポイントなしの中断は、数日分の計算とその費用を丸ごと失わせる。</t>
        </is>
      </c>
      <c r="H57" s="4" t="inlineStr">
        <is>
          <t>GCP: AI and ML perspective - Performance optimization &gt; Match design choices to performance requirements &gt; Runtime goodput(automatic checkpointing)</t>
        </is>
      </c>
      <c r="I57" s="4" t="inlineStr">
        <is>
          <t>AI-CONDITIONAL</t>
        </is>
      </c>
      <c r="J57" s="4" t="inlineStr">
        <is>
          <t>AI/MLを含む案件に適用。従来型ML・生成AI・エージェントAIの種別ごとにN/Aを判断。</t>
        </is>
      </c>
      <c r="K57" s="4" t="inlineStr">
        <is>
          <t>SRC-GCP-AIML</t>
        </is>
      </c>
      <c r="L57" s="4" t="inlineStr">
        <is>
          <t>RELIABILITY-HA</t>
        </is>
      </c>
      <c r="M57" s="4" t="n"/>
      <c r="N57" s="4" t="n"/>
      <c r="O57" s="4" t="n"/>
      <c r="P57" s="4" t="n"/>
      <c r="Q57" s="4" t="n"/>
      <c r="R57" s="4" t="n"/>
      <c r="S57" s="4" t="n"/>
      <c r="T57" s="4" t="n"/>
      <c r="U57" s="4" t="n"/>
      <c r="V57" s="4" t="n"/>
      <c r="W57" s="4" t="n"/>
    </row>
    <row r="58">
      <c r="A58" s="5" t="inlineStr">
        <is>
          <t>AI-043</t>
        </is>
      </c>
      <c r="B58" s="5" t="inlineStr">
        <is>
          <t>WAF</t>
        </is>
      </c>
      <c r="C58" s="4" t="inlineStr">
        <is>
          <t>コスト最適化</t>
        </is>
      </c>
      <c r="D58" s="9" t="inlineStr">
        <is>
          <t>High</t>
        </is>
      </c>
      <c r="E58" s="4" t="inlineStr">
        <is>
          <t>AIワークロードのコストドライバーと単位コストをモデル化している</t>
        </is>
      </c>
      <c r="F58" s="4" t="inlineStr">
        <is>
          <t>データ量、学習時間、クエリ、トークン、検索、ツール呼出し等の費用をユースケース・利用単位へ配賦した見積りと実績がある</t>
        </is>
      </c>
      <c r="G58" s="4" t="inlineStr">
        <is>
          <t>利用量増加時の費用構造と採算分岐を把握し、最適化判断の基準を作る。</t>
        </is>
      </c>
      <c r="H58" s="4" t="inlineStr">
        <is>
          <t>AWS: Generative AI Lens &gt; Cost optimization &gt; GENCOST01-BP01 / GENCOST03-BP01〜BP03 | GCP: AI and ML perspective - Cost optimization &gt; Optimize resource allocation(autoscaling for inference) / Define and measure costs and returns | Azure: Design Principles for AI Workloads on Azure &gt; Cost Optimization &gt; Determine the cost drivers / Use what you pay for</t>
        </is>
      </c>
      <c r="I58" s="4" t="inlineStr">
        <is>
          <t>AI-CONDITIONAL</t>
        </is>
      </c>
      <c r="J58" s="4" t="inlineStr">
        <is>
          <t>AI/MLを含む案件に適用。従来型ML・生成AI・エージェントAIの種別ごとにN/Aを判断。</t>
        </is>
      </c>
      <c r="K58" s="4" t="inlineStr">
        <is>
          <t>SRC-AWS-GENAI;SRC-GCP-AIML;SRC-AZR-AI</t>
        </is>
      </c>
      <c r="L58" s="4" t="inlineStr">
        <is>
          <t>COST</t>
        </is>
      </c>
      <c r="M58" s="4" t="n"/>
      <c r="N58" s="4" t="n"/>
      <c r="O58" s="4" t="n"/>
      <c r="P58" s="4" t="n"/>
      <c r="Q58" s="4" t="n"/>
      <c r="R58" s="4" t="n"/>
      <c r="S58" s="4" t="n"/>
      <c r="T58" s="4" t="n"/>
      <c r="U58" s="4" t="n"/>
      <c r="V58" s="4" t="n"/>
      <c r="W58" s="4" t="n"/>
    </row>
    <row r="59">
      <c r="A59" s="5" t="inlineStr">
        <is>
          <t>AI-062</t>
        </is>
      </c>
      <c r="B59" s="5" t="inlineStr">
        <is>
          <t>WAF</t>
        </is>
      </c>
      <c r="C59" s="4" t="inlineStr">
        <is>
          <t>コスト最適化</t>
        </is>
      </c>
      <c r="D59" s="9" t="inlineStr">
        <is>
          <t>High</t>
        </is>
      </c>
      <c r="E59" s="4" t="inlineStr">
        <is>
          <t>タスク品質を満たす範囲でモデルをライトサイジングしている</t>
        </is>
      </c>
      <c r="F59" s="4" t="inlineStr">
        <is>
          <t>候補モデルの品質、レイテンシ、単価比較と採用理由がタスク別に記録されている</t>
        </is>
      </c>
      <c r="G59" s="4" t="inlineStr">
        <is>
          <t>必要以上に大きいモデルの常用による費用・遅延を防ぐ。</t>
        </is>
      </c>
      <c r="H59" s="4" t="inlineStr">
        <is>
          <t>AWS: Generative AI Lens &gt; Cost optimization &gt; GENCOST01-BP01 / GENCOST03-BP01〜BP03 | GCP: AI and ML perspective - Cost optimization &gt; Optimize resource allocation(autoscaling for inference) / Define and measure costs and returns | Azure: Design Principles for AI Workloads on Azure &gt; Cost Optimization &gt; Determine the cost drivers / Use what you pay for</t>
        </is>
      </c>
      <c r="I59" s="4" t="inlineStr">
        <is>
          <t>AI-CONDITIONAL</t>
        </is>
      </c>
      <c r="J59" s="4" t="inlineStr">
        <is>
          <t>AI/MLを含む案件に適用。従来型ML・生成AI・エージェントAIの種別ごとにN/Aを判断。</t>
        </is>
      </c>
      <c r="K59" s="4" t="inlineStr">
        <is>
          <t>SRC-AWS-GENAI;SRC-GCP-AIML;SRC-AZR-AI</t>
        </is>
      </c>
      <c r="L59" s="4" t="inlineStr">
        <is>
          <t>COST</t>
        </is>
      </c>
      <c r="M59" s="4" t="n"/>
      <c r="N59" s="4" t="n"/>
      <c r="O59" s="4" t="n"/>
      <c r="P59" s="4" t="n"/>
      <c r="Q59" s="4" t="n"/>
      <c r="R59" s="4" t="n"/>
      <c r="S59" s="4" t="n"/>
      <c r="T59" s="4" t="n"/>
      <c r="U59" s="4" t="n"/>
      <c r="V59" s="4" t="n"/>
      <c r="W59" s="4" t="n"/>
    </row>
    <row r="60">
      <c r="A60" s="5" t="inlineStr">
        <is>
          <t>AI-063</t>
        </is>
      </c>
      <c r="B60" s="5" t="inlineStr">
        <is>
          <t>WAF</t>
        </is>
      </c>
      <c r="C60" s="4" t="inlineStr">
        <is>
          <t>コスト最適化</t>
        </is>
      </c>
      <c r="D60" s="9" t="inlineStr">
        <is>
          <t>High</t>
        </is>
      </c>
      <c r="E60" s="4" t="inlineStr">
        <is>
          <t>プロンプトと応答のトークン長を品質要件の範囲で最適化している</t>
        </is>
      </c>
      <c r="F60" s="4" t="inlineStr">
        <is>
          <t>不要コンテキスト、重複指示、最大出力長の見直し前後で品質とトークン量を測定している</t>
        </is>
      </c>
      <c r="G60" s="4" t="inlineStr">
        <is>
          <t>品質に寄与しないトークン消費を抑える。</t>
        </is>
      </c>
      <c r="H60" s="4" t="inlineStr">
        <is>
          <t>AWS: Generative AI Lens &gt; Cost optimization &gt; GENCOST01-BP01 / GENCOST03-BP01〜BP03 | GCP: AI and ML perspective - Cost optimization &gt; Optimize resource allocation(autoscaling for inference) / Define and measure costs and returns | Azure: Design Principles for AI Workloads on Azure &gt; Cost Optimization &gt; Determine the cost drivers / Use what you pay for</t>
        </is>
      </c>
      <c r="I60" s="4" t="inlineStr">
        <is>
          <t>AI-CONDITIONAL</t>
        </is>
      </c>
      <c r="J60" s="4" t="inlineStr">
        <is>
          <t>AI/MLを含む案件に適用。従来型ML・生成AI・エージェントAIの種別ごとにN/Aを判断。</t>
        </is>
      </c>
      <c r="K60" s="4" t="inlineStr">
        <is>
          <t>SRC-AWS-GENAI;SRC-GCP-AIML;SRC-AZR-AI</t>
        </is>
      </c>
      <c r="L60" s="4" t="inlineStr">
        <is>
          <t>COST</t>
        </is>
      </c>
      <c r="M60" s="4" t="n"/>
      <c r="N60" s="4" t="n"/>
      <c r="O60" s="4" t="n"/>
      <c r="P60" s="4" t="n"/>
      <c r="Q60" s="4" t="n"/>
      <c r="R60" s="4" t="n"/>
      <c r="S60" s="4" t="n"/>
      <c r="T60" s="4" t="n"/>
      <c r="U60" s="4" t="n"/>
      <c r="V60" s="4" t="n"/>
      <c r="W60" s="4" t="n"/>
    </row>
    <row r="61">
      <c r="A61" s="5" t="inlineStr">
        <is>
          <t>AI-064</t>
        </is>
      </c>
      <c r="B61" s="5" t="inlineStr">
        <is>
          <t>WAF</t>
        </is>
      </c>
      <c r="C61" s="4" t="inlineStr">
        <is>
          <t>コスト最適化</t>
        </is>
      </c>
      <c r="D61" s="9" t="inlineStr">
        <is>
          <t>High</t>
        </is>
      </c>
      <c r="E61" s="4" t="inlineStr">
        <is>
          <t>意味・セキュリティ境界に適合する箇所へキャッシュを適用している</t>
        </is>
      </c>
      <c r="F61" s="4" t="inlineStr">
        <is>
          <t>キャッシュ対象、キー、テナント境界、TTL、無効化条件と費用削減効果が記録されている</t>
        </is>
      </c>
      <c r="G61" s="4" t="inlineStr">
        <is>
          <t>重複推論・検索を減らしつつ、他利用者の応答混入を防ぐ。</t>
        </is>
      </c>
      <c r="H61" s="4" t="inlineStr">
        <is>
          <t>AWS: Generative AI Lens &gt; Cost optimization &gt; GENCOST01-BP01 / GENCOST03-BP01〜BP03 | GCP: AI and ML perspective - Cost optimization &gt; Optimize resource allocation(autoscaling for inference) / Define and measure costs and returns | Azure: Design Principles for AI Workloads on Azure &gt; Cost Optimization &gt; Determine the cost drivers / Use what you pay for</t>
        </is>
      </c>
      <c r="I61" s="4" t="inlineStr">
        <is>
          <t>AI-CONDITIONAL</t>
        </is>
      </c>
      <c r="J61" s="4" t="inlineStr">
        <is>
          <t>AI/MLを含む案件に適用。従来型ML・生成AI・エージェントAIの種別ごとにN/Aを判断。</t>
        </is>
      </c>
      <c r="K61" s="4" t="inlineStr">
        <is>
          <t>SRC-AWS-GENAI;SRC-GCP-AIML;SRC-AZR-AI</t>
        </is>
      </c>
      <c r="L61" s="4" t="inlineStr">
        <is>
          <t>COST</t>
        </is>
      </c>
      <c r="M61" s="4" t="n"/>
      <c r="N61" s="4" t="n"/>
      <c r="O61" s="4" t="n"/>
      <c r="P61" s="4" t="n"/>
      <c r="Q61" s="4" t="n"/>
      <c r="R61" s="4" t="n"/>
      <c r="S61" s="4" t="n"/>
      <c r="T61" s="4" t="n"/>
      <c r="U61" s="4" t="n"/>
      <c r="V61" s="4" t="n"/>
      <c r="W61" s="4" t="n"/>
    </row>
    <row r="62">
      <c r="A62" s="5" t="inlineStr">
        <is>
          <t>AI-065</t>
        </is>
      </c>
      <c r="B62" s="5" t="inlineStr">
        <is>
          <t>WAF</t>
        </is>
      </c>
      <c r="C62" s="4" t="inlineStr">
        <is>
          <t>コスト最適化</t>
        </is>
      </c>
      <c r="D62" s="9" t="inlineStr">
        <is>
          <t>High</t>
        </is>
      </c>
      <c r="E62" s="4" t="inlineStr">
        <is>
          <t>AI利用コストを部門・製品・テナント等の責任単位へ配賦している</t>
        </is>
      </c>
      <c r="F62" s="4" t="inlineStr">
        <is>
          <t>タグ、利用者ID、プロジェクトID等で費用を追跡でき、責任者へ定期報告されている</t>
        </is>
      </c>
      <c r="G62" s="4" t="inlineStr">
        <is>
          <t>コスト責任が不明な共有基盤で利用が無制限に増えることを防ぐ。</t>
        </is>
      </c>
      <c r="H62" s="4" t="inlineStr">
        <is>
          <t>AWS: Generative AI Lens &gt; Cost optimization &gt; GENCOST01-BP01 / GENCOST03-BP01〜BP03 | GCP: AI and ML perspective - Cost optimization &gt; Optimize resource allocation(autoscaling for inference) / Define and measure costs and returns | Azure: Design Principles for AI Workloads on Azure &gt; Cost Optimization &gt; Determine the cost drivers / Use what you pay for</t>
        </is>
      </c>
      <c r="I62" s="4" t="inlineStr">
        <is>
          <t>AI-CONDITIONAL</t>
        </is>
      </c>
      <c r="J62" s="4" t="inlineStr">
        <is>
          <t>AI/MLを含む案件に適用。従来型ML・生成AI・エージェントAIの種別ごとにN/Aを判断。</t>
        </is>
      </c>
      <c r="K62" s="4" t="inlineStr">
        <is>
          <t>SRC-AWS-GENAI;SRC-GCP-AIML;SRC-AZR-AI</t>
        </is>
      </c>
      <c r="L62" s="4" t="inlineStr">
        <is>
          <t>COST</t>
        </is>
      </c>
      <c r="M62" s="4" t="n"/>
      <c r="N62" s="4" t="n"/>
      <c r="O62" s="4" t="n"/>
      <c r="P62" s="4" t="n"/>
      <c r="Q62" s="4" t="n"/>
      <c r="R62" s="4" t="n"/>
      <c r="S62" s="4" t="n"/>
      <c r="T62" s="4" t="n"/>
      <c r="U62" s="4" t="n"/>
      <c r="V62" s="4" t="n"/>
      <c r="W62" s="4" t="n"/>
    </row>
    <row r="63">
      <c r="A63" s="5" t="inlineStr">
        <is>
          <t>AI-066</t>
        </is>
      </c>
      <c r="B63" s="5" t="inlineStr">
        <is>
          <t>WAF</t>
        </is>
      </c>
      <c r="C63" s="4" t="inlineStr">
        <is>
          <t>コスト最適化</t>
        </is>
      </c>
      <c r="D63" s="9" t="inlineStr">
        <is>
          <t>High</t>
        </is>
      </c>
      <c r="E63" s="4" t="inlineStr">
        <is>
          <t>AI費用の予算・異常検知アラートと超過時の対応を設定している</t>
        </is>
      </c>
      <c r="F63" s="4" t="inlineStr">
        <is>
          <t>予算閾値、単位コスト急増、利用量異常の通知先と抑制・承認手順がテストされている</t>
        </is>
      </c>
      <c r="G63" s="4" t="inlineStr">
        <is>
          <t>設定ミスや攻撃による急激な費用増加を早期に止める。</t>
        </is>
      </c>
      <c r="H63" s="4" t="inlineStr">
        <is>
          <t>AWS: Generative AI Lens &gt; Cost optimization &gt; GENCOST01-BP01 / GENCOST03-BP01〜BP03 | GCP: AI and ML perspective - Cost optimization &gt; Optimize resource allocation(autoscaling for inference) / Define and measure costs and returns | Azure: Design Principles for AI Workloads on Azure &gt; Cost Optimization &gt; Determine the cost drivers / Use what you pay for</t>
        </is>
      </c>
      <c r="I63" s="4" t="inlineStr">
        <is>
          <t>AI-CONDITIONAL</t>
        </is>
      </c>
      <c r="J63" s="4" t="inlineStr">
        <is>
          <t>AI/MLを含む案件に適用。従来型ML・生成AI・エージェントAIの種別ごとにN/Aを判断。</t>
        </is>
      </c>
      <c r="K63" s="4" t="inlineStr">
        <is>
          <t>SRC-AWS-GENAI;SRC-GCP-AIML;SRC-AZR-AI</t>
        </is>
      </c>
      <c r="L63" s="4" t="inlineStr">
        <is>
          <t>OPS-OBSERVABILITY;COST</t>
        </is>
      </c>
      <c r="M63" s="4" t="n"/>
      <c r="N63" s="4" t="n"/>
      <c r="O63" s="4" t="n"/>
      <c r="P63" s="4" t="n"/>
      <c r="Q63" s="4" t="n"/>
      <c r="R63" s="4" t="n"/>
      <c r="S63" s="4" t="n"/>
      <c r="T63" s="4" t="n"/>
      <c r="U63" s="4" t="n"/>
      <c r="V63" s="4" t="n"/>
      <c r="W63" s="4" t="n"/>
    </row>
    <row r="64">
      <c r="A64" s="5" t="inlineStr">
        <is>
          <t>AI-044</t>
        </is>
      </c>
      <c r="B64" s="5" t="inlineStr">
        <is>
          <t>WAF</t>
        </is>
      </c>
      <c r="C64" s="4" t="inlineStr">
        <is>
          <t>コスト最適化</t>
        </is>
      </c>
      <c r="D64" s="10" t="inlineStr">
        <is>
          <t>Medium</t>
        </is>
      </c>
      <c r="E64" s="4" t="inlineStr">
        <is>
          <t>トラフィックパターンの分析に基づき、従量課金・予約キャパシティ・バッチ処理などの価格モデル(消費形態)を使い分けているか</t>
        </is>
      </c>
      <c r="F64" s="4" t="inlineStr">
        <is>
          <t>利用パターン分析に基づく価格モデル選定と見積り比較の記録がある</t>
        </is>
      </c>
      <c r="G64" s="4" t="inlineStr">
        <is>
          <t>利用実態に合わない契約形態による過払い・キャパシティ不足を防ぐ。</t>
        </is>
      </c>
      <c r="H64" s="4" t="inlineStr">
        <is>
          <t>AWS: Generative AI Lens &gt; Cost optimization &gt; GENCOST02-BP01 / GENCOST02-BP02</t>
        </is>
      </c>
      <c r="I64" s="4" t="inlineStr">
        <is>
          <t>AI-CONDITIONAL</t>
        </is>
      </c>
      <c r="J64" s="4" t="inlineStr">
        <is>
          <t>AI/MLを含む案件に適用。従来型ML・生成AI・エージェントAIの種別ごとにN/Aを判断。</t>
        </is>
      </c>
      <c r="K64" s="4" t="inlineStr">
        <is>
          <t>SRC-AWS-GENAI</t>
        </is>
      </c>
      <c r="L64" s="4" t="inlineStr">
        <is>
          <t>COST</t>
        </is>
      </c>
      <c r="M64" s="4" t="n"/>
      <c r="N64" s="4" t="n"/>
      <c r="O64" s="4" t="n"/>
      <c r="P64" s="4" t="n"/>
      <c r="Q64" s="4" t="n"/>
      <c r="R64" s="4" t="n"/>
      <c r="S64" s="4" t="n"/>
      <c r="T64" s="4" t="n"/>
      <c r="U64" s="4" t="n"/>
      <c r="V64" s="4" t="n"/>
      <c r="W64" s="4" t="n"/>
    </row>
    <row r="65">
      <c r="A65" s="5" t="inlineStr">
        <is>
          <t>AI-045</t>
        </is>
      </c>
      <c r="B65" s="5" t="inlineStr">
        <is>
          <t>WAF</t>
        </is>
      </c>
      <c r="C65" s="4" t="inlineStr">
        <is>
          <t>コスト最適化</t>
        </is>
      </c>
      <c r="D65" s="9" t="inlineStr">
        <is>
          <t>High</t>
        </is>
      </c>
      <c r="E65" s="4" t="inlineStr">
        <is>
          <t>エージェント/長時間ワークフローに最大反復回数・トークン上限・タイムアウトなどの停止条件を設定しているか</t>
        </is>
      </c>
      <c r="F65" s="4" t="inlineStr">
        <is>
          <t>停止条件と超過時の安全な中断・通知が実装されている</t>
        </is>
      </c>
      <c r="G65" s="4" t="inlineStr">
        <is>
          <t>ループ・暴走による際限のない推論コストとリソース占有を防ぐ。</t>
        </is>
      </c>
      <c r="H65" s="4" t="inlineStr">
        <is>
          <t>AWS: Generative AI Lens &gt; Cost optimization &gt; GENCOST05-BP01 / Reliability &gt; GENREL03-BP02</t>
        </is>
      </c>
      <c r="I65" s="4" t="inlineStr">
        <is>
          <t>AI-CONDITIONAL</t>
        </is>
      </c>
      <c r="J65" s="4" t="inlineStr">
        <is>
          <t>AI/MLを含む案件に適用。従来型ML・生成AI・エージェントAIの種別ごとにN/Aを判断。</t>
        </is>
      </c>
      <c r="K65" s="4" t="inlineStr">
        <is>
          <t>SRC-AWS-GENAI</t>
        </is>
      </c>
      <c r="L65" s="4" t="inlineStr">
        <is>
          <t>COST</t>
        </is>
      </c>
      <c r="M65" s="4" t="n"/>
      <c r="N65" s="4" t="n"/>
      <c r="O65" s="4" t="n"/>
      <c r="P65" s="4" t="n"/>
      <c r="Q65" s="4" t="n"/>
      <c r="R65" s="4" t="n"/>
      <c r="S65" s="4" t="n"/>
      <c r="T65" s="4" t="n"/>
      <c r="U65" s="4" t="n"/>
      <c r="V65" s="4" t="n"/>
      <c r="W65" s="4" t="n"/>
    </row>
    <row r="66">
      <c r="A66" s="5" t="inlineStr">
        <is>
          <t>AI-046</t>
        </is>
      </c>
      <c r="B66" s="5" t="inlineStr">
        <is>
          <t>WAF</t>
        </is>
      </c>
      <c r="C66" s="4" t="inlineStr">
        <is>
          <t>コスト最適化</t>
        </is>
      </c>
      <c r="D66" s="10" t="inlineStr">
        <is>
          <t>Medium</t>
        </is>
      </c>
      <c r="E66" s="4" t="inlineStr">
        <is>
          <t>GPU等の高価なコンピュートの利用率を継続監視し、ベンチマークに基づくインスタンス/SKU選定と、未使用時の停止・スケールダウン・割り当て解除を運用しているか</t>
        </is>
      </c>
      <c r="F66" s="4" t="inlineStr">
        <is>
          <t>GPU利用率メトリクスの監視とライトサイズの定期レビューが行われ、GPUをAI機能以外に使用していない</t>
        </is>
      </c>
      <c r="G66" s="4" t="inlineStr">
        <is>
          <t>GPUの過剰プロビジョニング・放置はコストを急増させる。</t>
        </is>
      </c>
      <c r="H66" s="4" t="inlineStr">
        <is>
          <t>Azure: Design Principles for AI Workloads on Azure &gt; Performance Efficiency &gt; Trade-off / Cost Optimization &gt; Use what you pay for</t>
        </is>
      </c>
      <c r="I66" s="4" t="inlineStr">
        <is>
          <t>AI-CONDITIONAL</t>
        </is>
      </c>
      <c r="J66" s="4" t="inlineStr">
        <is>
          <t>AI/MLを含む案件に適用。従来型ML・生成AI・エージェントAIの種別ごとにN/Aを判断。</t>
        </is>
      </c>
      <c r="K66" s="4" t="inlineStr">
        <is>
          <t>SRC-AZR-AI</t>
        </is>
      </c>
      <c r="L66" s="4" t="inlineStr">
        <is>
          <t>OPS-OBSERVABILITY;COST</t>
        </is>
      </c>
      <c r="M66" s="4" t="n"/>
      <c r="N66" s="4" t="n"/>
      <c r="O66" s="4" t="n"/>
      <c r="P66" s="4" t="n"/>
      <c r="Q66" s="4" t="n"/>
      <c r="R66" s="4" t="n"/>
      <c r="S66" s="4" t="n"/>
      <c r="T66" s="4" t="n"/>
      <c r="U66" s="4" t="n"/>
      <c r="V66" s="4" t="n"/>
      <c r="W66" s="4" t="n"/>
    </row>
    <row r="67">
      <c r="A67" s="5" t="inlineStr">
        <is>
          <t>AI-047</t>
        </is>
      </c>
      <c r="B67" s="5" t="inlineStr">
        <is>
          <t>WAF</t>
        </is>
      </c>
      <c r="C67" s="4" t="inlineStr">
        <is>
          <t>コスト最適化</t>
        </is>
      </c>
      <c r="D67" s="11" t="inlineStr">
        <is>
          <t>Low</t>
        </is>
      </c>
      <c r="E67" s="4" t="inlineStr">
        <is>
          <t>小型モデル・蒸留・量子化・効率的ファインチューニング・サーバーレス構成により、計算資源と環境負荷(エネルギー消費)を削減しているか</t>
        </is>
      </c>
      <c r="F67" s="4" t="inlineStr">
        <is>
          <t>要件を満たす最小リソース構成の検討記録があり、遊休リソースが排除されている</t>
        </is>
      </c>
      <c r="G67" s="4" t="inlineStr">
        <is>
          <t>過剰な計算資源の常用によりエネルギー・コストを浪費することを防ぐ。</t>
        </is>
      </c>
      <c r="H67" s="4" t="inlineStr">
        <is>
          <t>AWS: Generative AI Lens &gt; Sustainability &gt; GENSUS01-BP01 / GENSUS01-BP02 / GENSUS03-BP01</t>
        </is>
      </c>
      <c r="I67" s="4" t="inlineStr">
        <is>
          <t>AI-CONDITIONAL</t>
        </is>
      </c>
      <c r="J67" s="4" t="inlineStr">
        <is>
          <t>AI/MLを含む案件に適用。従来型ML・生成AI・エージェントAIの種別ごとにN/Aを判断。</t>
        </is>
      </c>
      <c r="K67" s="4" t="inlineStr">
        <is>
          <t>SRC-AWS-GENAI</t>
        </is>
      </c>
      <c r="L67" s="4" t="inlineStr">
        <is>
          <t>COST</t>
        </is>
      </c>
      <c r="M67" s="4" t="n"/>
      <c r="N67" s="4" t="n"/>
      <c r="O67" s="4" t="n"/>
      <c r="P67" s="4" t="n"/>
      <c r="Q67" s="4" t="n"/>
      <c r="R67" s="4" t="n"/>
      <c r="S67" s="4" t="n"/>
      <c r="T67" s="4" t="n"/>
      <c r="U67" s="4" t="n"/>
      <c r="V67" s="4" t="n"/>
      <c r="W67" s="4" t="n"/>
    </row>
    <row r="68">
      <c r="A68" s="5" t="inlineStr">
        <is>
          <t>AI-048</t>
        </is>
      </c>
      <c r="B68" s="5" t="inlineStr">
        <is>
          <t>WAF</t>
        </is>
      </c>
      <c r="C68" s="4" t="inlineStr">
        <is>
          <t>責任あるAI</t>
        </is>
      </c>
      <c r="D68" s="9" t="inlineStr">
        <is>
          <t>High</t>
        </is>
      </c>
      <c r="E68" s="4" t="inlineStr">
        <is>
          <t>モデル生産者・提供者・利用者の間の責任分担(責任あるAIの共有責任)を理解し、自組織の責務(評価・ガードレール・監視)を特定・実施しているか</t>
        </is>
      </c>
      <c r="F68" s="4" t="inlineStr">
        <is>
          <t>自組織が負う責任範囲が文書化され、対応する統制(評価、ガードレール、監査)が実装されている</t>
        </is>
      </c>
      <c r="G68" s="4" t="inlineStr">
        <is>
          <t>「モデル提供者側が対処済み」という誤解により、利用者側で必要な安全対策が欠落することを防ぐ。</t>
        </is>
      </c>
      <c r="H68" s="4" t="inlineStr">
        <is>
          <t>AWS: Generative AI Lens - AWS Well-Architected Framework &gt; 概要(Responsible AI practices are highlighted, considering shared responsibilities between model producers, providers and consumers)</t>
        </is>
      </c>
      <c r="I68" s="4" t="inlineStr">
        <is>
          <t>AI-CONDITIONAL</t>
        </is>
      </c>
      <c r="J68" s="4" t="inlineStr">
        <is>
          <t>AI/MLを含む案件に適用。従来型ML・生成AI・エージェントAIの種別ごとにN/Aを判断。</t>
        </is>
      </c>
      <c r="K68" s="4" t="inlineStr">
        <is>
          <t>SRC-AWS-GENAI</t>
        </is>
      </c>
      <c r="L68" s="4" t="inlineStr">
        <is>
          <t>OPS-OBSERVABILITY</t>
        </is>
      </c>
      <c r="M68" s="4" t="n"/>
      <c r="N68" s="4" t="n"/>
      <c r="O68" s="4" t="n"/>
      <c r="P68" s="4" t="n"/>
      <c r="Q68" s="4" t="n"/>
      <c r="R68" s="4" t="n"/>
      <c r="S68" s="4" t="n"/>
      <c r="T68" s="4" t="n"/>
      <c r="U68" s="4" t="n"/>
      <c r="V68" s="4" t="n"/>
      <c r="W68" s="4" t="n"/>
    </row>
    <row r="69">
      <c r="A69" s="5" t="inlineStr">
        <is>
          <t>AI-049</t>
        </is>
      </c>
      <c r="B69" s="5" t="inlineStr">
        <is>
          <t>WAF</t>
        </is>
      </c>
      <c r="C69" s="4" t="inlineStr">
        <is>
          <t>責任あるAI</t>
        </is>
      </c>
      <c r="D69" s="9" t="inlineStr">
        <is>
          <t>High</t>
        </is>
      </c>
      <c r="E69" s="4" t="inlineStr">
        <is>
          <t>公平性・バイアス・社会的影響の検討が開発プロセスに組み込まれ、明確な責任あるAI原則と説明責任の仕組み(工程ごとの倫理レビュー)が確立されているか</t>
        </is>
      </c>
      <c r="F69" s="4" t="inlineStr">
        <is>
          <t>責任あるAIの原則文書と、開発工程ごとの倫理レビューの実施記録が存在する</t>
        </is>
      </c>
      <c r="G69" s="4" t="inlineStr">
        <is>
          <t>倫理検討を後付けにすると、差別的な判断や規制違反が本番で発覚し重大なレピュテーション損害となる。</t>
        </is>
      </c>
      <c r="H69" s="4" t="inlineStr">
        <is>
          <t>GCP: AI and ML perspective - Operational excellence &gt; Build a culture of operational excellence &gt; Embed AI ethics and safety considerations</t>
        </is>
      </c>
      <c r="I69" s="4" t="inlineStr">
        <is>
          <t>AI-CONDITIONAL</t>
        </is>
      </c>
      <c r="J69" s="4" t="inlineStr">
        <is>
          <t>AI/MLを含む案件に適用。従来型ML・生成AI・エージェントAIの種別ごとにN/Aを判断。</t>
        </is>
      </c>
      <c r="K69" s="4" t="inlineStr">
        <is>
          <t>SRC-GCP-AIML</t>
        </is>
      </c>
      <c r="L69" s="4" t="inlineStr"/>
      <c r="M69" s="4" t="n"/>
      <c r="N69" s="4" t="n"/>
      <c r="O69" s="4" t="n"/>
      <c r="P69" s="4" t="n"/>
      <c r="Q69" s="4" t="n"/>
      <c r="R69" s="4" t="n"/>
      <c r="S69" s="4" t="n"/>
      <c r="T69" s="4" t="n"/>
      <c r="U69" s="4" t="n"/>
      <c r="V69" s="4" t="n"/>
      <c r="W69" s="4" t="n"/>
    </row>
    <row r="70">
      <c r="A70" s="5" t="inlineStr">
        <is>
          <t>AI-050</t>
        </is>
      </c>
      <c r="B70" s="5" t="inlineStr">
        <is>
          <t>WAF</t>
        </is>
      </c>
      <c r="C70" s="4" t="inlineStr">
        <is>
          <t>責任あるAI</t>
        </is>
      </c>
      <c r="D70" s="9" t="inlineStr">
        <is>
          <t>High</t>
        </is>
      </c>
      <c r="E70" s="4" t="inlineStr">
        <is>
          <t>訓練データの不均衡・バイアスの分析と緩和(再サンプリング・合成データ等)を行い、モデル評価にサブグループ分析・反実仮想生成等を含めて属性グループ間の性能差を測定しているか</t>
        </is>
      </c>
      <c r="F70" s="4" t="inlineStr">
        <is>
          <t>主要な属性グループ別の評価結果、バイアス除去プロセスの文書化、許容できない差異検出時の緩和手順が存在する</t>
        </is>
      </c>
      <c r="G70" s="4" t="inlineStr">
        <is>
          <t>集計精度のみの評価は特定集団への系統的な不利益(不公平な結果)を見逃す。</t>
        </is>
      </c>
      <c r="H70" s="4" t="inlineStr">
        <is>
          <t>GCP: AI and ML perspective - Operational excellence &gt; Implement observability &gt; Evaluate models during development(subgroup analysis, counterfactual generation) | Azure: Design Training Data for AI Workloads on Azure &gt; Data ingestion and analysis / Data preprocessing</t>
        </is>
      </c>
      <c r="I70" s="4" t="inlineStr">
        <is>
          <t>AI-CONDITIONAL</t>
        </is>
      </c>
      <c r="J70" s="4" t="inlineStr">
        <is>
          <t>AI/MLを含む案件に適用。従来型ML・生成AI・エージェントAIの種別ごとにN/Aを判断。</t>
        </is>
      </c>
      <c r="K70" s="4" t="inlineStr">
        <is>
          <t>SRC-GCP-AIML;SRC-AZR-AI</t>
        </is>
      </c>
      <c r="L70" s="4" t="inlineStr"/>
      <c r="M70" s="4" t="n"/>
      <c r="N70" s="4" t="n"/>
      <c r="O70" s="4" t="n"/>
      <c r="P70" s="4" t="n"/>
      <c r="Q70" s="4" t="n"/>
      <c r="R70" s="4" t="n"/>
      <c r="S70" s="4" t="n"/>
      <c r="T70" s="4" t="n"/>
      <c r="U70" s="4" t="n"/>
      <c r="V70" s="4" t="n"/>
      <c r="W70" s="4" t="n"/>
    </row>
    <row r="71">
      <c r="A71" s="5" t="inlineStr">
        <is>
          <t>AI-051</t>
        </is>
      </c>
      <c r="B71" s="5" t="inlineStr">
        <is>
          <t>WAF</t>
        </is>
      </c>
      <c r="C71" s="4" t="inlineStr">
        <is>
          <t>責任あるAI</t>
        </is>
      </c>
      <c r="D71" s="10" t="inlineStr">
        <is>
          <t>Medium</t>
        </is>
      </c>
      <c r="E71" s="4" t="inlineStr">
        <is>
          <t>応答の根拠(出典)の提示・AI生成コンテンツの明示・推論根拠(特徴量アトリビューション等)のトレースにより説明可能性と透明性を確保し、AIによる自動判断への異議申し立てと人間による再審査の手順を提供しているか</t>
        </is>
      </c>
      <c r="F71" s="4" t="inlineStr">
        <is>
          <t>出典表示とAI利用の開示がUIに実装され、規制が求める場合にAI判断の根拠を提示でき、AI判断の再審査プロセスが定義されている</t>
        </is>
      </c>
      <c r="G71" s="4" t="inlineStr">
        <is>
          <t>説明できないAIは劣化原因の分析を阻み、規制対応・利用者の信頼獲得を困難にし、誤った自動判断が是正されないまま残る。</t>
        </is>
      </c>
      <c r="H71" s="4" t="inlineStr">
        <is>
          <t>GCP: Best practices for implementing ML on Google Cloud &gt; Model monitoring &gt; Use feature attributions to detect performance degradation | Azure: Responsible AI in Azure Workloads &gt; Make the user experience safe(Build transparency / Collect feedback)/ Application Design &gt; Consider nonfunctional requirements(Compliance and explainability)</t>
        </is>
      </c>
      <c r="I71" s="4" t="inlineStr">
        <is>
          <t>AI-CONDITIONAL</t>
        </is>
      </c>
      <c r="J71" s="4" t="inlineStr">
        <is>
          <t>AI/MLを含む案件に適用。従来型ML・生成AI・エージェントAIの種別ごとにN/Aを判断。</t>
        </is>
      </c>
      <c r="K71" s="4" t="inlineStr">
        <is>
          <t>SRC-GCP-AIML;SRC-AZR-AI</t>
        </is>
      </c>
      <c r="L71" s="4" t="inlineStr">
        <is>
          <t>OPS-OBSERVABILITY</t>
        </is>
      </c>
      <c r="M71" s="4" t="n"/>
      <c r="N71" s="4" t="n"/>
      <c r="O71" s="4" t="n"/>
      <c r="P71" s="4" t="n"/>
      <c r="Q71" s="4" t="n"/>
      <c r="R71" s="4" t="n"/>
      <c r="S71" s="4" t="n"/>
      <c r="T71" s="4" t="n"/>
      <c r="U71" s="4" t="n"/>
      <c r="V71" s="4" t="n"/>
      <c r="W71" s="4" t="n"/>
    </row>
    <row r="72">
      <c r="A72" s="5" t="inlineStr">
        <is>
          <t>AI-067</t>
        </is>
      </c>
      <c r="B72" s="5" t="inlineStr">
        <is>
          <t>WAF</t>
        </is>
      </c>
      <c r="C72" s="4" t="inlineStr">
        <is>
          <t>責任あるAI</t>
        </is>
      </c>
      <c r="D72" s="10" t="inlineStr">
        <is>
          <t>High</t>
        </is>
      </c>
      <c r="E72" s="4" t="inlineStr">
        <is>
          <t>AIユースケースの上流・下流ステークホルダーと影響を受ける集団を特定している</t>
        </is>
      </c>
      <c r="F72" s="4" t="inlineStr">
        <is>
          <t>データ提供者、開発・運用者、直接利用者、判断対象者、第三者への便益・潜在的害がユースケース単位で記録されている</t>
        </is>
      </c>
      <c r="G72" s="4" t="inlineStr">
        <is>
          <t>直接利用者だけを見て、判断対象者や下流利用者への影響を見落とすことを防ぐ。</t>
        </is>
      </c>
      <c r="H72" s="4" t="inlineStr">
        <is>
          <t>AWS Responsible AI Lens &gt; Use case &gt; Identify use case stakeholders (RAIUC02)</t>
        </is>
      </c>
      <c r="I72" s="4" t="inlineStr">
        <is>
          <t>AI-CONDITIONAL</t>
        </is>
      </c>
      <c r="J72" s="4" t="inlineStr">
        <is>
          <t>AI/MLを含む案件に適用。従来型ML・生成AI・エージェントAIの種別ごとにN/Aを判断。</t>
        </is>
      </c>
      <c r="K72" s="4" t="inlineStr">
        <is>
          <t>SRC-AWS-RAI</t>
        </is>
      </c>
      <c r="L72" s="4" t="inlineStr"/>
      <c r="M72" s="4" t="n"/>
      <c r="N72" s="4" t="n"/>
      <c r="O72" s="4" t="n"/>
      <c r="P72" s="4" t="n"/>
      <c r="Q72" s="4" t="n"/>
      <c r="R72" s="4" t="n"/>
      <c r="S72" s="4" t="n"/>
      <c r="T72" s="4" t="n"/>
      <c r="U72" s="4" t="n"/>
      <c r="V72" s="4" t="n"/>
      <c r="W72" s="4" t="n"/>
    </row>
    <row r="73">
      <c r="A73" s="5" t="inlineStr">
        <is>
          <t>AI-068</t>
        </is>
      </c>
      <c r="B73" s="5" t="inlineStr">
        <is>
          <t>WAF</t>
        </is>
      </c>
      <c r="C73" s="4" t="inlineStr">
        <is>
          <t>責任あるAI</t>
        </is>
      </c>
      <c r="D73" s="10" t="inlineStr">
        <is>
          <t>High</t>
        </is>
      </c>
      <c r="E73" s="4" t="inlineStr">
        <is>
          <t>責任あるAIを含むリリース基準を、定量評価・閾値・信頼水準を持つ二値判定として定義している</t>
        </is>
      </c>
      <c r="F73" s="4" t="inlineStr">
        <is>
          <t>安全性、公平性、堅牢性、説明可能性等の該当基準に測定方法、閾値、必要信頼水準、合否が定義されている</t>
        </is>
      </c>
      <c r="G73" s="4" t="inlineStr">
        <is>
          <t>抽象的な原則を、リリース時に実際に判定できる統制へ変換する。</t>
        </is>
      </c>
      <c r="H73" s="4" t="inlineStr">
        <is>
          <t>AWS Responsible AI Lens &gt; Release criteria</t>
        </is>
      </c>
      <c r="I73" s="4" t="inlineStr">
        <is>
          <t>AI-CONDITIONAL</t>
        </is>
      </c>
      <c r="J73" s="4" t="inlineStr">
        <is>
          <t>AI/MLを含む案件に適用。従来型ML・生成AI・エージェントAIの種別ごとにN/Aを判断。</t>
        </is>
      </c>
      <c r="K73" s="4" t="inlineStr">
        <is>
          <t>SRC-AWS-RAI</t>
        </is>
      </c>
      <c r="L73" s="4" t="inlineStr"/>
      <c r="M73" s="4" t="n"/>
      <c r="N73" s="4" t="n"/>
      <c r="O73" s="4" t="n"/>
      <c r="P73" s="4" t="n"/>
      <c r="Q73" s="4" t="n"/>
      <c r="R73" s="4" t="n"/>
      <c r="S73" s="4" t="n"/>
      <c r="T73" s="4" t="n"/>
      <c r="U73" s="4" t="n"/>
      <c r="V73" s="4" t="n"/>
      <c r="W73" s="4" t="n"/>
    </row>
    <row r="74">
      <c r="A74" s="5" t="inlineStr">
        <is>
          <t>AI-069</t>
        </is>
      </c>
      <c r="B74" s="5" t="inlineStr">
        <is>
          <t>WAF</t>
        </is>
      </c>
      <c r="C74" s="4" t="inlineStr">
        <is>
          <t>データ・グラウンディング</t>
        </is>
      </c>
      <c r="D74" s="10" t="inlineStr">
        <is>
          <t>Medium</t>
        </is>
      </c>
      <c r="E74" s="4" t="inlineStr">
        <is>
          <t>各AIデータセットの特性・由来・制約をデータシートとして管理している</t>
        </is>
      </c>
      <c r="F74" s="4" t="inlineStr">
        <is>
          <t>目的、収集方法、母集団、ライセンス、機微性、既知の偏り、推奨・禁止用途、版がデータセットごとに記録されている</t>
        </is>
      </c>
      <c r="G74" s="4" t="inlineStr">
        <is>
          <t>出所や制約が不明なデータの再利用により、品質・権利・公平性問題が再発することを防ぐ。</t>
        </is>
      </c>
      <c r="H74" s="4" t="inlineStr">
        <is>
          <t>AWS Responsible AI Lens &gt; Data preparation &gt; RAIDP04-BP05 Document dataset characteristics using a datasheet / AWS Machine Learning Lens</t>
        </is>
      </c>
      <c r="I74" s="4" t="inlineStr">
        <is>
          <t>AI-CONDITIONAL</t>
        </is>
      </c>
      <c r="J74" s="4" t="inlineStr">
        <is>
          <t>AI/MLを含む案件に適用。従来型ML・生成AI・エージェントAIの種別ごとにN/Aを判断。</t>
        </is>
      </c>
      <c r="K74" s="4" t="inlineStr">
        <is>
          <t>SRC-AWS-RAI;SRC-AWS-ML</t>
        </is>
      </c>
      <c r="L74" s="4" t="inlineStr"/>
      <c r="M74" s="4" t="n"/>
      <c r="N74" s="4" t="n"/>
      <c r="O74" s="4" t="n"/>
      <c r="P74" s="4" t="n"/>
      <c r="Q74" s="4" t="n"/>
      <c r="R74" s="4" t="n"/>
      <c r="S74" s="4" t="n"/>
      <c r="T74" s="4" t="n"/>
      <c r="U74" s="4" t="n"/>
      <c r="V74" s="4" t="n"/>
      <c r="W74" s="4" t="n"/>
    </row>
    <row r="75">
      <c r="A75" s="5" t="inlineStr">
        <is>
          <t>AI-070</t>
        </is>
      </c>
      <c r="B75" s="5" t="inlineStr">
        <is>
          <t>WAF</t>
        </is>
      </c>
      <c r="C75" s="4" t="inlineStr">
        <is>
          <t>責任あるAI</t>
        </is>
      </c>
      <c r="D75" s="10" t="inlineStr">
        <is>
          <t>Medium</t>
        </is>
      </c>
      <c r="E75" s="4" t="inlineStr">
        <is>
          <t>AI機能・モデルの廃止時に、ステークホルダーへの義務と残存データ・依存先を処理する</t>
        </is>
      </c>
      <c r="F75" s="4" t="inlineStr">
        <is>
          <t>通知、代替手段、データ削除・保持、API・モデル停止、監査記録、異議・問い合わせ窓口を含む廃止計画がある</t>
        </is>
      </c>
      <c r="G75" s="4" t="inlineStr">
        <is>
          <t>AI機能停止後もデータや自動判断への依存が残り、利用者の権利・業務が損なわれることを防ぐ。</t>
        </is>
      </c>
      <c r="H75" s="4" t="inlineStr">
        <is>
          <t>AWS Responsible AI Lens &gt; Monitoring &gt; Decommissioning (RAIMON03-BP01)</t>
        </is>
      </c>
      <c r="I75" s="4" t="inlineStr">
        <is>
          <t>AI-CONDITIONAL</t>
        </is>
      </c>
      <c r="J75" s="4" t="inlineStr">
        <is>
          <t>AI/MLを含む案件に適用。従来型ML・生成AI・エージェントAIの種別ごとにN/Aを判断。</t>
        </is>
      </c>
      <c r="K75" s="4" t="inlineStr">
        <is>
          <t>SRC-AWS-RAI</t>
        </is>
      </c>
      <c r="L75" s="4" t="inlineStr"/>
      <c r="M75" s="4" t="n"/>
      <c r="N75" s="4" t="n"/>
      <c r="O75" s="4" t="n"/>
      <c r="P75" s="4" t="n"/>
      <c r="Q75" s="4" t="n"/>
      <c r="R75" s="4" t="n"/>
      <c r="S75" s="4" t="n"/>
      <c r="T75" s="4" t="n"/>
      <c r="U75" s="4" t="n"/>
      <c r="V75" s="4" t="n"/>
      <c r="W75" s="4" t="n"/>
    </row>
    <row r="76">
      <c r="A76" s="5" t="inlineStr">
        <is>
          <t>AI-071</t>
        </is>
      </c>
      <c r="B76" s="5" t="inlineStr">
        <is>
          <t>WAF</t>
        </is>
      </c>
      <c r="C76" s="4" t="inlineStr">
        <is>
          <t>エージェントAI</t>
        </is>
      </c>
      <c r="D76" s="10" t="inlineStr">
        <is>
          <t>Critical</t>
        </is>
      </c>
      <c r="E76" s="4" t="inlineStr">
        <is>
          <t>各AIエージェントの目的、権限、利用可能ツール、禁止操作、停止条件を明示し、技術的に強制している</t>
        </is>
      </c>
      <c r="F76" s="4" t="inlineStr">
        <is>
          <t>エージェント単位の権限契約があり、IAM・ポリシーエンジン・スキーマ等でプロンプト外にも強制されている</t>
        </is>
      </c>
      <c r="G76" s="4" t="inlineStr">
        <is>
          <t>曖昧な目的やプロンプトだけの制約により、エージェントが意図外操作を行うことを防ぐ。</t>
        </is>
      </c>
      <c r="H76" s="4" t="inlineStr">
        <is>
          <t>AWS Agentic AI Lens &gt; Design principles / Security &gt; Agent goal alignment and manipulation prevention</t>
        </is>
      </c>
      <c r="I76" s="4" t="inlineStr">
        <is>
          <t>AI-CONDITIONAL</t>
        </is>
      </c>
      <c r="J76" s="4" t="inlineStr">
        <is>
          <t>AI/MLを含む案件に適用。従来型ML・生成AI・エージェントAIの種別ごとにN/Aを判断。</t>
        </is>
      </c>
      <c r="K76" s="4" t="inlineStr">
        <is>
          <t>SRC-AWS-AGENTIC</t>
        </is>
      </c>
      <c r="L76" s="4" t="inlineStr"/>
      <c r="M76" s="4" t="n"/>
      <c r="N76" s="4" t="n"/>
      <c r="O76" s="4" t="n"/>
      <c r="P76" s="4" t="n"/>
      <c r="Q76" s="4" t="n"/>
      <c r="R76" s="4" t="n"/>
      <c r="S76" s="4" t="n"/>
      <c r="T76" s="4" t="n"/>
      <c r="U76" s="4" t="n"/>
      <c r="V76" s="4" t="n"/>
      <c r="W76" s="4" t="n"/>
    </row>
    <row r="77">
      <c r="A77" s="5" t="inlineStr">
        <is>
          <t>AI-072</t>
        </is>
      </c>
      <c r="B77" s="5" t="inlineStr">
        <is>
          <t>WAF</t>
        </is>
      </c>
      <c r="C77" s="4" t="inlineStr">
        <is>
          <t>エージェントAI</t>
        </is>
      </c>
      <c r="D77" s="10" t="inlineStr">
        <is>
          <t>High</t>
        </is>
      </c>
      <c r="E77" s="4" t="inlineStr">
        <is>
          <t>エージェントのツール呼出し、メモリアクセス、エージェント間引継ぎをエンドツーエンドで追跡できる</t>
        </is>
      </c>
      <c r="F77" s="4" t="inlineStr">
        <is>
          <t>単一の相関IDで、入力、推論版、ツール引数・結果、メモリ読書き、引継ぎ、最終結果、承認を時系列再構成できる</t>
        </is>
      </c>
      <c r="G77" s="4" t="inlineStr">
        <is>
          <t>複数段の自律処理で、誰が何を根拠に操作したか不明になることを防ぐ。</t>
        </is>
      </c>
      <c r="H77" s="4" t="inlineStr">
        <is>
          <t>AWS Agentic AI Lens &gt; Design principles &gt; Make every agent action observable and traceable end-to-end</t>
        </is>
      </c>
      <c r="I77" s="4" t="inlineStr">
        <is>
          <t>AI-CONDITIONAL</t>
        </is>
      </c>
      <c r="J77" s="4" t="inlineStr">
        <is>
          <t>AI/MLを含む案件に適用。従来型ML・生成AI・エージェントAIの種別ごとにN/Aを判断。</t>
        </is>
      </c>
      <c r="K77" s="4" t="inlineStr">
        <is>
          <t>SRC-AWS-AGENTIC</t>
        </is>
      </c>
      <c r="L77" s="4" t="inlineStr"/>
      <c r="M77" s="4" t="n"/>
      <c r="N77" s="4" t="n"/>
      <c r="O77" s="4" t="n"/>
      <c r="P77" s="4" t="n"/>
      <c r="Q77" s="4" t="n"/>
      <c r="R77" s="4" t="n"/>
      <c r="S77" s="4" t="n"/>
      <c r="T77" s="4" t="n"/>
      <c r="U77" s="4" t="n"/>
      <c r="V77" s="4" t="n"/>
      <c r="W77" s="4" t="n"/>
    </row>
    <row r="78">
      <c r="A78" s="5" t="inlineStr">
        <is>
          <t>AI-073</t>
        </is>
      </c>
      <c r="B78" s="5" t="inlineStr">
        <is>
          <t>WAF</t>
        </is>
      </c>
      <c r="C78" s="4" t="inlineStr">
        <is>
          <t>エージェントAI</t>
        </is>
      </c>
      <c r="D78" s="10" t="inlineStr">
        <is>
          <t>Critical</t>
        </is>
      </c>
      <c r="E78" s="4" t="inlineStr">
        <is>
          <t>エージェントの自律性レベルと行為の影響に比例した人間承認・エスカレーションを定義している</t>
        </is>
      </c>
      <c r="F78" s="4" t="inlineStr">
        <is>
          <t>観察、提案、自律実行、オーケストレーション等のレベルと、金銭・権限・外部通信・不可逆操作ごとの承認条件が実装されている</t>
        </is>
      </c>
      <c r="G78" s="4" t="inlineStr">
        <is>
          <t>低リスク支援と高影響の自律操作を同じ統制で扱うことを防ぐ。</t>
        </is>
      </c>
      <c r="H78" s="4" t="inlineStr">
        <is>
          <t>AWS Agentic AI Lens &gt; Design principles &gt; Pair autonomy with proportionate human oversight</t>
        </is>
      </c>
      <c r="I78" s="4" t="inlineStr">
        <is>
          <t>AI-CONDITIONAL</t>
        </is>
      </c>
      <c r="J78" s="4" t="inlineStr">
        <is>
          <t>AI/MLを含む案件に適用。従来型ML・生成AI・エージェントAIの種別ごとにN/Aを判断。</t>
        </is>
      </c>
      <c r="K78" s="4" t="inlineStr">
        <is>
          <t>SRC-AWS-AGENTIC</t>
        </is>
      </c>
      <c r="L78" s="4" t="inlineStr"/>
      <c r="M78" s="4" t="n"/>
      <c r="N78" s="4" t="n"/>
      <c r="O78" s="4" t="n"/>
      <c r="P78" s="4" t="n"/>
      <c r="Q78" s="4" t="n"/>
      <c r="R78" s="4" t="n"/>
      <c r="S78" s="4" t="n"/>
      <c r="T78" s="4" t="n"/>
      <c r="U78" s="4" t="n"/>
      <c r="V78" s="4" t="n"/>
      <c r="W78" s="4" t="n"/>
    </row>
    <row r="79">
      <c r="A79" s="5" t="inlineStr">
        <is>
          <t>AI-074</t>
        </is>
      </c>
      <c r="B79" s="5" t="inlineStr">
        <is>
          <t>WAF</t>
        </is>
      </c>
      <c r="C79" s="4" t="inlineStr">
        <is>
          <t>エージェントAI</t>
        </is>
      </c>
      <c r="D79" s="10" t="inlineStr">
        <is>
          <t>High</t>
        </is>
      </c>
      <c r="E79" s="4" t="inlineStr">
        <is>
          <t>エージェント間・ツール間の入出力を明示的な契約とスキーマで検証している</t>
        </is>
      </c>
      <c r="F79" s="4" t="inlineStr">
        <is>
          <t>メッセージ、ツール引数、成功条件、信頼度、エラー、版互換性がスキーマ化され、違反時に拒否または安全停止する</t>
        </is>
      </c>
      <c r="G79" s="4" t="inlineStr">
        <is>
          <t>暗黙の自然言語契約により、誤解した指示や不正データが連鎖することを防ぐ。</t>
        </is>
      </c>
      <c r="H79" s="4" t="inlineStr">
        <is>
          <t>AWS Agentic AI Lens &gt; Design principles &gt; Ground autonomous behavior in explicit contracts</t>
        </is>
      </c>
      <c r="I79" s="4" t="inlineStr">
        <is>
          <t>AI-CONDITIONAL</t>
        </is>
      </c>
      <c r="J79" s="4" t="inlineStr">
        <is>
          <t>AI/MLを含む案件に適用。従来型ML・生成AI・エージェントAIの種別ごとにN/Aを判断。</t>
        </is>
      </c>
      <c r="K79" s="4" t="inlineStr">
        <is>
          <t>SRC-AWS-AGENTIC</t>
        </is>
      </c>
      <c r="L79" s="4" t="inlineStr"/>
      <c r="M79" s="4" t="n"/>
      <c r="N79" s="4" t="n"/>
      <c r="O79" s="4" t="n"/>
      <c r="P79" s="4" t="n"/>
      <c r="Q79" s="4" t="n"/>
      <c r="R79" s="4" t="n"/>
      <c r="S79" s="4" t="n"/>
      <c r="T79" s="4" t="n"/>
      <c r="U79" s="4" t="n"/>
      <c r="V79" s="4" t="n"/>
      <c r="W79" s="4" t="n"/>
    </row>
    <row r="80">
      <c r="A80" s="5" t="inlineStr">
        <is>
          <t>AI-075</t>
        </is>
      </c>
      <c r="B80" s="5" t="inlineStr">
        <is>
          <t>WAF</t>
        </is>
      </c>
      <c r="C80" s="4" t="inlineStr">
        <is>
          <t>エージェントAI</t>
        </is>
      </c>
      <c r="D80" s="10" t="inlineStr">
        <is>
          <t>High</t>
        </is>
      </c>
      <c r="E80" s="4" t="inlineStr">
        <is>
          <t>エージェントの反復回数、ツール呼出し、時間、費用に上限を設け、無限ループを停止できる</t>
        </is>
      </c>
      <c r="F80" s="4" t="inlineStr">
        <is>
          <t>タスク別の実行予算、タイムアウト、最大ステップ、停止・補償処理、超過アラートが構成されテストされている</t>
        </is>
      </c>
      <c r="G80" s="4" t="inlineStr">
        <is>
          <t>確率的な計画失敗が無限反復、外部副作用、費用暴走へ拡大することを防ぐ。</t>
        </is>
      </c>
      <c r="H80" s="4" t="inlineStr">
        <is>
          <t>AWS Agentic AI Lens &gt; Reliability / Cost optimization / Operational excellence</t>
        </is>
      </c>
      <c r="I80" s="4" t="inlineStr">
        <is>
          <t>AI-CONDITIONAL</t>
        </is>
      </c>
      <c r="J80" s="4" t="inlineStr">
        <is>
          <t>AI/MLを含む案件に適用。従来型ML・生成AI・エージェントAIの種別ごとにN/Aを判断。</t>
        </is>
      </c>
      <c r="K80" s="4" t="inlineStr">
        <is>
          <t>SRC-AWS-AGENTIC</t>
        </is>
      </c>
      <c r="L80" s="4" t="inlineStr">
        <is>
          <t>COST</t>
        </is>
      </c>
      <c r="M80" s="4" t="n"/>
      <c r="N80" s="4" t="n"/>
      <c r="O80" s="4" t="n"/>
      <c r="P80" s="4" t="n"/>
      <c r="Q80" s="4" t="n"/>
      <c r="R80" s="4" t="n"/>
      <c r="S80" s="4" t="n"/>
      <c r="T80" s="4" t="n"/>
      <c r="U80" s="4" t="n"/>
      <c r="V80" s="4" t="n"/>
      <c r="W80" s="4" t="n"/>
    </row>
    <row r="81">
      <c r="A81" s="5" t="inlineStr">
        <is>
          <t>AI-076</t>
        </is>
      </c>
      <c r="B81" s="5" t="inlineStr">
        <is>
          <t>WAF</t>
        </is>
      </c>
      <c r="C81" s="4" t="inlineStr">
        <is>
          <t>ユースケース・ガバナンス</t>
        </is>
      </c>
      <c r="D81" s="10" t="inlineStr">
        <is>
          <t>Medium</t>
        </is>
      </c>
      <c r="E81" s="4" t="inlineStr">
        <is>
          <t>従来型ML、生成AI、エージェントAIの種別に応じて適用するレビュー資料とプロファイルを選んでいる</t>
        </is>
      </c>
      <c r="F81" s="4" t="inlineStr">
        <is>
          <t>ユースケース種別と、Machine Learning Lens、Generative AI Lens、Responsible AI Lens、Agentic AI Lensの適用・非適用理由が記録されている</t>
        </is>
      </c>
      <c r="G81" s="4" t="inlineStr">
        <is>
          <t>生成AIだけの観点で従来型MLを評価する、またはエージェント固有リスクを通常の推論APIとして扱う誤りを防ぐ。</t>
        </is>
      </c>
      <c r="H81" s="4" t="inlineStr">
        <is>
          <t>AWS Machine Learning Lens &gt; Distinction from the Generative AI Lens / AWS Responsible AI Lens / AWS Agentic AI Lens</t>
        </is>
      </c>
      <c r="I81" s="4" t="inlineStr">
        <is>
          <t>AI-CONDITIONAL</t>
        </is>
      </c>
      <c r="J81" s="4" t="inlineStr">
        <is>
          <t>AI/MLを含む案件に適用。従来型ML・生成AI・エージェントAIの種別ごとにN/Aを判断。</t>
        </is>
      </c>
      <c r="K81" s="4" t="inlineStr">
        <is>
          <t>SRC-AWS-RAI;SRC-AWS-AGENTIC;SRC-AWS-ML;SRC-AWS-GENAI</t>
        </is>
      </c>
      <c r="L81" s="4" t="inlineStr"/>
      <c r="M81" s="4" t="n"/>
      <c r="N81" s="4" t="n"/>
      <c r="O81" s="4" t="n"/>
      <c r="P81" s="4" t="n"/>
      <c r="Q81" s="4" t="n"/>
      <c r="R81" s="4" t="n"/>
      <c r="S81" s="4" t="n"/>
      <c r="T81" s="4" t="n"/>
      <c r="U81" s="4" t="n"/>
      <c r="V81" s="4" t="n"/>
      <c r="W81" s="4" t="n"/>
    </row>
  </sheetData>
  <autoFilter ref="A1:W81"/>
  <conditionalFormatting sqref="O2:O2000">
    <cfRule type="cellIs" priority="1" operator="equal" dxfId="0">
      <formula>"Fail"</formula>
    </cfRule>
    <cfRule type="cellIs" priority="2" operator="equal" dxfId="1">
      <formula>"Pass"</formula>
    </cfRule>
    <cfRule type="cellIs" priority="4" operator="equal" dxfId="0">
      <formula>"Fail"</formula>
    </cfRule>
    <cfRule type="cellIs" priority="5" operator="equal" dxfId="1">
      <formula>"Pass"</formula>
    </cfRule>
    <cfRule type="cellIs" priority="7" operator="equal" dxfId="0">
      <formula>"Fail"</formula>
    </cfRule>
    <cfRule type="cellIs" priority="8" operator="equal" dxfId="1">
      <formula>"Pass"</formula>
    </cfRule>
    <cfRule type="cellIs" priority="10" operator="equal" dxfId="0">
      <formula>"Fail"</formula>
    </cfRule>
    <cfRule type="cellIs" priority="11" operator="equal" dxfId="1">
      <formula>"Pass"</formula>
    </cfRule>
    <cfRule type="cellIs" priority="13" operator="equal" dxfId="0">
      <formula>"Fail"</formula>
    </cfRule>
    <cfRule type="cellIs" priority="14" operator="equal" dxfId="1">
      <formula>"Pass"</formula>
    </cfRule>
  </conditionalFormatting>
  <conditionalFormatting sqref="N2:N2000">
    <cfRule type="cellIs" priority="3" operator="equal" dxfId="2">
      <formula>"N/A"</formula>
    </cfRule>
    <cfRule type="cellIs" priority="6" operator="equal" dxfId="2">
      <formula>"N/A"</formula>
    </cfRule>
    <cfRule type="cellIs" priority="9" operator="equal" dxfId="2">
      <formula>"N/A"</formula>
    </cfRule>
    <cfRule type="cellIs" priority="12" operator="equal" dxfId="2">
      <formula>"N/A"</formula>
    </cfRule>
    <cfRule type="cellIs" priority="15" operator="equal" dxfId="2">
      <formula>"N/A"</formula>
    </cfRule>
  </conditionalFormatting>
  <dataValidations count="20">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 sqref="M2:M2000" showDropDown="0" showInputMessage="0" showErrorMessage="0" allowBlank="1" type="list">
      <formula1>"Critical,High,Medium,Low"</formula1>
    </dataValidation>
    <dataValidation sqref="N2:N2000" showDropDown="0" showInputMessage="0" showErrorMessage="0" allowBlank="1" type="list">
      <formula1>"未判定,適用,N/A"</formula1>
    </dataValidation>
    <dataValidation sqref="O2:O2000" showDropDown="0" showInputMessage="0" showErrorMessage="0" allowBlank="1" type="list">
      <formula1>"未確認,Pass,Fail"</formula1>
    </dataValidation>
    <dataValidation sqref="W2:W2000" showDropDown="0" showInputMessage="0" showErrorMessage="0" allowBlank="1" type="list">
      <formula1>"未確認,Pass,Fail"</formula1>
    </dataValidation>
  </dataValidations>
  <pageMargins left="0.75" right="0.75" top="1" bottom="1" header="0.5" footer="0.5"/>
  <pageSetup orientation="landscape" fitToWidth="1"/>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H48"/>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44" customWidth="1" min="3" max="3"/>
    <col width="12" customWidth="1" min="4" max="4"/>
    <col width="10" customWidth="1" min="5" max="5"/>
    <col width="48" customWidth="1" min="6" max="6"/>
    <col width="48" customWidth="1" min="7" max="7"/>
    <col width="48" customWidth="1" min="8" max="8"/>
  </cols>
  <sheetData>
    <row r="1">
      <c r="A1" s="3" t="inlineStr">
        <is>
          <t>KA</t>
        </is>
      </c>
      <c r="B1" s="3" t="inlineStr">
        <is>
          <t>不足していたSWEBOKトピック</t>
        </is>
      </c>
      <c r="C1" s="3" t="inlineStr">
        <is>
          <t>なぜ重要か</t>
        </is>
      </c>
      <c r="D1" s="3" t="inlineStr">
        <is>
          <t>反映ID</t>
        </is>
      </c>
      <c r="E1" s="3" t="inlineStr">
        <is>
          <t>重要度</t>
        </is>
      </c>
      <c r="F1" s="3" t="inlineStr">
        <is>
          <t>追加チェック項目</t>
        </is>
      </c>
      <c r="G1" s="3" t="inlineStr">
        <is>
          <t>合格基準</t>
        </is>
      </c>
      <c r="H1" s="3" t="inlineStr">
        <is>
          <t>意図</t>
        </is>
      </c>
    </row>
    <row r="2">
      <c r="A2" s="4" t="inlineStr">
        <is>
          <t>ソフトウェア要件定義</t>
        </is>
      </c>
      <c r="B2" s="4" t="inlineStr">
        <is>
          <t>3.4 Addressing Conflict in Requirements(要求間対立の識別と解決)</t>
        </is>
      </c>
      <c r="C2" s="4" t="inlineStr">
        <is>
          <t>REQ-201は矛盾の不在を検査するが、SWEBOK 3.4はさらに、対立発見時にエンジニアが単独裁定せずステークホルダー間で交渉して合意し、契約上その決定を顧客まで遡れる形で記録することを求める。解決記録がないと同じ対立が蒸し返され、独断解決が後の紛争になる。</t>
        </is>
      </c>
      <c r="D2" s="5" t="inlineStr">
        <is>
          <t>REQ-9901</t>
        </is>
      </c>
      <c r="E2" s="9" t="inlineStr">
        <is>
          <t>High</t>
        </is>
      </c>
      <c r="F2" s="4" t="inlineStr">
        <is>
          <t>ステークホルダー間で対立した要求について、解決の経緯と合意記録がある</t>
        </is>
      </c>
      <c r="G2" s="4" t="inlineStr">
        <is>
          <t>識別された要求対立の各件について、関与ステークホルダー・採用した解決策(交渉合意/バリアント化等)・合意者・日付が記録されており、エンジニアの独断裁定になっていない</t>
        </is>
      </c>
      <c r="H2" s="4" t="inlineStr">
        <is>
          <t>対立の独断解決は後の受入段階での紛争と再交渉を生む。SWEBOKは合意による解決と顧客へのトレーサビリティを求めており、その証跡を確認する。</t>
        </is>
      </c>
    </row>
    <row r="3">
      <c r="A3" s="4" t="inlineStr">
        <is>
          <t>ソフトウェア要件定義</t>
        </is>
      </c>
      <c r="B3" s="4" t="inlineStr">
        <is>
          <t>1.5 / 3.2 QoS制約間の相互関係・トレードオフ</t>
        </is>
      </c>
      <c r="C3" s="4" t="inlineStr">
        <is>
          <t>SWEBOKは非機能要求の変更時に他への影響を必ず考慮すべきとし、QoS制約間の正負の関係(例: 速度最適化は保守性を下げる)への注意を明示する。個々の数値が妥当でも、組合せとして同時達成不能な非機能要求集合を合意してしまう事故を既存項目は検出できない。</t>
        </is>
      </c>
      <c r="D3" s="5" t="inlineStr">
        <is>
          <t>REQ-9902</t>
        </is>
      </c>
      <c r="E3" s="10" t="inlineStr">
        <is>
          <t>Medium</t>
        </is>
      </c>
      <c r="F3" s="4" t="inlineStr">
        <is>
          <t>QoS制約間のトレードオフ(相互に負の影響を与える組)が検討されている</t>
        </is>
      </c>
      <c r="G3" s="4" t="inlineStr">
        <is>
          <t>性能vs保守性・セキュリティvs使用性など相反しうる制約の組について、両立可能性の検討記録があるか、優先する側の判断が記録されている</t>
        </is>
      </c>
      <c r="H3" s="4" t="inlineStr">
        <is>
          <t>個別には妥当な数値でも組合せとして同時達成不能な非機能要求を合意すると、設計段階で必ずどれかが犠牲になり、その犠牲の選択が無断で行われる。</t>
        </is>
      </c>
    </row>
    <row r="4">
      <c r="A4" s="4" t="inlineStr">
        <is>
          <t>ソフトウェア要件定義</t>
        </is>
      </c>
      <c r="B4" s="4" t="inlineStr">
        <is>
          <t>7.6 Requirements Process Quality and Improvement(要求プロセスの品質と改善)</t>
        </is>
      </c>
      <c r="C4" s="4" t="inlineStr">
        <is>
          <t>SWEBOK 7.6は要求プロセス自体の計測・ベンチマーク・改善計画を独立トピックとして扱うが、チェックリストは成果物の品質のみを対象とし、プロセスの振り返り・改善の観点が欠けている。プロセス起因の欠陥(獲得不足の常態化等)は成果物検査だけでは再発し続ける。</t>
        </is>
      </c>
      <c r="D4" s="5" t="inlineStr">
        <is>
          <t>REQ-9903</t>
        </is>
      </c>
      <c r="E4" s="11" t="inlineStr">
        <is>
          <t>Low</t>
        </is>
      </c>
      <c r="F4" s="4" t="inlineStr">
        <is>
          <t>要求プロセス自体の振り返り・改善の仕組みがある</t>
        </is>
      </c>
      <c r="G4" s="4" t="inlineStr">
        <is>
          <t>要求起因の欠陥・変更の傾向を振り返る場(工程完了時レビュー、レトロスペクティブ等)が計画され、実施記録または改善アクションが残っている</t>
        </is>
      </c>
      <c r="H4" s="4" t="inlineStr">
        <is>
          <t>要求起因の欠陥はプロセスの欠陥の症状であり、成果物検査だけでは同種の欠陥が案件のたびに再発する。プロセス改善のループを確認する。</t>
        </is>
      </c>
    </row>
    <row r="5">
      <c r="A5" s="4" t="inlineStr">
        <is>
          <t>ソフトウェア要件定義</t>
        </is>
      </c>
      <c r="B5" s="4" t="inlineStr">
        <is>
          <t>3.3 Formal Analysis(高インテグリティシステムでの形式的分析)</t>
        </is>
      </c>
      <c r="C5" s="4" t="inlineStr">
        <is>
          <t>SWEBOKは高インテグリティ領域では形式的意味論を持つ仕様言語により、デッドロック不在等の性質を静的に証明できる利点を示す。安全性・高信頼性が要求される案件で形式手法の適用可否を検討した形跡がないと、テストでは実証不能な性質が未検証のまま残る。</t>
        </is>
      </c>
      <c r="D5" s="5" t="inlineStr">
        <is>
          <t>REQ-9904</t>
        </is>
      </c>
      <c r="E5" s="11" t="inlineStr">
        <is>
          <t>Low</t>
        </is>
      </c>
      <c r="F5" s="4" t="inlineStr">
        <is>
          <t>高インテグリティ要求に対して形式的仕様・分析の適用が検討されている(該当案件のみ)</t>
        </is>
      </c>
      <c r="G5" s="4" t="inlineStr">
        <is>
          <t>人命・重大インフラ・高額取引等に関わる要求について、形式手法(モデル検査・定理証明等)の適用可否の検討記録があるか、非該当の判断が記録されている</t>
        </is>
      </c>
      <c r="H5" s="4" t="inlineStr">
        <is>
          <t>デッドロック不在・安全性不変条件のような性質は有限のテストでは実証できず、高インテグリティ案件で検討自体を怠ると未検証の致命的性質が残る。</t>
        </is>
      </c>
    </row>
    <row r="6">
      <c r="A6" s="4" t="inlineStr">
        <is>
          <t>ソフトウェアアーキテクチャ設計</t>
        </is>
      </c>
      <c r="B6" s="4" t="inlineStr">
        <is>
          <t>1.3 Uses of Architecture — 再利用・プロダクトライン(共通性と可変性の設計)</t>
        </is>
      </c>
      <c r="C6" s="4" t="inlineStr">
        <is>
          <t>SWEBOKはアーキテクチャの主要用途として、共通性の識別と可変性に対応した再利用可能コンポーネントの設計によるプログラムファミリー/ソフトウェアプロダクトラインの基盤形成を挙げているが、チェックリストには再利用・派生開発の観点がない。複数製品・複数環境への展開が想定される場合、共通/可変の設計を怠るとコピー派生が乱立し保守コストが倍増する。</t>
        </is>
      </c>
      <c r="D6" s="5" t="inlineStr">
        <is>
          <t>ARC-901</t>
        </is>
      </c>
      <c r="E6" s="10" t="inlineStr">
        <is>
          <t>Medium</t>
        </is>
      </c>
      <c r="F6" s="4" t="inlineStr">
        <is>
          <t>再利用・派生開発における共通性と可変性が設計されている</t>
        </is>
      </c>
      <c r="G6" s="4" t="inlineStr">
        <is>
          <t>複数製品・複数環境への展開やコンポーネント再利用が想定される場合、共通部分と可変点(バリエーションポイント)が識別され、可変性を吸収する機構(設定、プラグイン、プロダクトライン基盤等)が記述されている。想定されない場合はその旨が明記されている</t>
        </is>
      </c>
      <c r="H6" s="4" t="inlineStr">
        <is>
          <t>共通性と可変性を設計せずに複数製品へ展開すると、コピー&amp;改変による派生コードが乱立し、同一不具合の多重修正など保守コストが際限なく増大する。</t>
        </is>
      </c>
    </row>
    <row r="7">
      <c r="A7" s="4" t="inlineStr">
        <is>
          <t>ソフトウェアアーキテクチャ設計</t>
        </is>
      </c>
      <c r="B7" s="4" t="inlineStr">
        <is>
          <t>3.4 Architecting in the Large — アーキテクチャ知識管理(architecture knowledge management)</t>
        </is>
      </c>
      <c r="C7" s="4" t="inlineStr">
        <is>
          <t>SWEBOKは実装統制・保守に加え、決定・教訓・仕様・文書などの再利用可能なアーキテクチャ資産を組織横断で抽出・維持・共有・活用する活動を明示している。チェックリストはADR個別の記録(ARC-060系)や更新プロセス(ARC-105)は扱うが、組織レベルでの知識共有・再利用の観点がない。</t>
        </is>
      </c>
      <c r="D7" s="5" t="inlineStr">
        <is>
          <t>ARC-902</t>
        </is>
      </c>
      <c r="E7" s="11" t="inlineStr">
        <is>
          <t>Low</t>
        </is>
      </c>
      <c r="F7" s="4" t="inlineStr">
        <is>
          <t>アーキテクチャ知識が組織で共有・再利用できる形で管理されている</t>
        </is>
      </c>
      <c r="G7" s="4" t="inlineStr">
        <is>
          <t>ADR・教訓・ビューポイント定義・技術評価結果などのアーキテクチャ資産の保管場所と共有方法(リポジトリ、ナレッジベース等)が定められ、他プロジェクトから参照可能である。または本プロジェクト内で完結する理由が記載されている</t>
        </is>
      </c>
      <c r="H7" s="4" t="inlineStr">
        <is>
          <t>決定や教訓がプロジェクト内に閉じると、組織内の別チームが同じ技術評価や失敗を繰り返し、アーキテクチャ検討のコストが毎回ゼロから発生する。</t>
        </is>
      </c>
    </row>
    <row r="8">
      <c r="A8" s="4" t="inlineStr">
        <is>
          <t>ソフトウェアアーキテクチャ設計</t>
        </is>
      </c>
      <c r="B8" s="4" t="inlineStr">
        <is>
          <t>3.1 Architecture in Context — ライフサイクルコンテキスト(アジャイル等での創発的アーキテクチャのリスク)</t>
        </is>
      </c>
      <c r="C8" s="4" t="inlineStr">
        <is>
          <t>SWEBOKは、アジャイルではアーキテクチャ設計ステージがなく創発に頼ることが多いが、組込み・サイバーフィジカル系ではユーザーストーリーから重要なアーキテクチャ特性が出てこず、適切なアーキテクチャの創発を保証できないと明確に警告している。チェックリストには開発アプローチとアーキテクチャ活動の整合を確認する項目がない。</t>
        </is>
      </c>
      <c r="D8" s="5" t="inlineStr">
        <is>
          <t>ARC-903</t>
        </is>
      </c>
      <c r="E8" s="10" t="inlineStr">
        <is>
          <t>Medium</t>
        </is>
      </c>
      <c r="F8" s="4" t="inlineStr">
        <is>
          <t>開発アプローチに応じたアーキテクチャ活動の位置付けが定義されている</t>
        </is>
      </c>
      <c r="G8" s="4" t="inlineStr">
        <is>
          <t>採用する開発アプローチ(ウォーターフォール/アジャイル/プロダクトライン等)の中で、アーキテクチャの分析・統合・評価をいつ・どの程度行うかが定められている。アジャイルで創発的アーキテクチャに依る場合、ユーザーストーリーに現れない重要品質特性(安全性・性能等)の扱いが別途定義されている</t>
        </is>
      </c>
      <c r="H8" s="4" t="inlineStr">
        <is>
          <t>アジャイルで創発任せにすると、ユーザーストーリーに現れない安全性・性能などの重要特性が誰にも設計されず、後から構造レベルの作り直しが必要になる。</t>
        </is>
      </c>
    </row>
    <row r="9">
      <c r="A9" s="4" t="inlineStr">
        <is>
          <t>ソフトウェア詳細設計</t>
        </is>
      </c>
      <c r="B9" s="4" t="inlineStr">
        <is>
          <t>2.2 Detailed Design / 5.6 Component-Based Design — 既製コンポーネント・アプリケーションフレームワークの活用機会の検討</t>
        </is>
      </c>
      <c r="C9" s="4" t="inlineStr">
        <is>
          <t>SWEBOKは詳細設計の要素として「off-the-shelfコンポーネントやアプリケーションフレームワークの利用機会」を明示している。再利用検討を怠ると、既製品で済む機能の車輪の再発明による工数増と品質リスクを招く。</t>
        </is>
      </c>
      <c r="D9" s="5" t="inlineStr">
        <is>
          <t>DES-901</t>
        </is>
      </c>
      <c r="E9" s="10" t="inlineStr">
        <is>
          <t>Medium</t>
        </is>
      </c>
      <c r="F9" s="4" t="inlineStr">
        <is>
          <t>既製コンポーネント・ライブラリ・フレームワークの利用が検討されている</t>
        </is>
      </c>
      <c r="G9" s="4" t="inlineStr">
        <is>
          <t>主要な機能ブロックについて、自作/既製(OSS・商用・社内共通部品)の別と、既製品を採用または不採用とした理由が記載されている</t>
        </is>
      </c>
      <c r="H9" s="4" t="inlineStr">
        <is>
          <t>再利用可能な既製部品の検討漏れによる車輪の再発明と、逆に無根拠なライブラリ採用によるライセンス・保守リスクの両方を防ぐ。</t>
        </is>
      </c>
    </row>
    <row r="10">
      <c r="A10" s="4" t="inlineStr">
        <is>
          <t>ソフトウェア詳細設計</t>
        </is>
      </c>
      <c r="B10" s="4" t="inlineStr">
        <is>
          <t>3.7 Assurance, Security, and Safety — セーフティ(人命・財産・環境への危害の防止)</t>
        </is>
      </c>
      <c r="C10" s="4" t="inlineStr">
        <is>
          <t>チェックリストはセキュリティを厚くカバーする一方、SWEBOKが同節で並置するセーフティ(危害につながりうる状況でのソフトウェア挙動の管理)への言及がない。DES-112 の特性棚卸しにも安全性が含まれていない。</t>
        </is>
      </c>
      <c r="D10" s="5" t="inlineStr">
        <is>
          <t>DES-902</t>
        </is>
      </c>
      <c r="E10" s="10" t="inlineStr">
        <is>
          <t>Medium</t>
        </is>
      </c>
      <c r="F10" s="4" t="inlineStr">
        <is>
          <t>セーフティ(安全性)の該当有無が判断され、該当時はハザード対策が設計されている</t>
        </is>
      </c>
      <c r="G10" s="4" t="inlineStr">
        <is>
          <t>ソフトウェアの誤動作が人身・財産・環境への危害につながりうるかの判断が明記され、該当する場合はハザードの識別と対策(フェイルセーフ、インターロック等)が設計されている。非該当の場合はその根拠がある</t>
        </is>
      </c>
      <c r="H10" s="4" t="inlineStr">
        <is>
          <t>安全関連機能の見落としは人身事故等の重大な結果に直結する。該当有無の判断自体を記録させることで「検討しなかった」状態を防ぐ。</t>
        </is>
      </c>
    </row>
    <row r="11">
      <c r="A11" s="4" t="inlineStr">
        <is>
          <t>ソフトウェア詳細設計</t>
        </is>
      </c>
      <c r="B11" s="4" t="inlineStr">
        <is>
          <t>3.6 Integration and Interoperability — 異種システム間の統合・相互運用性の設計</t>
        </is>
      </c>
      <c r="C11" s="4" t="inlineStr">
        <is>
          <t>チェックリストは自システムが提供するAPI仕様(カテゴリ3)と外部障害時の対処(DES-063)を扱うが、SWEBOKが独立した品質特性とする「異種システムとのデータ交換・サービス相互利用」の連携仕様(接続方式・データ形式変換・責任分界)そのものの定義を求める項目がない。</t>
        </is>
      </c>
      <c r="D11" s="5" t="inlineStr">
        <is>
          <t>DES-903</t>
        </is>
      </c>
      <c r="E11" s="9" t="inlineStr">
        <is>
          <t>High</t>
        </is>
      </c>
      <c r="F11" s="4" t="inlineStr">
        <is>
          <t>外部システムとの連携仕様が定義されている</t>
        </is>
      </c>
      <c r="G11" s="4" t="inlineStr">
        <is>
          <t>連携する外部システムごとに、接続方式(プロトコル)、データ形式と変換規則、連携タイミング(リアルタイム/バッチ)、責任分界点が記載され、相手方仕様書(版数付き)への参照がある</t>
        </is>
      </c>
      <c r="H11" s="4" t="inlineStr">
        <is>
          <t>外部連携の仕様齟齬は結合テスト終盤や本番稼働後に発覚しやすく、相手方調整を伴うため修正コストが極めて高い。設計時に双方の合意事項を明文化して手戻りを防ぐ。</t>
        </is>
      </c>
    </row>
    <row r="12">
      <c r="A12" s="4" t="inlineStr">
        <is>
          <t>ソフトウェア詳細設計</t>
        </is>
      </c>
      <c r="B12" s="4" t="inlineStr">
        <is>
          <t>5. Software Design Strategies and Methods / 5.1 General Strategies — 採用した設計手法・戦略の明示</t>
        </is>
      </c>
      <c r="C12" s="4" t="inlineStr">
        <is>
          <t>SWEBOKは章の大きな部分を設計戦略・手法(構造化、OO、DDD、イベント駆動等)に割いており、手法は設計の焦点と進め方・モジュール構造化の指針を与える。採用手法が明示されないと、設計書内で手法が混在し一貫性を欠く。</t>
        </is>
      </c>
      <c r="D12" s="5" t="inlineStr">
        <is>
          <t>DES-904</t>
        </is>
      </c>
      <c r="E12" s="11" t="inlineStr">
        <is>
          <t>Low</t>
        </is>
      </c>
      <c r="F12" s="4" t="inlineStr">
        <is>
          <t>採用した設計手法・戦略が明示されている</t>
        </is>
      </c>
      <c r="G12" s="4" t="inlineStr">
        <is>
          <t>設計の基本方針として採用した手法・戦略(オブジェクト指向、ドメイン駆動、イベント駆動等)が名称で明記され、設計書全体がその手法の概念・分割方針に沿って記述されている</t>
        </is>
      </c>
      <c r="H12" s="4" t="inlineStr">
        <is>
          <t>手法の暗黙的な混在は、モジュール分割基準のブレと設計書の解釈違いを生む。方針の明示が設計全体の一貫性(conceptual integrity)を支える。</t>
        </is>
      </c>
    </row>
    <row r="13">
      <c r="A13" s="4" t="inlineStr">
        <is>
          <t>ソフトウェア実装</t>
        </is>
      </c>
      <c r="B13" s="4" t="inlineStr">
        <is>
          <t>2.3 Construction Measurement(構築の計測)</t>
        </is>
      </c>
      <c r="C13" s="4" t="inlineStr">
        <is>
          <t>SWEBOKはコード量・複雑度・欠陥の検出/修正率・工数など構築活動の計測を管理・品質保証・プロセス改善の基盤として独立トピックに置くが、チェックリストには計測の仕組み自体を確認する項目がない。計測がないと構築品質の改善が感覚頼みになる。</t>
        </is>
      </c>
      <c r="D13" s="5" t="inlineStr">
        <is>
          <t>CON-901</t>
        </is>
      </c>
      <c r="E13" s="10" t="inlineStr">
        <is>
          <t>Medium</t>
        </is>
      </c>
      <c r="F13" s="4" t="inlineStr">
        <is>
          <t>構築活動の計測が仕組み化されている</t>
        </is>
      </c>
      <c r="G13" s="4" t="inlineStr">
        <is>
          <t>コード規模・複雑度・テストカバレッジ・静的解析指摘数などの構築メトリクスがCI等で自動収集され、推移が参照可能である(ダッシュボードまたは定期レポートが存在する)</t>
        </is>
      </c>
      <c r="H13" s="4" t="inlineStr">
        <is>
          <t>計測がないと複雑度や欠陥率の悪化に誰も気づかず、品質劣化が障害の増加という形で初めて発覚する。自動収集で構築品質を継続的に可視化する。</t>
        </is>
      </c>
    </row>
    <row r="14">
      <c r="A14" s="4" t="inlineStr">
        <is>
          <t>ソフトウェア実装</t>
        </is>
      </c>
      <c r="B14" s="4" t="inlineStr">
        <is>
          <t>3.5 Reuse in Construction — 再利用のための構築(可変性の実装・カプセル化・再利用資産の記述と公開)</t>
        </is>
      </c>
      <c r="C14" s="4" t="inlineStr">
        <is>
          <t>SWEBOKは construction for reuse(パラメータ化・可変性のカプセル化・再利用資産の文書化と公開)を具体的タスクとして挙げるが、チェックリストは重複排除(CON-005)と依存管理(構築 with reuse 側)のみで、共通部品を作る側の品質を確認する項目がない。</t>
        </is>
      </c>
      <c r="D14" s="5" t="inlineStr">
        <is>
          <t>CON-902</t>
        </is>
      </c>
      <c r="E14" s="10" t="inlineStr">
        <is>
          <t>Medium</t>
        </is>
      </c>
      <c r="F14" s="4" t="inlineStr">
        <is>
          <t>再利用を意図した共通部品が再利用可能な品質で構築されている</t>
        </is>
      </c>
      <c r="G14" s="4" t="inlineStr">
        <is>
          <t>共通ライブラリ・共有モジュールとして提供されるコードは、可変点がパラメータ・設定・拡張ポイントとして明示され、特定プロジェクト固有のロジックのハードコードがなく、利用方法の文書と可変性を検証するテストがある</t>
        </is>
      </c>
      <c r="H14" s="4" t="inlineStr">
        <is>
          <t>特定案件の都合が焼き込まれた「共通部品」は他所で使えず、コピーして改変されてクローン増殖の起点になる。作る側の可変性設計と文書化を確認して再利用を成立させる。</t>
        </is>
      </c>
    </row>
    <row r="15">
      <c r="A15" s="4" t="inlineStr">
        <is>
          <t>ソフトウェア実装</t>
        </is>
      </c>
      <c r="B15" s="4" t="inlineStr">
        <is>
          <t>4.8 Runtime Configuration and Internationalization(実行時コンフィギュレーションと国際化)</t>
        </is>
      </c>
      <c r="C15" s="4" t="inlineStr">
        <is>
          <t>SWEBOKは設定の遅延バインディングと、文字列・文字集合をコードから分離して多言語化する国際化対応を構築技術として明示するが、チェックリストにはハードコードされた設定値・表示文字列を検出する項目がない。</t>
        </is>
      </c>
      <c r="D15" s="5" t="inlineStr">
        <is>
          <t>CON-903</t>
        </is>
      </c>
      <c r="E15" s="10" t="inlineStr">
        <is>
          <t>Medium</t>
        </is>
      </c>
      <c r="F15" s="4" t="inlineStr">
        <is>
          <t>環境依存値と表示文字列がコードから分離されている</t>
        </is>
      </c>
      <c r="G15" s="4" t="inlineStr">
        <is>
          <t>環境ごとに変わる値(接続先・機能フラグ・上限値等)が設定ファイル・環境変数経由で実行時に注入され、コード変更なしに変更できる。多言語対応が要件の場合、利用者向け表示文字列がリソースファイルに外部化され文字エンコーディングが統一されている</t>
        </is>
      </c>
      <c r="H15" s="4" t="inlineStr">
        <is>
          <t>設定や文言のハードコードは環境追加・文言変更・多言語化のたびに再ビルドと全数修正を強い、環境差し替え漏れによる本番向け設定ミスの事故も誘発する。</t>
        </is>
      </c>
    </row>
    <row r="16">
      <c r="A16" s="4" t="inlineStr">
        <is>
          <t>ソフトウェア実装</t>
        </is>
      </c>
      <c r="B16" s="4" t="inlineStr">
        <is>
          <t>3.8 Cross-Platform Development / 4.15 Platform Standards(クロスプラットフォーム開発とプラットフォーム標準)</t>
        </is>
      </c>
      <c r="C16" s="4" t="inlineStr">
        <is>
          <t>SWEBOKは複数プラットフォーム対応・移植性のためのプラットフォーム標準(POSIX, HTML5等)準拠を独立トピックとして扱うが、チェックリストには移植性・プラットフォーム依存コードの分離を確認する項目がない。複数環境をターゲットとする開発では重要。</t>
        </is>
      </c>
      <c r="D16" s="5" t="inlineStr">
        <is>
          <t>CON-904</t>
        </is>
      </c>
      <c r="E16" s="11" t="inlineStr">
        <is>
          <t>Low</t>
        </is>
      </c>
      <c r="F16" s="4" t="inlineStr">
        <is>
          <t>プラットフォーム依存コードが分離されている</t>
        </is>
      </c>
      <c r="G16" s="4" t="inlineStr">
        <is>
          <t>複数プラットフォーム(OS・ブラウザ・実行環境)対応が要件の場合、プラットフォーム固有API・非標準機能の使用箇所が抽象化層・アダプタに隔離され、ビジネスロジックが標準API(POSIX、Web標準等)の範囲で記述されている</t>
        </is>
      </c>
      <c r="H16" s="4" t="inlineStr">
        <is>
          <t>プラットフォーム依存コードが全体に散在すると、対応環境の追加・変更時に全面書き換えとなり、特定環境でのみ再現する欠陥の温床にもなる。</t>
        </is>
      </c>
    </row>
    <row r="17">
      <c r="A17" s="4" t="inlineStr">
        <is>
          <t>ソフトウェアテスト</t>
        </is>
      </c>
      <c r="B17" s="4" t="inlineStr">
        <is>
          <t>3.5 Usage-Based Techniques / 4.1.4-4.1.5 運用プロファイルに基づく信頼性評価と信頼性成長モデル</t>
        </is>
      </c>
      <c r="C17" s="4" t="inlineStr">
        <is>
          <t>SWEBOKは利用ベース技法を独立トピックとして扱い、統計的な信頼性推定をテスト停止判断・リリース成熟度判断の根拠と位置付けているが、チェックリストには実際の利用実態(運用プロファイル)を反映したテストや信頼性推定に関する項目がない。利用頻度の高い機能に欠陥が残ると、テスト網羅率が高くても体感品質は大きく損なわれる。</t>
        </is>
      </c>
      <c r="D17" s="5" t="inlineStr">
        <is>
          <t>TST-901</t>
        </is>
      </c>
      <c r="E17" s="10" t="inlineStr">
        <is>
          <t>Medium</t>
        </is>
      </c>
      <c r="F17" s="4" t="inlineStr">
        <is>
          <t>運用プロファイルに基づくテストの要否が判断されている</t>
        </is>
      </c>
      <c r="G17" s="4" t="inlineStr">
        <is>
          <t>利用頻度・重要度の高い操作/機能が運用プロファイル(想定利用分布)として整理され、それに基づくテスト配分または統計的信頼性評価の実施有無と根拠が記録されている</t>
        </is>
      </c>
      <c r="H17" s="4" t="inlineStr">
        <is>
          <t>利用実態と無関係なテスト配分では、ユーザーが毎日使う機能の欠陥が残って体感品質が崩壊する。運用プロファイルは信頼性推定とテスト重点化の両方の基盤になる。</t>
        </is>
      </c>
    </row>
    <row r="18">
      <c r="A18" s="4" t="inlineStr">
        <is>
          <t>ソフトウェアテスト</t>
        </is>
      </c>
      <c r="B18" s="4" t="inlineStr">
        <is>
          <t>1.2.10 Testability(テスト容易性)</t>
        </is>
      </c>
      <c r="C18" s="4" t="inlineStr">
        <is>
          <t>SWEBOKはテスト容易性(カバレッジ基準の満たしやすさ、欠陥があった場合にテストが失敗を顕在化させる確率)を主要課題として挙げるが、チェックリストにはSUT側のテスト容易性を計画・設計段階で評価・要求する項目がない。テスト容易性が低いままではテスト工数が膨張し、自動化も頓挫する。</t>
        </is>
      </c>
      <c r="D18" s="5" t="inlineStr">
        <is>
          <t>TST-902</t>
        </is>
      </c>
      <c r="E18" s="10" t="inlineStr">
        <is>
          <t>Medium</t>
        </is>
      </c>
      <c r="F18" s="4" t="inlineStr">
        <is>
          <t>テスト容易性の要求・制約が計画で扱われている</t>
        </is>
      </c>
      <c r="G18" s="4" t="inlineStr">
        <is>
          <t>SUTの制御性・観測性(テスト用フック、ログ、状態注入手段、スタブ差替点等)に関する要求または制約が識別され、テスト容易性が低い箇所への対応方針(設計へのフィードバック、代替手段)が記録されている</t>
        </is>
      </c>
      <c r="H18" s="4" t="inlineStr">
        <is>
          <t>テスト容易性を計画段階で扱わないと、観測も制御もできないコンポーネントが実装後に判明し、テスト不能領域の残存や自動化コストの爆発を招く。</t>
        </is>
      </c>
    </row>
    <row r="19">
      <c r="A19" s="4" t="inlineStr">
        <is>
          <t>ソフトウェアテスト</t>
        </is>
      </c>
      <c r="B19" s="4" t="inlineStr">
        <is>
          <t>2.2.1 Conformance Testing / 2.2.2 Compliance Testing(標準・法規制への適合テスト)</t>
        </is>
      </c>
      <c r="C19" s="4" t="inlineStr">
        <is>
          <t>SWEBOKは標準・規格への適合(conformance)と法規制への準拠(compliance)を独立したテスト目的として挙げ、外部規制機関により強制される場合があるとする。チェックリストはテストデータの規程遵守(TST-504)はカバーするが、SUT自体の規格・法規制適合を検証するテストの要否判断がない。</t>
        </is>
      </c>
      <c r="D19" s="5" t="inlineStr">
        <is>
          <t>TST-903</t>
        </is>
      </c>
      <c r="E19" s="10" t="inlineStr">
        <is>
          <t>Medium</t>
        </is>
      </c>
      <c r="F19" s="4" t="inlineStr">
        <is>
          <t>標準・法規制への適合テストの要否が判断されている</t>
        </is>
      </c>
      <c r="G19" s="4" t="inlineStr">
        <is>
          <t>SUTに適用される標準・規格・法規制(業界標準、アクセシビリティ、個人情報保護法制等)が列挙され、それぞれに対する適合検証の実施有無・方法・根拠が記録されている</t>
        </is>
      </c>
      <c r="H19" s="4" t="inlineStr">
        <is>
          <t>規制適合の検証漏れは、リリース後に是正命令・認証取消・法的責任という技術的障害より重い結果を招く。適用規制の棚卸しと検証要否の判断を明示的に行わせる。</t>
        </is>
      </c>
    </row>
    <row r="20">
      <c r="A20" s="4" t="inlineStr">
        <is>
          <t>ソフトウェアテスト</t>
        </is>
      </c>
      <c r="B20" s="4" t="inlineStr">
        <is>
          <t>2.2.4 Alpha and Beta Testing / 7.2 Testing Through Crowdsourcing(実利用者による試行)</t>
        </is>
      </c>
      <c r="C20" s="4" t="inlineStr">
        <is>
          <t>SWEBOKはリリース前に選抜ユーザー(アルファ)・代表ユーザー(ベータ)へ試行提供して問題を報告させる手法と、クラウドテスティングによる多様な環境・利用者での検証を挙げるが、チェックリストには社内テストの外側で実利用者に触れさせる活動の検討項目がない。</t>
        </is>
      </c>
      <c r="D20" s="5" t="inlineStr">
        <is>
          <t>TST-904</t>
        </is>
      </c>
      <c r="E20" s="11" t="inlineStr">
        <is>
          <t>Low</t>
        </is>
      </c>
      <c r="F20" s="4" t="inlineStr">
        <is>
          <t>アルファ/ベータテスト等の実利用者試行の要否が検討されている</t>
        </is>
      </c>
      <c r="G20" s="4" t="inlineStr">
        <is>
          <t>リリース前に実利用者(選抜ユーザー、パイロット部門、クラウドテスター等)へ試行提供する活動の実施有無と根拠、実施する場合はフィードバック収集・反映の方法が記録されている</t>
        </is>
      </c>
      <c r="H20" s="4" t="inlineStr">
        <is>
          <t>統制されたテスト環境では、実利用者の多様な環境・使い方・期待とのずれを検出できない。試行提供の検討を怠ると、リリース直後にユーザー起点の問題が集中発生する。</t>
        </is>
      </c>
    </row>
    <row r="21">
      <c r="A21" s="4" t="inlineStr">
        <is>
          <t>ソフトウェアテスト</t>
        </is>
      </c>
      <c r="B21" s="4" t="inlineStr">
        <is>
          <t>8.1 Testing Tool Support and Selection(テストツールの選定)</t>
        </is>
      </c>
      <c r="C21" s="4" t="inlineStr">
        <is>
          <t>SWEBOKは第8トピックでツール選定を独立に扱い、適切なツール選定がテストの効率と効果に大きく影響するとして選定ガイダンスの重要性を述べるが、チェックリストではTST-009が自動化ツール名の記載を求めるにとどまり、選定の根拠や適合性評価を確認する項目がない。</t>
        </is>
      </c>
      <c r="D21" s="5" t="inlineStr">
        <is>
          <t>TST-905</t>
        </is>
      </c>
      <c r="E21" s="11" t="inlineStr">
        <is>
          <t>Low</t>
        </is>
      </c>
      <c r="F21" s="4" t="inlineStr">
        <is>
          <t>テストツールの選定根拠が記録されている</t>
        </is>
      </c>
      <c r="G21" s="4" t="inlineStr">
        <is>
          <t>使用するテストツール(管理・生成・実行・カバレッジ・欠陥追跡等)について、選定基準(開発技術との適合、評価目的、実行環境、コスト)に基づく選定根拠が記録されている</t>
        </is>
      </c>
      <c r="H21" s="4" t="inlineStr">
        <is>
          <t>根拠なきツール選定は、SUTの技術構成に合わないツールへの投資や、プロジェクト途中でのツール乗換えによる資産(スクリプト・記録)の廃棄を招く。</t>
        </is>
      </c>
    </row>
    <row r="22">
      <c r="A22" s="4" t="inlineStr">
        <is>
          <t>ソフトウェア運用</t>
        </is>
      </c>
      <c r="B22" s="4" t="inlineStr">
        <is>
          <t>2.1.1 Operations Plan — 運用の財務管理・予算・コスト見積もり(financial management, budgets and timescales, estimate of operations and maintenance costs)</t>
        </is>
      </c>
      <c r="C22" s="4" t="inlineStr">
        <is>
          <t>SWEBOK は運用計画に運用・保守コストの見積もりと予算・財務管理を含めることを明示的に求めている。運用フェーズは開発より長期にわたるため、コスト計画がないとクラウド費用の想定外増大や増強予算の未確保で運用が破綻する。</t>
        </is>
      </c>
      <c r="D22" s="5" t="inlineStr">
        <is>
          <t>OPS-901</t>
        </is>
      </c>
      <c r="E22" s="10" t="inlineStr">
        <is>
          <t>Medium</t>
        </is>
      </c>
      <c r="F22" s="4" t="inlineStr">
        <is>
          <t>運用コストの見積もりと予算計画がある</t>
        </is>
      </c>
      <c r="G22" s="4" t="inlineStr">
        <is>
          <t>インフラ費用・ライセンス・要員等の運用コストの見積もりと、予算枠・期間(年度等)・増強時の費用対応が記載されている</t>
        </is>
      </c>
      <c r="H22" s="4" t="inlineStr">
        <is>
          <t>運用フェーズは開発より長期に及ぶため、コスト計画がないとクラウド費用の想定外増大や容量増強の予算未確保でサービス継続が脅かされる。運用開始後の「予算がなくて増強できない」事態を防ぐ。</t>
        </is>
      </c>
    </row>
    <row r="23">
      <c r="A23" s="4" t="inlineStr">
        <is>
          <t>ソフトウェア運用</t>
        </is>
      </c>
      <c r="B23" s="4" t="inlineStr">
        <is>
          <t>2.6 Software and Data Safety, Security, Integrity, Protection, and Controls — 情報セキュリティリスクアセスメントとポリシー・教育(security risk assessment, information security policy, staff awareness/training)</t>
        </is>
      </c>
      <c r="C23" s="4" t="inlineStr">
        <is>
          <t>SWEBOK は情報の機密性・可用性に対するリスクアセスメントの実施と、経営層によるセキュリティポリシーの策定・周知・要員教育を運用エンジニアが徹底すべき統制として列挙している。既存項目は個別の技術統制(権限・パッチ・ログ)をカバーするが、リスク評価とポリシー・教育という上流の枠組みが欠けている。</t>
        </is>
      </c>
      <c r="D23" s="5" t="inlineStr">
        <is>
          <t>OPS-902</t>
        </is>
      </c>
      <c r="E23" s="9" t="inlineStr">
        <is>
          <t>High</t>
        </is>
      </c>
      <c r="F23" s="4" t="inlineStr">
        <is>
          <t>情報セキュリティリスクアセスメントとポリシー・教育の枠組みがある</t>
        </is>
      </c>
      <c r="G23" s="4" t="inlineStr">
        <is>
          <t>情報資産に対するリスクアセスメントの実施記録(または計画)と、準拠するセキュリティポリシーの参照、運用要員へのセキュリティ教育・周知の方法が記載されている</t>
        </is>
      </c>
      <c r="H23" s="4" t="inlineStr">
        <is>
          <t>個別の技術対策だけではリスクの見落とし(未評価の資産・脅威)が残り、ポリシーと教育がなければ統制が現場で実行されない。対策の網羅性を上流のリスク評価で担保し、要員の認識不足による事故を防ぐ。</t>
        </is>
      </c>
    </row>
    <row r="24">
      <c r="A24" s="4" t="inlineStr">
        <is>
          <t>ソフトウェア運用</t>
        </is>
      </c>
      <c r="B24" s="4" t="inlineStr">
        <is>
          <t>4.3 Monitor, Measure, Track, and Review — 承認外の構成変更の検知(configuration changes unrelated to approved deployment tasks)</t>
        </is>
      </c>
      <c r="C24" s="4" t="inlineStr">
        <is>
          <t>SWEBOK はリアルタイムで把握すべき KPI の一つに「承認されたデプロイ作業と無関係な構成変更」を明示している。手動 hotfix や不正変更による構成ドリフトは、IaC の単一ソース原則を破壊し、再現不能な障害やセキュリティ侵害の兆候見逃しにつながるが、既存項目に対応するチェックがない。</t>
        </is>
      </c>
      <c r="D24" s="5" t="inlineStr">
        <is>
          <t>OPS-903</t>
        </is>
      </c>
      <c r="E24" s="10" t="inlineStr">
        <is>
          <t>Medium</t>
        </is>
      </c>
      <c r="F24" s="4" t="inlineStr">
        <is>
          <t>承認外の構成変更(構成ドリフト)を検知する仕組みがある</t>
        </is>
      </c>
      <c r="G24" s="4" t="inlineStr">
        <is>
          <t>承認されたデプロイ・変更作業以外による本番構成の変更を検知する手段(IaC 差分検出、構成監査、変更検知アラート等)が記載されている</t>
        </is>
      </c>
      <c r="H24" s="4" t="inlineStr">
        <is>
          <t>手動 hotfix や不正操作による構成ドリフトを放置すると、IaC と実環境が乖離して再現不能な障害を生み、セキュリティ侵害の兆候も見逃す。承認プロセスを迂回した変更を検知して統制の実効性を保つ。</t>
        </is>
      </c>
    </row>
    <row r="25">
      <c r="A25" s="4" t="inlineStr">
        <is>
          <t>ソフトウェア運用</t>
        </is>
      </c>
      <c r="B25" s="4" t="inlineStr">
        <is>
          <t>5.2 Operational Risk Management — 継続的な運用リスク管理とリスク許容度の合意(continuous risk management, agreed-upon level of risk tolerance)</t>
        </is>
      </c>
      <c r="C25" s="4" t="inlineStr">
        <is>
          <t>SWEBOK は可用性・スケーラビリティ・セキュリティに影響するリスクを継続的に監視する運用リスク管理と、プロダクトオーナーらとのリスク許容度の合意、サービスのリスクプロファイルに応じたデプロイ方式の選択を独立トピックとして扱っている。既存項目はリリース単位のリスク評価(OPS-076)のみで、運用全体の継続的リスク管理が欠けている。</t>
        </is>
      </c>
      <c r="D25" s="5" t="inlineStr">
        <is>
          <t>OPS-904</t>
        </is>
      </c>
      <c r="E25" s="10" t="inlineStr">
        <is>
          <t>Medium</t>
        </is>
      </c>
      <c r="F25" s="4" t="inlineStr">
        <is>
          <t>運用リスクが継続的に管理され、リスク許容度が関係者と合意されている</t>
        </is>
      </c>
      <c r="G25" s="4" t="inlineStr">
        <is>
          <t>可用性・容量・セキュリティ等の運用リスクの一覧(リスク登録簿等)と見直し契機、およびアラート閾値・デプロイ方式の根拠となるリスク許容度をプロダクトオーナー等と合意した記録がある</t>
        </is>
      </c>
      <c r="H25" s="4" t="inlineStr">
        <is>
          <t>リスク許容度の合意がないと、アラート閾値やデプロイ方式の厳しさが運用チームの独断となり、事業側との認識齟齬(過剰な慎重さ、または想定外の障害受容)を生む。運用リスクを一過性でなく継続的に管理する枠組みを担保する。</t>
        </is>
      </c>
    </row>
    <row r="26">
      <c r="A26" s="4" t="inlineStr">
        <is>
          <t>ソフトウェア保守</t>
        </is>
      </c>
      <c r="B26" s="4" t="inlineStr">
        <is>
          <t>2.3 / 2.4 保守区分別のコスト・工数の傾向分析(cost trends by categories of maintenance)</t>
        </is>
      </c>
      <c r="C26" s="4" t="inlineStr">
        <is>
          <t>SWEBOK は区分別の工数・コスト傾向を顧客に提示することが保守費の使途説明と見積り精度向上の基盤になると強調する。既存項目は区分付与(MNT-021)と測定項目定義(MNT-160)に留まり、区分別の集計・傾向分析までは要求していない。</t>
        </is>
      </c>
      <c r="D26" s="5" t="inlineStr">
        <is>
          <t>MNT-901</t>
        </is>
      </c>
      <c r="E26" s="10" t="inlineStr">
        <is>
          <t>Medium</t>
        </is>
      </c>
      <c r="F26" s="4" t="inlineStr">
        <is>
          <t>保守工数・コストが保守区分別に集計され傾向分析されている</t>
        </is>
      </c>
      <c r="G26" s="4" t="inlineStr">
        <is>
          <t>是正/予防/適応/追加/完全化(または修正/拡張)の区分別に工数またはコストの実績が集計され、期間比較(前期比等)の分析結果が報告に含まれている</t>
        </is>
      </c>
      <c r="H26" s="4" t="inlineStr">
        <is>
          <t>修正と拡張を混ぜた報告は「保守=バグ修正で高コスト」という誤解を生み、予算削減や投資判断の誤りを招く。区分別の傾向提示により保守費の使途を説明可能にする。</t>
        </is>
      </c>
    </row>
    <row r="27">
      <c r="A27" s="4" t="inlineStr">
        <is>
          <t>ソフトウェア保守</t>
        </is>
      </c>
      <c r="B27" s="4" t="inlineStr">
        <is>
          <t>3.2.2 Planning Activities のリリース/バージョン計画(利用者との内容合意・競合特定・代替案)</t>
        </is>
      </c>
      <c r="C27" s="4" t="inlineStr">
        <is>
          <t>SWEBOK はリリース計画の活動として、個別 MR の提供可能時期の収集、リリース内容の利用者合意、潜在的競合の特定と代替案作成を明示する。既存項目は切戻し手順(MNT-122)と MR-リリース追跡(MNT-121)をカバーするが、リリース内容の合意形成プロセスは未カバー。</t>
        </is>
      </c>
      <c r="D27" s="5" t="inlineStr">
        <is>
          <t>MNT-902</t>
        </is>
      </c>
      <c r="E27" s="10" t="inlineStr">
        <is>
          <t>Medium</t>
        </is>
      </c>
      <c r="F27" s="4" t="inlineStr">
        <is>
          <t>リリース/バージョン計画で内容の利用者合意と変更競合の調整が行われている</t>
        </is>
      </c>
      <c r="G27" s="4" t="inlineStr">
        <is>
          <t>各リリースについて、含める MR の一覧と利用者(または代表者)の合意記録、MR 間・並行開発との競合の有無の確認結果が残っている</t>
        </is>
      </c>
      <c r="H27" s="4" t="inlineStr">
        <is>
          <t>利用者合意のないリリース内容は「頼んだものが入っていない」という期待齟齬を生み、競合未調整の MR 同士は結合時のコンフリクトや相互デグレードとして表面化する。</t>
        </is>
      </c>
    </row>
    <row r="28">
      <c r="A28" s="4" t="inlineStr">
        <is>
          <t>ソフトウェア保守</t>
        </is>
      </c>
      <c r="B28" s="4" t="inlineStr">
        <is>
          <t>4.4 Continuous Delivery / Continuous Deployment(リリース・デプロイの自動化)</t>
        </is>
      </c>
      <c r="C28" s="4" t="inlineStr">
        <is>
          <t>SWEBOK v4 は CI に加え、継続的デリバリー・継続的デプロイメントによる配布・インストールの自動化を保守の主要技法として1トピックを割いて扱う。既存項目は CI でのテスト実行(MNT-103)と手順書の存在(MNT-122)のみで、ビルド〜デプロイの自動化状況は未カバー。</t>
        </is>
      </c>
      <c r="D28" s="5" t="inlineStr">
        <is>
          <t>MNT-903</t>
        </is>
      </c>
      <c r="E28" s="10" t="inlineStr">
        <is>
          <t>Medium</t>
        </is>
      </c>
      <c r="F28" s="4" t="inlineStr">
        <is>
          <t>ビルド・リリース・デプロイの自動化状況が把握され、方針が定義されている</t>
        </is>
      </c>
      <c r="G28" s="4" t="inlineStr">
        <is>
          <t>ビルド/ステージング配備/本番デプロイの各工程について自動/手動の別が記録され、手動工程には自動化しない理由または自動化計画がある</t>
        </is>
      </c>
      <c r="H28" s="4" t="inlineStr">
        <is>
          <t>小さな変更が高頻度に発生する保守では、手動デプロイは作業ミスによるリリース事故と リードタイム悪化の主要因になる。自動化状況の可視化により信頼性と処理速度の改善余地を特定する。</t>
        </is>
      </c>
    </row>
    <row r="29">
      <c r="A29" s="4" t="inlineStr">
        <is>
          <t>ソフトウェア保守</t>
        </is>
      </c>
      <c r="B29" s="4" t="inlineStr">
        <is>
          <t>1.2 Nature of Software Maintenance(稼働ソフトウェアのサーベイランス: 容量・継続性・可用性の監視)</t>
        </is>
      </c>
      <c r="C29" s="4" t="inlineStr">
        <is>
          <t>SWEBOK は保守の性質として「ソフトウェアは容量・継続性・可用性について監視される」ことを明記し、post-delivery 活動に software surveillance を含める。既存項目は測定(MNT-160)で信頼性指標に触れるのみで、稼働監視と保守(MR 起票)の接続が未カバー。</t>
        </is>
      </c>
      <c r="D29" s="5" t="inlineStr">
        <is>
          <t>MNT-904</t>
        </is>
      </c>
      <c r="E29" s="10" t="inlineStr">
        <is>
          <t>Medium</t>
        </is>
      </c>
      <c r="F29" s="4" t="inlineStr">
        <is>
          <t>稼働ソフトウェアの監視(容量・継続性・可用性)結果が保守活動に接続されている</t>
        </is>
      </c>
      <c r="G29" s="4" t="inlineStr">
        <is>
          <t>監視対象項目(容量・可用性等)と、監視で検知した劣化・予兆から PR/MR を起票する手順または実績が記録されている(監視自体は運用側の責務でも、保守への連携経路があれば Pass)</t>
        </is>
      </c>
      <c r="H29" s="4" t="inlineStr">
        <is>
          <t>監視と保守が接続されていないと、容量逼迫や可用性劣化の予兆が検知されても予防保守として起票されず、障害になってから緊急保守で対処する後手の運用が固定化する。</t>
        </is>
      </c>
    </row>
    <row r="30">
      <c r="A30" s="4" t="inlineStr">
        <is>
          <t>ソフトウェア構成管理</t>
        </is>
      </c>
      <c r="B30" s="4" t="inlineStr">
        <is>
          <t>2.6 Software Libraries — ライブラリのバックアップ設備(backup facilities)</t>
        </is>
      </c>
      <c r="C30" s="4" t="inlineStr">
        <is>
          <t>SWEBOKはアクセス制御と並んでバックアップ設備をライブラリ管理のセキュリティの重要側面と明記するが、チェックリストには権限(SCM-104/161)の項目しかなく、リポジトリ・成果物庫の喪失に対する備えを確認する項目がない。ホスティング障害や誤削除でソース・成果物・履歴を失うと復旧不能になる。</t>
        </is>
      </c>
      <c r="D30" s="5" t="inlineStr">
        <is>
          <t>SCM-901</t>
        </is>
      </c>
      <c r="E30" s="9" t="inlineStr">
        <is>
          <t>High</t>
        </is>
      </c>
      <c r="F30" s="4" t="inlineStr">
        <is>
          <t>リポジトリ・アーティファクトリポジトリのバックアップと復旧手段が定義されているか</t>
        </is>
      </c>
      <c r="G30" s="4" t="inlineStr">
        <is>
          <t>バックアップの対象(ソースリポジトリ、成果物、課題データ)、取得頻度、保管先、復旧手順(または SaaS の可用性・復旧保証への依拠とその根拠)が記載されている</t>
        </is>
      </c>
      <c r="H30" s="4" t="inlineStr">
        <is>
          <t>ホスティング障害・誤削除・アカウント侵害でリポジトリを喪失すると、全SCIとその履歴が失われ再現ビルドも変更追跡も不可能になる。SaaS任せの場合もその前提を明示しておかないと復旧計画が空白になる。</t>
        </is>
      </c>
    </row>
    <row r="31">
      <c r="A31" s="4" t="inlineStr">
        <is>
          <t>ソフトウェア構成管理</t>
        </is>
      </c>
      <c r="B31" s="4" t="inlineStr">
        <is>
          <t>6.2 Software Release Management — 配布状況の追跡(distribution tracking)</t>
        </is>
      </c>
      <c r="C31" s="4" t="inlineStr">
        <is>
          <t>SWEBOKは「どの顧客・対象システムにどの版を配布したかの追跡」が必要な場合(新規発見問題の顧客通知義務等)を明記するが、チェックリストは通知チャネル(SCM-149)のみで、配布先と版の対応記録を確認する項目がない。追跡がないと重大欠陥・脆弱性の影響顧客を特定できない。</t>
        </is>
      </c>
      <c r="D31" s="5" t="inlineStr">
        <is>
          <t>SCM-902</t>
        </is>
      </c>
      <c r="E31" s="10" t="inlineStr">
        <is>
          <t>Medium</t>
        </is>
      </c>
      <c r="F31" s="4" t="inlineStr">
        <is>
          <t>配布先ごとの導入バージョンが追跡できるか(複数の顧客・環境に配布する場合)</t>
        </is>
      </c>
      <c r="G31" s="4" t="inlineStr">
        <is>
          <t>顧客/環境とデプロイ済みバージョンの対応が記録される仕組み(配布台帳、デプロイ履歴、テレメトリ等)が定義されている。単一環境への自社デプロイのみならN/A</t>
        </is>
      </c>
      <c r="H31" s="4" t="inlineStr">
        <is>
          <t>重大欠陥や脆弱性が発覚した際、影響を受ける配布先を特定できないと、通知・パッチ適用の対象が絞れず全顧客対応か対応漏れかの二択に陥る。</t>
        </is>
      </c>
    </row>
    <row r="32">
      <c r="A32" s="4" t="inlineStr">
        <is>
          <t>ソフトウェア構成管理</t>
        </is>
      </c>
      <c r="B32" s="4" t="inlineStr">
        <is>
          <t>1.3.3 Tool Selection and Implementation — ツール移行性(リポジトリの履歴を保った移行)</t>
        </is>
      </c>
      <c r="C32" s="4" t="inlineStr">
        <is>
          <t>SWEBOKのツール選定質問には「バージョン管理リポジトリをCIの完全な履歴を維持したまま他ツールへ移行できるか(Migration)」「将来の利用計画(Future)」が含まれるが、チェックリスト(SCM-162)は選定理由の記録に留まり、ロックイン・移行性の観点が確認されない。ツール更改時に履歴を失うと監査証跡と変更追跡が断絶する。</t>
        </is>
      </c>
      <c r="D32" s="5" t="inlineStr">
        <is>
          <t>SCM-903</t>
        </is>
      </c>
      <c r="E32" s="11" t="inlineStr">
        <is>
          <t>Low</t>
        </is>
      </c>
      <c r="F32" s="4" t="inlineStr">
        <is>
          <t>主要SCMツールからのデータ移行性(履歴・課題・成果物のエクスポート可否)が確認されているか</t>
        </is>
      </c>
      <c r="G32" s="4" t="inlineStr">
        <is>
          <t>バージョン管理履歴・課題管理データ・成果物について、標準形式でのエクスポートまたは移行手段の有無が選定記録に言及されている</t>
        </is>
      </c>
      <c r="H32" s="4" t="inlineStr">
        <is>
          <t>ツール更改・ベンダー撤退時に履歴やCR記録を移行できないと、過去の変更経緯と監査証跡が断絶し、長期保守や規制対応で説明不能な空白期間が生じる。</t>
        </is>
      </c>
    </row>
    <row r="33">
      <c r="A33" s="4" t="inlineStr">
        <is>
          <t>SEマネジメント</t>
        </is>
      </c>
      <c r="B33" s="4" t="inlineStr">
        <is>
          <t>1.1 Determination and Negotiation of Requirements(開始時の要求の決定と交渉)</t>
        </is>
      </c>
      <c r="C33" s="4" t="inlineStr">
        <is>
          <t>SWEBOKは開始フェーズの中核活動として、ステークホルダー視点を考慮した要求のレビュー(引き出し・分析・仕様化・妥当性確認)と交渉を挙げるが、チェックリストは憲章の記載内容の確認に留まり、要求活動が実施されたこと自体の確認項目がない。</t>
        </is>
      </c>
      <c r="D33" s="5" t="inlineStr">
        <is>
          <t>MGT-901</t>
        </is>
      </c>
      <c r="E33" s="9" t="inlineStr">
        <is>
          <t>High</t>
        </is>
      </c>
      <c r="F33" s="4" t="inlineStr">
        <is>
          <t>憲章の基礎となる要求の決定・交渉活動(要求レビューとステークホルダー間の合意)が実施され、結果が憲章等の初期文書に反映されている</t>
        </is>
      </c>
      <c r="G33" s="4" t="inlineStr">
        <is>
          <t>要求の引き出し・分析・合意の実施記録(ヒアリング記録、要求レビュー記録等)が存在し、憲章のスコープ・成功基準がそれを参照している</t>
        </is>
      </c>
      <c r="H33" s="4" t="inlineStr">
        <is>
          <t>関係者と交渉していない要求を前提に憲章を書くと、着手後に前提要求が覆り、スコープ・見積りの土台ごと作り直しになる。</t>
        </is>
      </c>
    </row>
    <row r="34">
      <c r="A34" s="4" t="inlineStr">
        <is>
          <t>SEマネジメント</t>
        </is>
      </c>
      <c r="B34" s="4" t="inlineStr">
        <is>
          <t>2.5 Risk Management(機会=ポジティブリスクの扱い)</t>
        </is>
      </c>
      <c r="C34" s="4" t="inlineStr">
        <is>
          <t>SWEBOK v4はリスクを「目的への不確実性の影響で、負(脅威)にも正(機会)にも働くもの」と定義するが、チェックリストは脅威側のみを扱い、機会の識別・活用の観点がない。</t>
        </is>
      </c>
      <c r="D34" s="5" t="inlineStr">
        <is>
          <t>MGT-902</t>
        </is>
      </c>
      <c r="E34" s="11" t="inlineStr">
        <is>
          <t>Low</t>
        </is>
      </c>
      <c r="F34" s="4" t="inlineStr">
        <is>
          <t>脅威だけでなく機会(ポジティブリスク)も識別され、活用/強化等の対応方針が検討されている</t>
        </is>
      </c>
      <c r="G34" s="4" t="inlineStr">
        <is>
          <t>リスク識別の観点に機会が含まれ、識別された機会に対応方針(活用/共有/強化/受容)が記載されている(機会なしの場合は検討した旨の記録で可)</t>
        </is>
      </c>
      <c r="H34" s="4" t="inlineStr">
        <is>
          <t>脅威のみに目を向けると、早期リリースや再利用による工数削減などの好機を組織的に取り逃がし、防御一辺倒の運営になる。</t>
        </is>
      </c>
    </row>
    <row r="35">
      <c r="A35" s="4" t="inlineStr">
        <is>
          <t>SEマネジメント</t>
        </is>
      </c>
      <c r="B35" s="4" t="inlineStr">
        <is>
          <t>4.2 Reviewing and Evaluating Performance(要員パフォーマンスの定期レビュー)</t>
        </is>
      </c>
      <c r="C35" s="4" t="inlineStr">
        <is>
          <t>SWEBOKは手法・ツール・プロセスの評価と並んで、要員の定期的パフォーマンスレビューにより計画遵守の見込みや困難の兆候(メンバー間コンフリクト等)を把握することを求めるが、チェックリストはプロセス・ツール評価(MGT-111)のみでチーム・人の状態把握が欠けている。</t>
        </is>
      </c>
      <c r="D35" s="5" t="inlineStr">
        <is>
          <t>MGT-903</t>
        </is>
      </c>
      <c r="E35" s="10" t="inlineStr">
        <is>
          <t>Medium</t>
        </is>
      </c>
      <c r="F35" s="4" t="inlineStr">
        <is>
          <t>要員・チームの状態(負荷、コンフリクト、スキル面の困難)を定期的に把握するレビューが計画・実施されている</t>
        </is>
      </c>
      <c r="G35" s="4" t="inlineStr">
        <is>
          <t>1on1・チームふりかえり等の実施周期と観点が定義され、実施記録または新規計画時の実施計画が存在する</t>
        </is>
      </c>
      <c r="H35" s="4" t="inlineStr">
        <is>
          <t>SWEBOKが強調するとおりソフトウェア失敗の多くは人的・社会的要因に起因する。チームの不和や過負荷の兆候を拾う仕組みがないと、離脱や品質低下という形で突然顕在化する。</t>
        </is>
      </c>
    </row>
    <row r="36">
      <c r="A36" s="4" t="inlineStr">
        <is>
          <t>SEマネジメント</t>
        </is>
      </c>
      <c r="B36" s="4" t="inlineStr">
        <is>
          <t>6.1 Establish and Sustain Measurement Commitment(測定コミットメントの確立と資源割り当て)</t>
        </is>
      </c>
      <c r="C36" s="4" t="inlineStr">
        <is>
          <t>ISO/IEC/IEEE 15939の最初のプロセスであり、SWEBOKは測定への公式なコミットメントと資源(責任者、資金、訓練、ツール)の割り当てを測定成功の必須要因とするが、チェックリスト(MGT-120〜124)は計画〜評価のみで、コミットメント・資源の確認項目がない。</t>
        </is>
      </c>
      <c r="D36" s="5" t="inlineStr">
        <is>
          <t>MGT-904</t>
        </is>
      </c>
      <c r="E36" s="10" t="inlineStr">
        <is>
          <t>Medium</t>
        </is>
      </c>
      <c r="F36" s="4" t="inlineStr">
        <is>
          <t>測定活動への責任と資源の割り当てが公式に確立されている</t>
        </is>
      </c>
      <c r="G36" s="4" t="inlineStr">
        <is>
          <t>測定タスク(データ収集・分析等)の責任者が指名され、必要な工数・ツールが計画に計上されている</t>
        </is>
      </c>
      <c r="H36" s="4" t="inlineStr">
        <is>
          <t>資源の裏付けのない測定計画は「片手間でやる」まま形骸化し、収集の中断・欠測でデータの時系列が壊れて以後の分析が不能になる。</t>
        </is>
      </c>
    </row>
    <row r="37">
      <c r="A37" s="4" t="inlineStr">
        <is>
          <t>SEマネジメント</t>
        </is>
      </c>
      <c r="B37" s="4" t="inlineStr">
        <is>
          <t>3.2 Software Acquisition and Supplier Contract Management(契約形態・知的財産・特別条項)</t>
        </is>
      </c>
      <c r="C37" s="4" t="inlineStr">
        <is>
          <t>SWEBOKは契約タイプ(固定価格/T&amp;M/コストプラス等)の選択、遅延ペナルティ条項、知的財産(供給者の提供物と取得者の所有物の特定)、データセット取得の合意を供給者契約管理の要素として挙げるが、チェックリストの11カテゴリはこれら契約内容の確認を含まない。</t>
        </is>
      </c>
      <c r="D37" s="5" t="inlineStr">
        <is>
          <t>MGT-905</t>
        </is>
      </c>
      <c r="E37" s="10" t="inlineStr">
        <is>
          <t>Medium</t>
        </is>
      </c>
      <c r="F37" s="4" t="inlineStr">
        <is>
          <t>供給者との契約に契約形態、知的財産の帰属、遅延時の扱いが明記されている</t>
        </is>
      </c>
      <c r="G37" s="4" t="inlineStr">
        <is>
          <t>契約書または合意文書に、契約タイプ(固定価格/準委任等)、成果物・知財の帰属先、遅延・不履行時の条項が記載されている</t>
        </is>
      </c>
      <c r="H37" s="4" t="inlineStr">
        <is>
          <t>知財帰属や遅延条項が曖昧な契約は、納品物を自社で改修できない・遅延損害を請求できないという形で、プロジェクト終盤や保守段階に法的・金銭的損失をもたらす。</t>
        </is>
      </c>
    </row>
    <row r="38">
      <c r="A38" s="4" t="inlineStr">
        <is>
          <t>SEプロセス</t>
        </is>
      </c>
      <c r="B38" s="4" t="inlineStr">
        <is>
          <t>2.9 Practical Considerations(測定・見積もりの精度と不確実性レベルの定義)</t>
        </is>
      </c>
      <c r="C38" s="4" t="inlineStr">
        <is>
          <t>SWEBOKは、プロセス定義時にメトリクス/測定の精度と不確実性のレベルを定義すべきであり、見積もり・測定の正確さが不確かならプロジェクトは成功しない可能性があると明言している。既存項目は定義の再現性(PRC-041)や見積もり比較(PRC-048)を扱うが、数値の精度・不確実性の明示は求めていない。</t>
        </is>
      </c>
      <c r="D38" s="5" t="inlineStr">
        <is>
          <t>PRC-901</t>
        </is>
      </c>
      <c r="E38" s="10" t="inlineStr">
        <is>
          <t>Medium</t>
        </is>
      </c>
      <c r="F38" s="4" t="inlineStr">
        <is>
          <t>見積もり・測定の精度と不確実性のレベルが定義されている</t>
        </is>
      </c>
      <c r="G38" s="4" t="inlineStr">
        <is>
          <t>主要メトリクスと見積もり値に、精度(誤差範囲・信頼度等)または不確実性の程度の記述があり、不確実性が高い場合の扱い(再見積もり・アプローチ全体の見直し等)が定められている</t>
        </is>
      </c>
      <c r="H38" s="4" t="inlineStr">
        <is>
          <t>精度不明の数値をそのまま計画・判断に使うと、実態と乖離した意思決定を確信を持って下してしまい、ライフサイクル運営の失敗につながる。</t>
        </is>
      </c>
    </row>
    <row r="39">
      <c r="A39" s="4" t="inlineStr">
        <is>
          <t>SEプロセス</t>
        </is>
      </c>
      <c r="B39" s="4" t="inlineStr">
        <is>
          <t>2.5 Development Life Cycle Models(大規模プロジェクト・ポートフォリオへのアジャイルのスケーリング)</t>
        </is>
      </c>
      <c r="C39" s="4" t="inlineStr">
        <is>
          <t>SWEBOKは「大規模プロジェクトやポートフォリオへのアジャイルのスケールアップは依然として困難」と明記しているが、チェックリストには複数チーム・大規模案件でのアジャイル適用時の考慮を問う項目がない。単一チーム前提のプラクティスをそのまま大規模案件に持ち込むと調整不全が起きる。</t>
        </is>
      </c>
      <c r="D39" s="5" t="inlineStr">
        <is>
          <t>PRC-902</t>
        </is>
      </c>
      <c r="E39" s="11" t="inlineStr">
        <is>
          <t>Low</t>
        </is>
      </c>
      <c r="F39" s="4" t="inlineStr">
        <is>
          <t>複数チーム・大規模案件でアジャイルを採用する場合、スケーリングの難しさが考慮されている</t>
        </is>
      </c>
      <c r="G39" s="4" t="inlineStr">
        <is>
          <t>複数チーム構成の案件で、チーム間の同期方法(共通ケイデンス、依存関係管理、統合方法)が記述されている。単一チーム案件では N/A</t>
        </is>
      </c>
      <c r="H39" s="4" t="inlineStr">
        <is>
          <t>大規模適用の難しさを無視すると、チーム間の依存・統合が管理されず、イテレーション末の統合破綻や優先順位の衝突が繰り返される。</t>
        </is>
      </c>
    </row>
    <row r="40">
      <c r="A40" s="4" t="inlineStr">
        <is>
          <t>SEプロセス</t>
        </is>
      </c>
      <c r="B40" s="4" t="inlineStr">
        <is>
          <t>2.6 The Management of SLCPs(段階は逐次とは限らず、ライフサイクル仕様は段階間の遷移を含む)</t>
        </is>
      </c>
      <c r="C40" s="4" t="inlineStr">
        <is>
          <t>SWEBOKは、ライフサイクル段階は決して逐次的とは限らず、ライフサイクルの仕様には段階間の遷移を含めるべきと明記している。既存のPRC-015は各段階の開始・終了基準を求めるが、段階間の許容される遷移経路(後戻り・並行)の定義は求めていない。</t>
        </is>
      </c>
      <c r="D40" s="5" t="inlineStr">
        <is>
          <t>PRC-903</t>
        </is>
      </c>
      <c r="E40" s="10" t="inlineStr">
        <is>
          <t>Medium</t>
        </is>
      </c>
      <c r="F40" s="4" t="inlineStr">
        <is>
          <t>ライフサイクル段階間の遷移(順序・後戻り・並行)が定義されている</t>
        </is>
      </c>
      <c r="G40" s="4" t="inlineStr">
        <is>
          <t>段階間の許容される遷移(逐次・反復・並行・差し戻し)が図または表で示され、各遷移が発生する条件が読み取れる</t>
        </is>
      </c>
      <c r="H40" s="4" t="inlineStr">
        <is>
          <t>遷移が未定義だと、差し戻しや段階の並行実施が場当たりに行われ、どの段階の統制下にあるか不明な作業が発生して監視・管理が破綻する。</t>
        </is>
      </c>
    </row>
    <row r="41">
      <c r="A41" s="4" t="inlineStr">
        <is>
          <t>ソフトウェア品質保証</t>
        </is>
      </c>
      <c r="B41" s="4" t="inlineStr">
        <is>
          <t>3.1 Prepare for Quality Assurance — 供給者ソフトウェア・COTSへのSQA(調達・納入後サービスを含む)</t>
        </is>
      </c>
      <c r="C41" s="4" t="inlineStr">
        <is>
          <t>SWEBOKはSQAPが供給者ソフトウェアの調達、COTS導入、納入後サービスといった活動へのSQAも扱うべきと明記し、評価コストも外注供給者に及ぶとする。外部調達部分は自社プロセスの外にあり、確認を怠ると品質保証の空白地帯のままシステムに組み込まれる。</t>
        </is>
      </c>
      <c r="D41" s="5" t="inlineStr">
        <is>
          <t>QUA-901</t>
        </is>
      </c>
      <c r="E41" s="9" t="inlineStr">
        <is>
          <t>High</t>
        </is>
      </c>
      <c r="F41" s="4" t="inlineStr">
        <is>
          <t>供給者ソフトウェア・COTS・OSS等の外部調達要素に対する品質保証活動が定義されているか</t>
        </is>
      </c>
      <c r="G41" s="4" t="inlineStr">
        <is>
          <t>SQAPに、外部調達要素(供給者開発ソフト、COTS、OSS等)の受入基準・評価活動(供給者監査、受入テスト等)と、納入後サービス・保守期間の品質保証の扱いが記述されている(外部調達要素がない場合は N/A)</t>
        </is>
      </c>
      <c r="H41" s="4" t="inlineStr">
        <is>
          <t>外部調達コンポーネントは自社の開発プロセスによる品質保証が及ばないため、受入評価を定義しないと未検証の欠陥がそのまま製品に混入し、障害時の責任分界も曖昧になる。</t>
        </is>
      </c>
    </row>
    <row r="42">
      <c r="A42" s="4" t="inlineStr">
        <is>
          <t>ソフトウェア品質保証</t>
        </is>
      </c>
      <c r="B42" s="4" t="inlineStr">
        <is>
          <t>2. Software Quality Management Process / 2.2 Plan Quality Management — 経営層のコミットメントとQMSへの資源提供</t>
        </is>
      </c>
      <c r="C42" s="4" t="inlineStr">
        <is>
          <t>SWEBOKはQMSが有効に機能する条件としてマネジメントサポート(訓練・十分な資源・プロジェクトレビューでの継続的なスポンサーシップ確認)が不可欠と明記する。既存項目は独立性(QUA-031)や資源見積り(QUA-035)を見るが、経営層の関与そのものを確認する項目がない。</t>
        </is>
      </c>
      <c r="D42" s="5" t="inlineStr">
        <is>
          <t>QUA-902</t>
        </is>
      </c>
      <c r="E42" s="10" t="inlineStr">
        <is>
          <t>Medium</t>
        </is>
      </c>
      <c r="F42" s="4" t="inlineStr">
        <is>
          <t>経営層の品質へのコミットメントと関与の仕組みが定義されているか</t>
        </is>
      </c>
      <c r="G42" s="4" t="inlineStr">
        <is>
          <t>承認された品質方針の存在、経営層による品質活動レビューの機会(頻度・会議体)、品質活動への資源提供のコミットメントのうち少なくとも2つが文書化されている</t>
        </is>
      </c>
      <c r="H42" s="4" t="inlineStr">
        <is>
          <t>経営層の支援がないQMSは訓練も資源も不足して形骸化し、品質活動が現場の善意頼みになる。定期的なスポンサーシップ確認がないと、不適合への対処が先送りされ続ける。</t>
        </is>
      </c>
    </row>
    <row r="43">
      <c r="A43" s="4" t="inlineStr">
        <is>
          <t>ソフトウェア品質保証</t>
        </is>
      </c>
      <c r="B43" s="4" t="inlineStr">
        <is>
          <t>1.4 Software Dependability / 4. Software Quality Tools — 安全ハザード分析(FMEA/FTA)</t>
        </is>
      </c>
      <c r="C43" s="4" t="inlineStr">
        <is>
          <t>SWEBOKは頭字語にFMEA・FTAを掲げ、ツールの節でソフトウェア安全ハザード分析(FMEA/FTA支援)を静的解析ツールの一カテゴリとして明示する。既存のQUA-024は回避・検出・被害限定の技法選択を見るが、その前提となるハザード・故障モードの体系的分析の実施を確認する項目がない。</t>
        </is>
      </c>
      <c r="D43" s="5" t="inlineStr">
        <is>
          <t>QUA-903</t>
        </is>
      </c>
      <c r="E43" s="9" t="inlineStr">
        <is>
          <t>High</t>
        </is>
      </c>
      <c r="F43" s="4" t="inlineStr">
        <is>
          <t>安全クリティカルシステムでハザード分析・故障モード分析が実施されているか</t>
        </is>
      </c>
      <c r="G43" s="4" t="inlineStr">
        <is>
          <t>FMEA・FTA等の分析技法を用いたハザード/故障モードの識別結果が記録され、識別されたハザードがリスク低減技法(QUA-024)や安全要求に対応付けられている(非クリティカルなら N/A)</t>
        </is>
      </c>
      <c r="H43" s="4" t="inlineStr">
        <is>
          <t>ハザードを体系的に洗い出さずにリスク低減技法を選ぶと、想定外の故障モードが未対策のまま残り、運用中の事故として顕在化する。分析結果と対策の対応付けで抜けを検出可能にする。</t>
        </is>
      </c>
    </row>
    <row r="44">
      <c r="A44" s="4" t="inlineStr">
        <is>
          <t>ソフトウェア品質保証</t>
        </is>
      </c>
      <c r="B44" s="4" t="inlineStr">
        <is>
          <t>3.4 V&amp;V and Testing — ソフトウェア成果物間のトレーサビリティ記録</t>
        </is>
      </c>
      <c r="C44" s="4" t="inlineStr">
        <is>
          <t>SWEBOKはV&amp;Vの品質を高める手段として成果物間トレーサビリティの記録保持を明示する。既存のQUA-123はRTM等のフォーム様式の定義を見るにとどまり、要求→設計→コード→テストのトレースが実際に維持・検証されているかを確認する項目がない。</t>
        </is>
      </c>
      <c r="D44" s="5" t="inlineStr">
        <is>
          <t>QUA-904</t>
        </is>
      </c>
      <c r="E44" s="10" t="inlineStr">
        <is>
          <t>Medium</t>
        </is>
      </c>
      <c r="F44" s="4" t="inlineStr">
        <is>
          <t>成果物間のトレーサビリティがV&amp;V活動で維持・活用されているか</t>
        </is>
      </c>
      <c r="G44" s="4" t="inlineStr">
        <is>
          <t>要求・設計・コード・テストの間のトレース記録が存在し、V&amp;V活動(レビュー・テスト)でトレースの欠落(未検証要求、要求に遡れない成果物)を検出する手順が定義されている</t>
        </is>
      </c>
      <c r="H44" s="4" t="inlineStr">
        <is>
          <t>トレーサビリティがないと、どの要求が未検証かを機械的に特定できず、V&amp;Vの網羅性の主張が検証不能になる。要求の検証漏れがリリース後に発覚する事態を防ぐ。</t>
        </is>
      </c>
    </row>
    <row r="45">
      <c r="A45" s="4" t="inlineStr">
        <is>
          <t>ソフトウェアセキュリティ</t>
        </is>
      </c>
      <c r="B45" s="4" t="inlineStr">
        <is>
          <t>3.2 Common Criteria for Information Technology Security Evaluation(ISO/IEC 15408 によるセキュリティ評価・保証)</t>
        </is>
      </c>
      <c r="C45" s="4" t="inlineStr">
        <is>
          <t>SWEBOKは第三者評価基準(CC)を独立トピックとして扱い、製品のセキュリティ機能への信頼確立と調達判断の根拠としているが、チェックリストには評価・認証や調達製品の保証水準確認に関する項目がない。政府・重要インフラ向け案件では認証要否の検討漏れが契約不適合につながる。</t>
        </is>
      </c>
      <c r="D45" s="5" t="inlineStr">
        <is>
          <t>SEC-911</t>
        </is>
      </c>
      <c r="E45" s="11" t="inlineStr">
        <is>
          <t>Low</t>
        </is>
      </c>
      <c r="F45" s="4" t="inlineStr">
        <is>
          <t>セキュリティ評価・認証(Common Criteria 等)の要否が判断されている</t>
        </is>
      </c>
      <c r="G45" s="4" t="inlineStr">
        <is>
          <t>ISO/IEC 15408(CC)等の第三者評価・認証の要否について、顧客要求・調達要件・市場要求を踏まえた判断結果と根拠が記録されている。調達するセキュリティ製品がある場合、その評価保証レベル(EAL 等)の確認記録がある。不要と判断した場合はその根拠がある</t>
        </is>
      </c>
      <c r="H45" s="4" t="inlineStr">
        <is>
          <t>評価・認証要否の検討漏れは、納品直前に「CC認証が必要だった」と発覚する致命的な手戻りや、保証水準不明のセキュリティ製品採用による防御の空洞化を招く。</t>
        </is>
      </c>
    </row>
    <row r="46">
      <c r="A46" s="4" t="inlineStr">
        <is>
          <t>ソフトウェアセキュリティ</t>
        </is>
      </c>
      <c r="B46" s="4" t="inlineStr">
        <is>
          <t>1.3 Cybersecurity(ソーシャルエンジニアリング攻撃・マルウェア等の脅威緩和)</t>
        </is>
      </c>
      <c r="C46" s="4" t="inlineStr">
        <is>
          <t>SWEBOKはソーシャルエンジニアリング攻撃・マルウェア等サイバー空間の脅威の緩和をソフトウェア開発の一部として考慮すべきと明示しているが、チェックリストの脅威分析は技術的攻撃(STRIDE)中心で、人を騙す攻撃(フィッシング、なりすまし依頼)を悪用シナリオとして検討する項目がない。</t>
        </is>
      </c>
      <c r="D46" s="5" t="inlineStr">
        <is>
          <t>SEC-912</t>
        </is>
      </c>
      <c r="E46" s="10" t="inlineStr">
        <is>
          <t>Medium</t>
        </is>
      </c>
      <c r="F46" s="4" t="inlineStr">
        <is>
          <t>人を介する攻撃(ソーシャルエンジニアリング)が脅威として検討されている</t>
        </is>
      </c>
      <c r="G46" s="4" t="inlineStr">
        <is>
          <t>フィッシングによる認証情報窃取、サポート窓口へのなりすまし依頼等、利用者・運用者を騙す攻撃シナリオの検討結果(該当脅威と緩和策、または「該当なし」の根拠)が脅威モデルに記録されている</t>
        </is>
      </c>
      <c r="H46" s="4" t="inlineStr">
        <is>
          <t>技術的防御が堅牢でも、パスワードリセットの電話一本で突破される事例は多い。人を介する経路を脅威分析の対象外にすると、最も安価な攻撃経路が無防備のまま残る。</t>
        </is>
      </c>
    </row>
    <row r="47">
      <c r="A47" s="4" t="inlineStr">
        <is>
          <t>ソフトウェアセキュリティ</t>
        </is>
      </c>
      <c r="B47" s="4" t="inlineStr">
        <is>
          <t>4.2 Security Design(攻撃の許容: 被害限定・サービス継続・迅速な復旧)</t>
        </is>
      </c>
      <c r="C47" s="4" t="inlineStr">
        <is>
          <t>SWEBOKは設計セキュリティの目的として攻撃の「防止」だけでなく「許容」(limiting damage, continuing service, speeding repair and recovery)を並置しているが、チェックリストはフェイルセキュア(SEC-209)以外は防止側に偏っており、侵害発生を前提とした被害限定・復旧の設計を確認する項目がない。</t>
        </is>
      </c>
      <c r="D47" s="5" t="inlineStr">
        <is>
          <t>SEC-913</t>
        </is>
      </c>
      <c r="E47" s="9" t="inlineStr">
        <is>
          <t>High</t>
        </is>
      </c>
      <c r="F47" s="4" t="inlineStr">
        <is>
          <t>侵害発生を前提とした被害限定と復旧が設計されている</t>
        </is>
      </c>
      <c r="G47" s="4" t="inlineStr">
        <is>
          <t>コンポーネント侵害時の影響波及を限定する分離(ネットワークセグメント、テナント分離等)、侵害検知後のサービス継続・復旧手段(隔離、認証情報の一斉失効、クリーンな状態への復元)が設計書に記述されている</t>
        </is>
      </c>
      <c r="H47" s="4" t="inlineStr">
        <is>
          <t>防止策のみの設計は、1点の突破が全面侵害と長期停止に直結する。侵害を前提とした被害限定・復旧の設計がないと、インシデント発生時の損害と復旧時間が桁違いに膨らむ。</t>
        </is>
      </c>
    </row>
    <row r="48">
      <c r="A48" s="4" t="inlineStr">
        <is>
          <t>ソフトウェアセキュリティ</t>
        </is>
      </c>
      <c r="B48" s="4" t="inlineStr">
        <is>
          <t>4.4 Construction for Security(プログラム中の前提(assumption)の検証と文書化)</t>
        </is>
      </c>
      <c r="C48" s="4" t="inlineStr">
        <is>
          <t>SWEBOKは構築セキュリティの推奨ルールとして「プログラム内の前提はすべて検証し、不可能なら設置者・保守者向けに文書化する(攻撃者はその前提の無効化を試みる)」を明示するが、チェックリストの入力検証(SEC-301)は外部入力に限られ、環境・設定・呼び出し順序等の暗黙の前提を扱う項目がない。</t>
        </is>
      </c>
      <c r="D48" s="5" t="inlineStr">
        <is>
          <t>SEC-914</t>
        </is>
      </c>
      <c r="E48" s="10" t="inlineStr">
        <is>
          <t>Medium</t>
        </is>
      </c>
      <c r="F48" s="4" t="inlineStr">
        <is>
          <t>コードが依拠する前提が検証または文書化されている</t>
        </is>
      </c>
      <c r="G48" s="4" t="inlineStr">
        <is>
          <t>セキュリティに影響する前提(設定ファイルの権限、実行環境の隔離、呼び出し元が認証済みであること、ファイルパーミッション等)が、コード内のチェックで検証されているか、検証不能なものは構築・運用手順書に前提条件として明記されている</t>
        </is>
      </c>
      <c r="H48" s="4" t="inlineStr">
        <is>
          <t>「この関数は認証後にしか呼ばれないはず」等の暗黙の前提は、リファクタリングや運用変更で静かに崩れ、攻撃者が真っ先に突く穴になる。前提の検証・文書化が無自覚な防御の崩壊を防ぐ。</t>
        </is>
      </c>
    </row>
  </sheetData>
  <autoFilter ref="A1:H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SWEBOK Guide v4.0a・クラウドWell-Architected参照 開発レビューチェックリスト</dc:title>
  <dc:subject xmlns:dc="http://purl.org/dc/elements/1.1/">レビュー観点マスター・レビュー実施記録</dc:subject>
  <dcterms:created xmlns:dcterms="http://purl.org/dc/terms/" xmlns:xsi="http://www.w3.org/2001/XMLSchema-instance" xsi:type="dcterms:W3CDTF">2026-07-15T14:17:31Z</dcterms:created>
  <dcterms:modified xmlns:dcterms="http://purl.org/dc/terms/" xmlns:xsi="http://www.w3.org/2001/XMLSchema-instance" xsi:type="dcterms:W3CDTF">2026-07-17T16:54:55Z</dcterms:modified>
</cp:coreProperties>
</file>